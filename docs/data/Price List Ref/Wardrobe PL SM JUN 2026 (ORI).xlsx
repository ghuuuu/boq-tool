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P:\pCloud\=WORK=\MulyaOne\SM Price List\"/>
    </mc:Choice>
  </mc:AlternateContent>
  <xr:revisionPtr revIDLastSave="0" documentId="13_ncr:1_{6A35F62D-8187-43F5-BE33-4E2C2C97423B}" xr6:coauthVersionLast="47" xr6:coauthVersionMax="47" xr10:uidLastSave="{00000000-0000-0000-0000-000000000000}"/>
  <bookViews>
    <workbookView xWindow="-120" yWindow="-120" windowWidth="57840" windowHeight="23520" tabRatio="737" xr2:uid="{00000000-000D-0000-FFFF-FFFF00000000}"/>
  </bookViews>
  <sheets>
    <sheet name="SWINGDOOR110 Panel" sheetId="1" r:id="rId1"/>
    <sheet name="SWINGDOOR170 Panel" sheetId="2" r:id="rId2"/>
    <sheet name="SLIDING PANEL" sheetId="3" r:id="rId3"/>
    <sheet name="SWINGGLASS" sheetId="4" r:id="rId4"/>
    <sheet name="SLIDINGGLASS" sheetId="5" r:id="rId5"/>
    <sheet name="UPPERCAB" sheetId="6" r:id="rId6"/>
    <sheet name="UPPERCABMIRROR" sheetId="7" r:id="rId7"/>
    <sheet name="BASEINTERNAL BLUM" sheetId="8" r:id="rId8"/>
    <sheet name="BASEINTERNAL STD" sheetId="9" r:id="rId9"/>
    <sheet name="MARBLEDOORFRAME" sheetId="10" r:id="rId10"/>
    <sheet name="WD COMP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1" i="9" l="1"/>
  <c r="B85" i="9"/>
  <c r="B77" i="9"/>
  <c r="B69" i="9"/>
  <c r="B61" i="9"/>
  <c r="B53" i="9"/>
  <c r="B44" i="9"/>
  <c r="B91" i="8"/>
  <c r="B85" i="8"/>
  <c r="B77" i="8"/>
  <c r="B69" i="8"/>
  <c r="B61" i="8"/>
  <c r="B53" i="8"/>
  <c r="B44" i="8"/>
</calcChain>
</file>

<file path=xl/sharedStrings.xml><?xml version="1.0" encoding="utf-8"?>
<sst xmlns="http://schemas.openxmlformats.org/spreadsheetml/2006/main" count="2098" uniqueCount="777">
  <si>
    <t>Stella Mobili</t>
  </si>
  <si>
    <t>SPECIAL PANELS</t>
  </si>
  <si>
    <r>
      <rPr>
        <b/>
        <sz val="12"/>
        <color theme="1"/>
        <rFont val="Arial"/>
      </rPr>
      <t>TRIM for
22mm Door</t>
    </r>
    <r>
      <rPr>
        <sz val="10"/>
        <color theme="1"/>
        <rFont val="Arial"/>
      </rPr>
      <t xml:space="preserve">
</t>
    </r>
    <r>
      <rPr>
        <sz val="8"/>
        <color theme="1"/>
        <rFont val="Arial"/>
      </rPr>
      <t>This price is trim only</t>
    </r>
  </si>
  <si>
    <t>TZ
(High Gloss
&amp; Satin)</t>
  </si>
  <si>
    <t>Classic Doors
PVC</t>
  </si>
  <si>
    <t>Classic Glass
Doors PVC</t>
  </si>
  <si>
    <t>Classic Doors
Painted</t>
  </si>
  <si>
    <t>Classic Glass
Doors Painted</t>
  </si>
  <si>
    <t>Riquadra
Panel</t>
  </si>
  <si>
    <t>Riquadra
Glass</t>
  </si>
  <si>
    <t>DISCONTINUED
PREMIUM PANELS</t>
  </si>
  <si>
    <t>DISCONTINUED PANELS</t>
  </si>
  <si>
    <t>Vanguard P30 (White)</t>
  </si>
  <si>
    <t>Collalto Gold</t>
  </si>
  <si>
    <t>Collalto Silver / Platin</t>
  </si>
  <si>
    <t>Argento</t>
  </si>
  <si>
    <t>Irridio</t>
  </si>
  <si>
    <t>Fittipaldi (Sable LR29)</t>
  </si>
  <si>
    <t>Patrese (Sable)</t>
  </si>
  <si>
    <t>Ascari (Sable)</t>
  </si>
  <si>
    <t>Madre Perla (Reflex FA68)</t>
  </si>
  <si>
    <t>Madre Perlato (Reflex FA84)</t>
  </si>
  <si>
    <t>Old America (Tranche LM09)</t>
  </si>
  <si>
    <t>Madre Metallo (Reflex FB35)</t>
  </si>
  <si>
    <t>Caffè (UB01) (Primo Fiore / Ecopelle)</t>
  </si>
  <si>
    <t>Visone (UA94) (Primo Fiore)</t>
  </si>
  <si>
    <t>Ancona Walnut S.1055</t>
  </si>
  <si>
    <t>Lapland Elm</t>
  </si>
  <si>
    <t>Andesh Ash</t>
  </si>
  <si>
    <t>Ancona Walnut S.1051</t>
  </si>
  <si>
    <t>Ancona Walnut S.1052</t>
  </si>
  <si>
    <t>Florence Pine</t>
  </si>
  <si>
    <t>Lisbon Oak</t>
  </si>
  <si>
    <t>Tosca</t>
  </si>
  <si>
    <t>Ancona Walnut S.1054</t>
  </si>
  <si>
    <t>Autumn Beige
YMLD004</t>
  </si>
  <si>
    <t>Autumn Grey
YMLD002</t>
  </si>
  <si>
    <t>Autumn White
YDH103</t>
  </si>
  <si>
    <t>Terra Walnut</t>
  </si>
  <si>
    <t>Swiss Elm White</t>
  </si>
  <si>
    <t>Swiss Elm Amber 18mm</t>
  </si>
  <si>
    <t>Eukalyptus</t>
  </si>
  <si>
    <t>Sandstone High Gloss</t>
  </si>
  <si>
    <t>WARDROBE
SWING DOOR 110°</t>
  </si>
  <si>
    <t>Showroom Price</t>
  </si>
  <si>
    <t>Olympus Brown,
Dark Umber, CA</t>
  </si>
  <si>
    <t>Th. 18mm</t>
  </si>
  <si>
    <t>Th. 22mm</t>
  </si>
  <si>
    <t>konsul pilihan warna</t>
  </si>
  <si>
    <t>variatif</t>
  </si>
  <si>
    <t>Th.18mm</t>
  </si>
  <si>
    <t>Th.22mm</t>
  </si>
  <si>
    <r>
      <rPr>
        <sz val="10"/>
        <color rgb="FFFFFFFF"/>
        <rFont val="Arial"/>
      </rPr>
      <t xml:space="preserve">For other colors
</t>
    </r>
    <r>
      <rPr>
        <b/>
        <i/>
        <sz val="10"/>
        <color rgb="FFFFFFFF"/>
        <rFont val="Arial"/>
      </rPr>
      <t>consult first</t>
    </r>
  </si>
  <si>
    <t>Special Notes</t>
  </si>
  <si>
    <t>Max H.2700</t>
  </si>
  <si>
    <t>mirip Canaletto</t>
  </si>
  <si>
    <t>Max H.2400</t>
  </si>
  <si>
    <t>WD DOOR H. 240 CM</t>
  </si>
  <si>
    <t>DOOR PANEL W. 40 CM</t>
  </si>
  <si>
    <t>DOOR PANEL W. 45 CM</t>
  </si>
  <si>
    <t>DOOR PANEL W. 48 CM</t>
  </si>
  <si>
    <t>DOOR PANEL W. 50 CM</t>
  </si>
  <si>
    <t>DOOR PANEL W. 55 CM</t>
  </si>
  <si>
    <t>DOOR PANEL W. 60 CM</t>
  </si>
  <si>
    <t>WD DOOR H. 256 CM</t>
  </si>
  <si>
    <t>WD DOOR H. 272 CM</t>
  </si>
  <si>
    <t>WD DOOR H. 228 CM</t>
  </si>
  <si>
    <t>WD DOOR H. 208 CM</t>
  </si>
  <si>
    <t>DOOR H. 36 CM</t>
  </si>
  <si>
    <t>DOOR PANEL W. 80 CM (HORIZONTAL)</t>
  </si>
  <si>
    <t>DOOR PANEL W. 90 CM (HORIZONTAL)</t>
  </si>
  <si>
    <t>DOOR PANEL W. 100 CM (HORIZONTAL)</t>
  </si>
  <si>
    <t>DOOR PANEL W. 110 CM (HORIZONTAL)</t>
  </si>
  <si>
    <t>DOOR PANEL W. 120 CM (HORIZONTAL)</t>
  </si>
  <si>
    <t>WD DOOR H. 48 CM</t>
  </si>
  <si>
    <t>WD DOOR H. 60 CM</t>
  </si>
  <si>
    <t>WD DOOR H. 80 CM</t>
  </si>
  <si>
    <t>WD DOOR H. 100 CM</t>
  </si>
  <si>
    <t>WD DOOR H. 120 CM</t>
  </si>
  <si>
    <t>DRAWER PANEL</t>
  </si>
  <si>
    <t>DRAWER PANEL H. 16 cm</t>
  </si>
  <si>
    <t>DRAWER PANEL W. 45 CM</t>
  </si>
  <si>
    <t>DRAWER PANEL W. 48 CM</t>
  </si>
  <si>
    <t>DRAWER PANEL W. 50 CM</t>
  </si>
  <si>
    <t>DRAWER PANEL W. 60 CM</t>
  </si>
  <si>
    <t>DRAWER PANEL W. 90 CM</t>
  </si>
  <si>
    <t>DRAWER PANEL W. 96 CM</t>
  </si>
  <si>
    <t>DRAWER PANEL W. 100 CM</t>
  </si>
  <si>
    <t>DRAWER PANEL W. 120 CM</t>
  </si>
  <si>
    <t>DRAWER PANEL H. 18 cm</t>
  </si>
  <si>
    <t>DRAWER PANEL H. 12 cm</t>
  </si>
  <si>
    <t>END PANEL</t>
  </si>
  <si>
    <t>END PANEL D . 75 CM</t>
  </si>
  <si>
    <t>END PANEL W. 75 H 240</t>
  </si>
  <si>
    <t>END PANEL W. 75 H 256</t>
  </si>
  <si>
    <t>END PANEL W. 75 H 272</t>
  </si>
  <si>
    <t>END PANEL W. 75 H 228</t>
  </si>
  <si>
    <t>END PANEL W. 75 H 208</t>
  </si>
  <si>
    <t>END PANEL W. 75 H 36</t>
  </si>
  <si>
    <t>END PANEL W. 75 H 48</t>
  </si>
  <si>
    <t>END PANEL W. 75 H 60</t>
  </si>
  <si>
    <t>END PANEL W. 75 H 80</t>
  </si>
  <si>
    <t>END PANEL W. 75 H 100</t>
  </si>
  <si>
    <t>END PANEL W. 75 H 110</t>
  </si>
  <si>
    <t>END PANEL W. 75 H 120</t>
  </si>
  <si>
    <t>END PANEL D . 62 CM</t>
  </si>
  <si>
    <t>END PANEL W. 62 H 240</t>
  </si>
  <si>
    <t>END PANEL W. 62 H 256</t>
  </si>
  <si>
    <t>END PANEL W. 62 H 272</t>
  </si>
  <si>
    <t>END PANEL W. 62 H 228</t>
  </si>
  <si>
    <t>END PANEL W. 62 H 208</t>
  </si>
  <si>
    <t>END PANEL W. 62 H 36</t>
  </si>
  <si>
    <t>END PANEL W. 62 H 48</t>
  </si>
  <si>
    <t>END PANEL W. 62 H 60</t>
  </si>
  <si>
    <t>END PANEL W. 62 H 80</t>
  </si>
  <si>
    <t>END PANEL W. 62 H 100</t>
  </si>
  <si>
    <t>END PANEL W. 62 H 110</t>
  </si>
  <si>
    <t>END PANEL W. 62 H 120</t>
  </si>
  <si>
    <t>END PANEL D . 45 CM</t>
  </si>
  <si>
    <t>END PANEL W. 45 H 240</t>
  </si>
  <si>
    <t>END PANEL W. 45 H 256</t>
  </si>
  <si>
    <t>END PANEL W. 45 H 272</t>
  </si>
  <si>
    <t>END PANEL W. 45 H 228</t>
  </si>
  <si>
    <t>END PANEL W. 45 H 208</t>
  </si>
  <si>
    <t>END PANEL W. 45 H 36</t>
  </si>
  <si>
    <t>END PANEL W. 45 H 48</t>
  </si>
  <si>
    <t>END PANEL W. 45 H 60</t>
  </si>
  <si>
    <t>END PANEL W. 45 H 80</t>
  </si>
  <si>
    <t>END PANEL W. 45 H 100</t>
  </si>
  <si>
    <t>END PANEL W. 45 H 110</t>
  </si>
  <si>
    <t>END PANEL W. 45 H 120</t>
  </si>
  <si>
    <t>FILLER (exclude Rubber seal)</t>
  </si>
  <si>
    <t>FILLER W. 10 H 240</t>
  </si>
  <si>
    <t>FILLER W. 10 H 256</t>
  </si>
  <si>
    <t>FILLER W. 10 H 272</t>
  </si>
  <si>
    <t>FILLER W. 10 H 228</t>
  </si>
  <si>
    <t>FILLER W. 10 H 208</t>
  </si>
  <si>
    <t>FILLER W. 10 H 36</t>
  </si>
  <si>
    <t>FILLER W. 10 H 48</t>
  </si>
  <si>
    <t>FILLER W. 10 H 60</t>
  </si>
  <si>
    <t>FILLER W. 10 H 80</t>
  </si>
  <si>
    <t>FILLER W. 10 H 100</t>
  </si>
  <si>
    <t>FILLER W. 10 H 110</t>
  </si>
  <si>
    <t>FILLER W. 10 H 120</t>
  </si>
  <si>
    <t>UPPER FILLER</t>
  </si>
  <si>
    <t>UPPER FILLER H 10 CM</t>
  </si>
  <si>
    <t>UPPER FILLER H 15 CM</t>
  </si>
  <si>
    <t>UPPER FILLER H 20 CM</t>
  </si>
  <si>
    <t>UPPER FILLER H 25 CM</t>
  </si>
  <si>
    <t>UPPER FILLER H 30 CM</t>
  </si>
  <si>
    <t>PLINTH</t>
  </si>
  <si>
    <t>PLINTH H. 77mm - 100mm</t>
  </si>
  <si>
    <t>OTHERS (Classic Only)</t>
  </si>
  <si>
    <t>PILASTER W. 100</t>
  </si>
  <si>
    <t>PILASTER HEAD</t>
  </si>
  <si>
    <t>CORNICE / METER H.70mm</t>
  </si>
  <si>
    <t>ARC LINE CURVE FILLER R37</t>
  </si>
  <si>
    <t>Filler Curve R37 H 240</t>
  </si>
  <si>
    <t>Filler Curve R37 H 256</t>
  </si>
  <si>
    <t>Filler Curve R37 H 272</t>
  </si>
  <si>
    <t>Filler Curve R37 H 228</t>
  </si>
  <si>
    <t>Filler Curve R37 H 208</t>
  </si>
  <si>
    <t>Filler Curve R37 H 36</t>
  </si>
  <si>
    <t>Filler Curve R37 H 48</t>
  </si>
  <si>
    <t>Filler Curve R37 H 60</t>
  </si>
  <si>
    <t>Filler Curve R37 H 80</t>
  </si>
  <si>
    <t>Filler Curve R37 H 100</t>
  </si>
  <si>
    <t>Filler Curve R37 H 110</t>
  </si>
  <si>
    <t>Filler Curve R37 H 120</t>
  </si>
  <si>
    <t>ARC LINE CURVE FILLER R50</t>
  </si>
  <si>
    <t>Filler Curve R50 H 240</t>
  </si>
  <si>
    <t>Filler Curve R50 H 256</t>
  </si>
  <si>
    <t>Filler Curve R50 H 272</t>
  </si>
  <si>
    <t>Filler Curve R50 H 228</t>
  </si>
  <si>
    <t>Filler Curve R50 H 208</t>
  </si>
  <si>
    <t>Filler Curve R50 H 36</t>
  </si>
  <si>
    <t>Filler Curve R50 H 48</t>
  </si>
  <si>
    <t>Filler Curve R50 H 60</t>
  </si>
  <si>
    <t>Filler Curve R50 H 80</t>
  </si>
  <si>
    <t>Filler Curve R50 H 100</t>
  </si>
  <si>
    <t>Filler Curve R50 H 110</t>
  </si>
  <si>
    <t>Filler Curve R50 H 120</t>
  </si>
  <si>
    <t>Autumn YMLD004</t>
  </si>
  <si>
    <t>Autumn YMLD002</t>
  </si>
  <si>
    <t>Autumn YDH103</t>
  </si>
  <si>
    <t>WARDROBE
SWING DOOR 170°</t>
  </si>
  <si>
    <t>konsul panel apa
saja yg bisa</t>
  </si>
  <si>
    <t>WARDROBE SLIDING DOOR
with HANDGRIP FRAME</t>
  </si>
  <si>
    <t>tanpa frame</t>
  </si>
  <si>
    <t>SLIDING DOOR H. 240 CM</t>
  </si>
  <si>
    <t>Sliding door h.2350 , w 600</t>
  </si>
  <si>
    <t>Sliding door h.2350 , w 700</t>
  </si>
  <si>
    <t>Sliding door h.2350 , w 800</t>
  </si>
  <si>
    <t>Sliding door h.2350 , w 960</t>
  </si>
  <si>
    <t>Sliding door h.2350 , w 1000</t>
  </si>
  <si>
    <t>Sliding door h.2350 , w 1100</t>
  </si>
  <si>
    <t>Sliding door h.2350 , w 1200</t>
  </si>
  <si>
    <t>Sliding door h.2350 , w 1300</t>
  </si>
  <si>
    <t>Sliding door h.2350 , w 1400</t>
  </si>
  <si>
    <t>Sliding door h.2350 , w 1500</t>
  </si>
  <si>
    <t>SLIDING DOOR H. 256 CM</t>
  </si>
  <si>
    <t>Sliding door h.2510 , w 600</t>
  </si>
  <si>
    <t>Sliding door h.2510 , w 700</t>
  </si>
  <si>
    <t>Sliding door h.2510 , w 800</t>
  </si>
  <si>
    <t>Sliding door h.2510 , w 960</t>
  </si>
  <si>
    <t>Sliding door h.2510 , w 1000</t>
  </si>
  <si>
    <t>Sliding door h.2510 , w 1100</t>
  </si>
  <si>
    <t>Sliding door h.2510 , w 1200</t>
  </si>
  <si>
    <t>Sliding door h.2510 , w 1300</t>
  </si>
  <si>
    <t>Sliding door h.2510 , w 1400</t>
  </si>
  <si>
    <t>Sliding door h.2510 , w 1500</t>
  </si>
  <si>
    <t>Sliding door h.2670 , w 600</t>
  </si>
  <si>
    <t>Sliding door h.2670 , w 700</t>
  </si>
  <si>
    <t>Sliding door h.2670 , w 800</t>
  </si>
  <si>
    <t>Sliding door h.2670 , w 960</t>
  </si>
  <si>
    <t>Sliding door h.2670 , w 1000</t>
  </si>
  <si>
    <t>Sliding door h.2670 , w 1100</t>
  </si>
  <si>
    <t>Sliding door h.2670 , w 1200</t>
  </si>
  <si>
    <t>Sliding door h.2670 , w 1300</t>
  </si>
  <si>
    <t>Sliding door h.2670 , w 1400</t>
  </si>
  <si>
    <t>Sliding door h.2670 , w 1500</t>
  </si>
  <si>
    <t>Sliding door h.2230 , w 600</t>
  </si>
  <si>
    <t>Sliding door h.2230 , w 700</t>
  </si>
  <si>
    <t>Sliding door h.2230 , w 800</t>
  </si>
  <si>
    <t>Sliding door h.2230 , w 960</t>
  </si>
  <si>
    <t>Sliding door h.2230 , w 1000</t>
  </si>
  <si>
    <t>Sliding door h.2230 , w 1100</t>
  </si>
  <si>
    <t>Sliding door h.2230 , w 1200</t>
  </si>
  <si>
    <t>Sliding door h.2230 , w 1300</t>
  </si>
  <si>
    <t>Sliding door h.2230 , w 1400</t>
  </si>
  <si>
    <t>Sliding door h.2230 , w 1500</t>
  </si>
  <si>
    <t>Sliding door h.2030 , w 600</t>
  </si>
  <si>
    <t>Sliding door h.2030 , w 700</t>
  </si>
  <si>
    <t>Sliding door h.2030 , w 800</t>
  </si>
  <si>
    <t>Sliding door h.2030 , w 960</t>
  </si>
  <si>
    <t>Sliding door h.2030 , w 1000</t>
  </si>
  <si>
    <t>Sliding door h.2030 , w 1100</t>
  </si>
  <si>
    <t>Sliding door h.2030 , w 1200</t>
  </si>
  <si>
    <t>Sliding door h.2030 , w 1300</t>
  </si>
  <si>
    <t>Sliding door h.2030 , w 1400</t>
  </si>
  <si>
    <t>Sliding door h.2030 , w 1500</t>
  </si>
  <si>
    <t>STELLAMOBILI SWING GLASS DOOR PRICELIST</t>
  </si>
  <si>
    <t>BLUM (110° / 170°)</t>
  </si>
  <si>
    <t>BLUM SLIM (110° only)</t>
  </si>
  <si>
    <t>FURNITAL LIGHT (Ex-Salice) max 20kg</t>
  </si>
  <si>
    <t>FURNITAL AIR HINGE (Heavier Door) max 30kg</t>
  </si>
  <si>
    <t>BLUM
HINGES
COUNT</t>
  </si>
  <si>
    <t>Clear Glass</t>
  </si>
  <si>
    <t>Crystal Clear Glass</t>
  </si>
  <si>
    <t>Colored Glass</t>
  </si>
  <si>
    <t>Acid Glass</t>
  </si>
  <si>
    <t>Acid Colored Glass</t>
  </si>
  <si>
    <t>Mirror</t>
  </si>
  <si>
    <t>Colored Mirror</t>
  </si>
  <si>
    <t>Acid Mirror</t>
  </si>
  <si>
    <t>Colored Acid Mirror</t>
  </si>
  <si>
    <t>Reflective</t>
  </si>
  <si>
    <t>Painted Glass White</t>
  </si>
  <si>
    <t>Painted Glass Black</t>
  </si>
  <si>
    <t>Flute Glass</t>
  </si>
  <si>
    <t>Acid Flute Glass</t>
  </si>
  <si>
    <t>BLUM SLIM
HINGES
COUNT</t>
  </si>
  <si>
    <t>F.LIGHT
HINGE
COUNT</t>
  </si>
  <si>
    <t>F.HEAVY
HINGE
COUNT</t>
  </si>
  <si>
    <t>*Colored artinya bisa Bronze / Grey</t>
  </si>
  <si>
    <t>NO</t>
  </si>
  <si>
    <t>ITEM</t>
  </si>
  <si>
    <t>hinge included</t>
  </si>
  <si>
    <t>WARDROBE h. 2400</t>
  </si>
  <si>
    <t>Wardrobe door h.2400 , w 400</t>
  </si>
  <si>
    <t>Wardrobe door h.2400 , w 450</t>
  </si>
  <si>
    <t>Wardrobe door h.2400 , w 480</t>
  </si>
  <si>
    <t>Wardrobe door h.2400 , w 500</t>
  </si>
  <si>
    <t>Wardrobe door h.2400 , w 550</t>
  </si>
  <si>
    <t>Wardrobe door h.2400 , w 600</t>
  </si>
  <si>
    <t>WARDROBE h. 2560</t>
  </si>
  <si>
    <t>Wardrobe door h.2560 , w 400</t>
  </si>
  <si>
    <t>Wardrobe door h.2560 , w 450</t>
  </si>
  <si>
    <t>Wardrobe door h.2560 , w 480</t>
  </si>
  <si>
    <t>Wardrobe door h.2560 , w 500</t>
  </si>
  <si>
    <t>Wardrobe door h.2560 , w 550</t>
  </si>
  <si>
    <t>Wardrobe door h.2560 , w 600</t>
  </si>
  <si>
    <t>WARDROBE h. 2720</t>
  </si>
  <si>
    <t>Wardrobe door h.2720 , w 400</t>
  </si>
  <si>
    <t>Wardrobe door h.2720 , w 450</t>
  </si>
  <si>
    <t>Wardrobe door h.2720 , w 480</t>
  </si>
  <si>
    <t>Wardrobe door h.2720 , w 500</t>
  </si>
  <si>
    <t>Wardrobe door h.2720 , w 550</t>
  </si>
  <si>
    <t>Wardrobe door h.2720 , w 600</t>
  </si>
  <si>
    <t>WARDROBE h. 2280</t>
  </si>
  <si>
    <t>Wardrobe door h.2280 , w 400</t>
  </si>
  <si>
    <t>Wardrobe door h.2280 , w 450</t>
  </si>
  <si>
    <t>Wardrobe door h.2280 , w 480</t>
  </si>
  <si>
    <t>Wardrobe door h.2280 , w 500</t>
  </si>
  <si>
    <t>Wardrobe door h.2280 , w 550</t>
  </si>
  <si>
    <t>Wardrobe door h.2280 , w 600</t>
  </si>
  <si>
    <t>WARDROBE h. 2080</t>
  </si>
  <si>
    <t>Wardrobe door h.2080 , w 400</t>
  </si>
  <si>
    <t>Wardrobe door h.2080 , w 450</t>
  </si>
  <si>
    <t>Wardrobe door h.2080 , w 480</t>
  </si>
  <si>
    <t>Wardrobe door h.2080 , w 500</t>
  </si>
  <si>
    <t>Wardrobe door h.2080 , w 550</t>
  </si>
  <si>
    <t>Wardrobe door h.2080 , w 600</t>
  </si>
  <si>
    <t>DOOR H. 360</t>
  </si>
  <si>
    <t>Wardrobe door h.360 , w 400</t>
  </si>
  <si>
    <t>Wardrobe door h.360 , w 450</t>
  </si>
  <si>
    <t>Wardrobe door h.360 , w 500</t>
  </si>
  <si>
    <t>Wardrobe door h.360 , w 550</t>
  </si>
  <si>
    <t>Wardrobe door h.360 , w 600</t>
  </si>
  <si>
    <t>Wardrobe door h.360 , w 800</t>
  </si>
  <si>
    <t>Wardrobe door h.360 , w 900</t>
  </si>
  <si>
    <t>Wardrobe door h.360 , w 1000</t>
  </si>
  <si>
    <t>Wardrobe door h.360 , w 1100</t>
  </si>
  <si>
    <t>Wardrobe door h.360 , w 1200</t>
  </si>
  <si>
    <t>Wardrobe door h.360 , w 1500</t>
  </si>
  <si>
    <t>DOOR H. 480</t>
  </si>
  <si>
    <t>Wardrobe door h.400 , w 400</t>
  </si>
  <si>
    <t>Wardrobe door h.400 , w 450</t>
  </si>
  <si>
    <t>Wardrobe door h.400 , w 480</t>
  </si>
  <si>
    <t>Wardrobe door h.400 , w 500</t>
  </si>
  <si>
    <t>Wardrobe door h.400 , w 550</t>
  </si>
  <si>
    <t>Wardrobe door h.400 , w 600</t>
  </si>
  <si>
    <t>DOOR H. 600</t>
  </si>
  <si>
    <t>Wardrobe door h.600 , w 400</t>
  </si>
  <si>
    <t>Wardrobe door h.600 , w 450</t>
  </si>
  <si>
    <t>Wardrobe door h.600 , w 480</t>
  </si>
  <si>
    <t>Wardrobe door h.600 , w 500</t>
  </si>
  <si>
    <t>Wardrobe door h.600 , w 550</t>
  </si>
  <si>
    <t>Wardrobe door h.600 , w 600</t>
  </si>
  <si>
    <t>DOOR H. 800</t>
  </si>
  <si>
    <t>Wardrobe door h.800 , w 400</t>
  </si>
  <si>
    <t>Wardrobe door h.800 , w 450</t>
  </si>
  <si>
    <t>Wardrobe door h.800 , w 480</t>
  </si>
  <si>
    <t>Wardrobe door h.800 , w 500</t>
  </si>
  <si>
    <t>Wardrobe door h.800 , w 550</t>
  </si>
  <si>
    <t>Wardrobe door h.800 , w 600</t>
  </si>
  <si>
    <t>DOOR H. 1000</t>
  </si>
  <si>
    <t>Wardrobe door h.1000 , w 400</t>
  </si>
  <si>
    <t>Wardrobe door h.1000 , w 450</t>
  </si>
  <si>
    <t>Wardrobe door h.1000 , w 480</t>
  </si>
  <si>
    <t>Wardrobe door h.1000 , w 500</t>
  </si>
  <si>
    <t>Wardrobe door h.1000 , w 550</t>
  </si>
  <si>
    <t>Wardrobe door h.1000 , w 600</t>
  </si>
  <si>
    <t>DOOR H. 1200</t>
  </si>
  <si>
    <t>Wardrobe door h.1200 , w 400</t>
  </si>
  <si>
    <t>Wardrobe door h.1200 , w 450</t>
  </si>
  <si>
    <t>Wardrobe door h.1200 , w 480</t>
  </si>
  <si>
    <t>Wardrobe door h.1200 , w 500</t>
  </si>
  <si>
    <t>Wardrobe door h.1200 , w 550</t>
  </si>
  <si>
    <t>Wardrobe door h.1200 , w 600</t>
  </si>
  <si>
    <t>STELLAMOBILI SLIDING GLASS DOOR PRICELIST</t>
  </si>
  <si>
    <r>
      <rPr>
        <b/>
        <sz val="16"/>
        <color theme="1"/>
        <rFont val="Calibri"/>
      </rPr>
      <t xml:space="preserve">HETTICH </t>
    </r>
    <r>
      <rPr>
        <sz val="12"/>
        <color theme="1"/>
        <rFont val="Calibri"/>
      </rPr>
      <t>(4 Sided frame with middle crossbeams)</t>
    </r>
  </si>
  <si>
    <r>
      <rPr>
        <b/>
        <sz val="16"/>
        <color theme="1"/>
        <rFont val="Calibri"/>
      </rPr>
      <t xml:space="preserve">HANDGRIP </t>
    </r>
    <r>
      <rPr>
        <sz val="12"/>
        <color theme="1"/>
        <rFont val="Calibri"/>
      </rPr>
      <t>(tidak disarankan dengan glass karena ada backing panel, frame hanya 2 sisi)</t>
    </r>
  </si>
  <si>
    <t>Wardrobe door h.2400 , w 700</t>
  </si>
  <si>
    <t>Wardrobe door h.2400 , w 800</t>
  </si>
  <si>
    <t>Wardrobe door h.2400 , w 900</t>
  </si>
  <si>
    <t>Wardrobe door h.2400 , w 1000</t>
  </si>
  <si>
    <t>Wardrobe door h.2400 , w 1100</t>
  </si>
  <si>
    <t>Wardrobe door h.2400 , w 1200</t>
  </si>
  <si>
    <t>Wardrobe door h.2400 , w 1300</t>
  </si>
  <si>
    <t>Wardrobe door h.2400 , w 1400</t>
  </si>
  <si>
    <t>Wardrobe door h.2400 , w 1500</t>
  </si>
  <si>
    <t>Wardrobe door h.2560 , w 700</t>
  </si>
  <si>
    <t>Wardrobe door h.2560 , w 800</t>
  </si>
  <si>
    <t>Wardrobe door h.2560 , w 900</t>
  </si>
  <si>
    <t>Wardrobe door h.2560 , w 1000</t>
  </si>
  <si>
    <t>Wardrobe door h.2560 , w 1100</t>
  </si>
  <si>
    <t>Wardrobe door h.2560 , w 1200</t>
  </si>
  <si>
    <t>Wardrobe door h.2560 , w 1300</t>
  </si>
  <si>
    <t>Wardrobe door h.2560 , w 1400</t>
  </si>
  <si>
    <t>Wardrobe door h.2560 , w 1500</t>
  </si>
  <si>
    <t>Wardrobe door h.2720 , w 700</t>
  </si>
  <si>
    <t>Wardrobe door h.2720 , w 800</t>
  </si>
  <si>
    <t>Wardrobe door h.2720 , w 900</t>
  </si>
  <si>
    <t>Wardrobe door h.2720 , w 1000</t>
  </si>
  <si>
    <t>Wardrobe door h.2720 , w 1100</t>
  </si>
  <si>
    <t>Wardrobe door h.2720 , w 1200</t>
  </si>
  <si>
    <t>Wardrobe door h.2720 , w 1300</t>
  </si>
  <si>
    <t>Wardrobe door h.2720 , w 1400</t>
  </si>
  <si>
    <t>Wardrobe door h.2720 , w 1500</t>
  </si>
  <si>
    <t>WARDROBE h. 3000</t>
  </si>
  <si>
    <t>Wardrobe door h.3000 , w 600</t>
  </si>
  <si>
    <t>Wardrobe door h.3000 , w 700</t>
  </si>
  <si>
    <t>Wardrobe door h.3000 , w 800</t>
  </si>
  <si>
    <t>Wardrobe door h.3000 , w 900</t>
  </si>
  <si>
    <t>Wardrobe door h.3000 , w 1000</t>
  </si>
  <si>
    <t>Wardrobe door h.3000 , w 1100</t>
  </si>
  <si>
    <t>Wardrobe door h.3000 , w 1200</t>
  </si>
  <si>
    <t>Wardrobe door h.3000 , w 1300</t>
  </si>
  <si>
    <t>Wardrobe door h.3000 , w 1400</t>
  </si>
  <si>
    <t>Wardrobe door h.3000 , w 1500</t>
  </si>
  <si>
    <t>Wardrobe door h.2280 , w 700</t>
  </si>
  <si>
    <t>Wardrobe door h.2280 , w 800</t>
  </si>
  <si>
    <t>Wardrobe door h.2280 , w 900</t>
  </si>
  <si>
    <t>Wardrobe door h.2280 , w 1000</t>
  </si>
  <si>
    <t>Wardrobe door h.2280 , w 1100</t>
  </si>
  <si>
    <t>Wardrobe door h.2280 , w 1200</t>
  </si>
  <si>
    <t>Wardrobe door h.2280 , w 1300</t>
  </si>
  <si>
    <t>Wardrobe door h.2280 , w 1400</t>
  </si>
  <si>
    <t>Wardrobe door h.2280 , w 1500</t>
  </si>
  <si>
    <t>Wardrobe door h.2080 , w 700</t>
  </si>
  <si>
    <t>Wardrobe door h.2080 , w 800</t>
  </si>
  <si>
    <t>Wardrobe door h.2080 , w 900</t>
  </si>
  <si>
    <t>Wardrobe door h.2080 , w 1000</t>
  </si>
  <si>
    <t>Wardrobe door h.2080 , w 1100</t>
  </si>
  <si>
    <t>Wardrobe door h.2080 , w 1200</t>
  </si>
  <si>
    <t>Wardrobe door h.2080 , w 1300</t>
  </si>
  <si>
    <t>Wardrobe door h.2080 , w 1400</t>
  </si>
  <si>
    <t>Wardrobe door h.2080 , w 1500</t>
  </si>
  <si>
    <t>Stella mobili</t>
  </si>
  <si>
    <t>UPPER CABINET PRICELIST</t>
  </si>
  <si>
    <t>Showroom Price exPPN - JUNE 2026
Hinge Included</t>
  </si>
  <si>
    <t>TZ
(High Gloss &amp; Satin)</t>
  </si>
  <si>
    <t>No</t>
  </si>
  <si>
    <t>D. 60 CM</t>
  </si>
  <si>
    <t>D. 45 CM</t>
  </si>
  <si>
    <t>CABINET HEIGHT 48 CM</t>
  </si>
  <si>
    <t>UPPER CAB width 40 cm</t>
  </si>
  <si>
    <t>UPPER CAB width 48 cm</t>
  </si>
  <si>
    <t>UPPER CAB width 50 cm</t>
  </si>
  <si>
    <t>UPPER CAB width 55 cm</t>
  </si>
  <si>
    <t>UPPER CAB width 60 cm</t>
  </si>
  <si>
    <t>UPPER CAB width 80 cm</t>
  </si>
  <si>
    <t>UPPER CAB width 96 cm</t>
  </si>
  <si>
    <t>UPPER CAB width 100 cm</t>
  </si>
  <si>
    <t>UPPER CAB width 110 cm</t>
  </si>
  <si>
    <t>UPPER CAB width 120 cm</t>
  </si>
  <si>
    <t>CABINET HEIGHT 60 CM</t>
  </si>
  <si>
    <t>UPPER CAB width 40 cm + 1 Shelf</t>
  </si>
  <si>
    <t>UPPER CAB width 48 cm + 1 Shelf</t>
  </si>
  <si>
    <t>UPPER CAB width 50 cm + 1 Shelf</t>
  </si>
  <si>
    <t>UPPER CAB width 55 cm + 1 Shelf</t>
  </si>
  <si>
    <t>UPPER CAB width 60 cm + 1 Shelf</t>
  </si>
  <si>
    <t>UPPER CAB width 80 cm + 1 Shelf</t>
  </si>
  <si>
    <t>UPPER CAB width 96 cm + 1 Shelf</t>
  </si>
  <si>
    <t>UPPER CAB width 100 cm + 1 Shelf</t>
  </si>
  <si>
    <t>UPPER CAB width 110 cm + 1 Shelf</t>
  </si>
  <si>
    <t>UPPER CAB width 120 cm + 1 Shelf</t>
  </si>
  <si>
    <t>CABINET HEIGHT 80 CM</t>
  </si>
  <si>
    <t>CABINET HEIGHT 100 CM</t>
  </si>
  <si>
    <t>UPPER CAB width 40 cm + 2 Shelves</t>
  </si>
  <si>
    <t>UPPER CAB width 48 cm + 2 Shelves</t>
  </si>
  <si>
    <t>UPPER CAB width 50 cm + 2 Shelves</t>
  </si>
  <si>
    <t>UPPER CAB width 55 cm + 2 Shelves</t>
  </si>
  <si>
    <t>UPPER CAB width 60 cm + 2 Shelves</t>
  </si>
  <si>
    <t>UPPER CAB width 80 cm + 2 Shelves</t>
  </si>
  <si>
    <t>UPPER CAB width 96 cm + 2 Shelves</t>
  </si>
  <si>
    <t>UPPER CAB width 100 cm + 2 Shelves</t>
  </si>
  <si>
    <t>UPPER CAB width 110 cm + 2 Shelves</t>
  </si>
  <si>
    <t>UPPER CAB width 120 cm + 2 Shelves</t>
  </si>
  <si>
    <t>CABINET HEIGHT 120 CM</t>
  </si>
  <si>
    <t>End panel h. 36 cm</t>
  </si>
  <si>
    <t>End panel h. 48 cm</t>
  </si>
  <si>
    <t>End panel h. 60 cm</t>
  </si>
  <si>
    <t>End panel h. 80 cm</t>
  </si>
  <si>
    <t>End panel h. 100 cm</t>
  </si>
  <si>
    <t>End panel h. 120 cm</t>
  </si>
  <si>
    <t>FILLER w.100</t>
  </si>
  <si>
    <t>Filler h. 36 cm</t>
  </si>
  <si>
    <t>Filler h. 48 cm</t>
  </si>
  <si>
    <t>Filler h. 60 cm</t>
  </si>
  <si>
    <t>Filler h. 80 cm</t>
  </si>
  <si>
    <t>Filler h. 100 cm</t>
  </si>
  <si>
    <t>Filler h. 120 cm</t>
  </si>
  <si>
    <t>UPPER CABINET MIRROR PRICELIST</t>
  </si>
  <si>
    <t>Hinge
Count</t>
  </si>
  <si>
    <t>HINGE
Count</t>
  </si>
  <si>
    <t>PCS</t>
  </si>
  <si>
    <t>Set</t>
  </si>
  <si>
    <t>UPPER width 40 cm</t>
  </si>
  <si>
    <t>UPPER width 48 cm</t>
  </si>
  <si>
    <t>UPPER width 50 cm</t>
  </si>
  <si>
    <t>UPPER width 55 cm</t>
  </si>
  <si>
    <t>UPPER width 60 cm</t>
  </si>
  <si>
    <t>UPPER width 80 cm</t>
  </si>
  <si>
    <t>UPPER width 96 cm</t>
  </si>
  <si>
    <t>UPPER width 100 cm</t>
  </si>
  <si>
    <t>UPPER width 110 cm</t>
  </si>
  <si>
    <t>UPPER width 120 cm</t>
  </si>
  <si>
    <t>UPPER width 40 cm + 1 Panel Shelf</t>
  </si>
  <si>
    <t>UPPER width 48 cm + 1 Panel Shelf</t>
  </si>
  <si>
    <t>UPPER width 50 cm + 1 Panel Shelf</t>
  </si>
  <si>
    <t>UPPER width 55 cm + 1 Panel Shelf</t>
  </si>
  <si>
    <t>UPPER width 60 cm + 1 Panel Shelf</t>
  </si>
  <si>
    <t>UPPER width 80 cm + 1 Panel Shelf</t>
  </si>
  <si>
    <t>UPPER width 96 cm + 1 Panel Shelf</t>
  </si>
  <si>
    <t>UPPER width 100 cm + 1 Panel Shelf</t>
  </si>
  <si>
    <t>UPPER width 110 cm + 1 Panel Shelf</t>
  </si>
  <si>
    <t>UPPER width 120 cm + 1 Panel Shelf</t>
  </si>
  <si>
    <t>UPPER width 40 cm + 2 Panel Shelves</t>
  </si>
  <si>
    <t>UPPER width 48 cm + 2 Panel Shelves</t>
  </si>
  <si>
    <t>UPPER width 50 cm + 2 Panel Shelves</t>
  </si>
  <si>
    <t>UPPER width 55 cm + 2 Panel Shelves</t>
  </si>
  <si>
    <t>UPPER width 60 cm + 2 Panel Shelves</t>
  </si>
  <si>
    <t>UPPER width 80 cm + 2 Panel Shelves</t>
  </si>
  <si>
    <t>UPPER width 96 cm + 2 Panel Shelves</t>
  </si>
  <si>
    <t>UPPER width 100 cm + 2 Panel Shelves</t>
  </si>
  <si>
    <t>UPPER width 110 cm + 2 Panel Shelves</t>
  </si>
  <si>
    <t>UPPER width 120 cm + 2 Panel Shelves</t>
  </si>
  <si>
    <t>DRESSING UPPERCAB
D. 20cm</t>
  </si>
  <si>
    <t xml:space="preserve">with
MIRROR
DOOR </t>
  </si>
  <si>
    <t>&lt;- untuk kanan kiri mirror dressing table</t>
  </si>
  <si>
    <t>CAB w250 h1200 with Tip-on &amp; Crystal Shelves</t>
  </si>
  <si>
    <t>CAB w250 h1500 with Tip-on &amp; Crystal Shelves</t>
  </si>
  <si>
    <t>CAB w250 h2000 with Tip-on &amp; Crystal Shelves</t>
  </si>
  <si>
    <t>CAB w350 h1200 with Tip-on &amp; Crystal Shelves</t>
  </si>
  <si>
    <t>CAB w350 h1500 with Tip-on &amp; Crystal Shelves</t>
  </si>
  <si>
    <t>CAB w350 h2000 with Tip-on &amp; Crystal Shelves</t>
  </si>
  <si>
    <t>CAB w450 h1200 with Tip-on &amp; Crystal Shelves</t>
  </si>
  <si>
    <t>CAB w450 h1500 with Tip-on &amp; Crystal Shelves</t>
  </si>
  <si>
    <t>CAB w450 h2000 with Tip-on &amp; Crystal Shelves</t>
  </si>
  <si>
    <t>BASE CABINET &amp; INTERNAL BLUM DRAWERS</t>
  </si>
  <si>
    <t>SHOWROOM PRICELIST JUNE 2026</t>
  </si>
  <si>
    <t>plinth, handle, and top table excluded</t>
  </si>
  <si>
    <t>DIMENSION mm</t>
  </si>
  <si>
    <t>HEIGHT</t>
  </si>
  <si>
    <t>Plinth 50mm, Cabinet 760mm. Total 810mm before top table</t>
  </si>
  <si>
    <t>D</t>
  </si>
  <si>
    <t>H</t>
  </si>
  <si>
    <t>W</t>
  </si>
  <si>
    <t>EXTERNAL CABINET (with BLUM drawers)</t>
  </si>
  <si>
    <t>BASE CABINET SHELF H.80 CM</t>
  </si>
  <si>
    <t>with 1 panel shelf, top exclude</t>
  </si>
  <si>
    <t>BASE CAB SHELF width 40 cm</t>
  </si>
  <si>
    <t>BASE CAB SHELF width 48 cm</t>
  </si>
  <si>
    <t>BASE CAB SHELF width 50 cm</t>
  </si>
  <si>
    <t>BASE CAB SHELF width 55 cm</t>
  </si>
  <si>
    <t>BASE CAB SHELF width 60 cm</t>
  </si>
  <si>
    <t>BASE CAB SHELF width 80 cm</t>
  </si>
  <si>
    <t>BASE CAB SHELF width 96 cm</t>
  </si>
  <si>
    <t>BASE CAB SHELF width 100 cm</t>
  </si>
  <si>
    <t>BASE CAB SHELF width 110 cm</t>
  </si>
  <si>
    <t>BASE CAB SHELF width 120 cm</t>
  </si>
  <si>
    <t>BASE CAB 1 DRAWER H.19 CM + SWING H.57 CM</t>
  </si>
  <si>
    <t>with 1 shelf, top exclude</t>
  </si>
  <si>
    <t>BASE CAB 1D + SWING width 40 cm</t>
  </si>
  <si>
    <t>BASE CAB 1D + SWING width 48 cm</t>
  </si>
  <si>
    <t>BASE CAB 1D + SWING width 60 cm</t>
  </si>
  <si>
    <t>BASE CAB 1D + SWING width 96 cm (2 swing door)</t>
  </si>
  <si>
    <t>HANGING 1 DRAWER H.19 CM, exclude top</t>
  </si>
  <si>
    <t>make sure back wall is strong enough</t>
  </si>
  <si>
    <t>HANGING 1 DRAWER width 48 cm</t>
  </si>
  <si>
    <t>HANGING 1 DRAWER width 60 cm</t>
  </si>
  <si>
    <t>HANGING 1 DRAWER width 96 cm</t>
  </si>
  <si>
    <t>BASE CABINET 2 DRAWERS</t>
  </si>
  <si>
    <t>( 2 x 18 cm. exclude top) : misalkan utk nightstand</t>
  </si>
  <si>
    <t>BASE CAB 2 DRAWERS width 48 cm</t>
  </si>
  <si>
    <t>BASE CAB 2 DRAWERS width 60 cm</t>
  </si>
  <si>
    <t>BASE CAB 2 DRAWERS width 96 cm</t>
  </si>
  <si>
    <t>BASE CABINET 4 DRAWERS</t>
  </si>
  <si>
    <t>4 DRAWERS ( 4 x 19 cm, exclude top)</t>
  </si>
  <si>
    <t>BASE CAB 4 DRAWERS width 48 cm</t>
  </si>
  <si>
    <t>BASE CAB 4 DRAWERS width 60 cm</t>
  </si>
  <si>
    <t>BASE CAB 4 DRAWERS width 96 cm</t>
  </si>
  <si>
    <t>INTERNAL DRAWERS</t>
  </si>
  <si>
    <t>7/8 EXT</t>
  </si>
  <si>
    <t>FULL EXTENSION</t>
  </si>
  <si>
    <t>1 DRAWER UNIT</t>
  </si>
  <si>
    <t>HANDLE EXCLUDE</t>
  </si>
  <si>
    <t>1 LARGE DRAWER UNIT</t>
  </si>
  <si>
    <t>2 DRAWER UNIT</t>
  </si>
  <si>
    <t>2 LARGE DRAWER UNIT</t>
  </si>
  <si>
    <t>3 DRAWER UNIT</t>
  </si>
  <si>
    <t>4 DRAWER UNIT</t>
  </si>
  <si>
    <t>MFC</t>
  </si>
  <si>
    <t>SUEDE</t>
  </si>
  <si>
    <t>DRAWER DIVIDER</t>
  </si>
  <si>
    <t>BASE CABINET &amp; INTERNAL STANDARD DRAWERS</t>
  </si>
  <si>
    <t>Sandstone
Highgloss</t>
  </si>
  <si>
    <t>EXTERNAL CABINET (with standard drawers)</t>
  </si>
  <si>
    <t>( 2 x 18 cm. exclude top) : misalkan utk nighstand</t>
  </si>
  <si>
    <t>FULL STD EXT</t>
  </si>
  <si>
    <t>suede includes drawer box</t>
  </si>
  <si>
    <t>ALUMINIUM MARBLE DOOR FRAME SHOWROOM PRICE</t>
  </si>
  <si>
    <t>EXCLUDE MARBLE</t>
  </si>
  <si>
    <t>Black Frame &amp; HPL Color</t>
  </si>
  <si>
    <t>DIMENSION</t>
  </si>
  <si>
    <t>Hinge Count</t>
  </si>
  <si>
    <t>Blum Hinge</t>
  </si>
  <si>
    <t>Include</t>
  </si>
  <si>
    <t>KITCHEN DOOR H 740</t>
  </si>
  <si>
    <t>SHOWROOM</t>
  </si>
  <si>
    <t>KITCHEN door h.720 , w 300</t>
  </si>
  <si>
    <t>KITCHEN door h.720 , w 400</t>
  </si>
  <si>
    <t>KITCHEN door h.720 , w 450</t>
  </si>
  <si>
    <t>KITCHEN door h.720 , w 500</t>
  </si>
  <si>
    <t>KITCHEN door h.720 , w 550</t>
  </si>
  <si>
    <t>KITCHEN door h.720 , w 600</t>
  </si>
  <si>
    <t>KITCHEN DOOR H 975</t>
  </si>
  <si>
    <t>-</t>
  </si>
  <si>
    <t>KITCHEN door h.975 , w 300</t>
  </si>
  <si>
    <t>KITCHEN door h.975 , w 400</t>
  </si>
  <si>
    <t>KITCHEN door h.975 , w 450</t>
  </si>
  <si>
    <t>KITCHEN door h.975 , w 500</t>
  </si>
  <si>
    <t>KITCHEN door h.975 , w 550</t>
  </si>
  <si>
    <t>KITCHEN door h.975 , w 600</t>
  </si>
  <si>
    <t>KITCHEN DOOR h. 600</t>
  </si>
  <si>
    <t>KITCHEN door h.600 , w 300</t>
  </si>
  <si>
    <t>KITCHEN door h.600 , w 400</t>
  </si>
  <si>
    <t>KITCHEN door h.600 , w 450</t>
  </si>
  <si>
    <t>KITCHEN door h.600 , w 500</t>
  </si>
  <si>
    <t>KITCHEN door h.600 , w 550</t>
  </si>
  <si>
    <t>KITCHEN door h.600 , w 600</t>
  </si>
  <si>
    <t>KITCHEN door h.1200 , w 300</t>
  </si>
  <si>
    <t>KITCHEN door h.1200 , w 400</t>
  </si>
  <si>
    <t>KITCHEN door h.1200 , w 450</t>
  </si>
  <si>
    <t>KITCHEN door h.1200 , w 500</t>
  </si>
  <si>
    <t>KITCHEN door h.1200 , w 550</t>
  </si>
  <si>
    <t>KITCHEN door h.1200 , w 600</t>
  </si>
  <si>
    <t>DOOR H. 1174</t>
  </si>
  <si>
    <t>KITCHEN door h.1174 , w 450</t>
  </si>
  <si>
    <t>KITCHEN door h.1174 , w 600</t>
  </si>
  <si>
    <t>DOOR H. 1280</t>
  </si>
  <si>
    <t>KITCHEN door h.1280 , w 450</t>
  </si>
  <si>
    <t>KITCHEN door h.1280 , w 600</t>
  </si>
  <si>
    <t>DOOR H. 1530</t>
  </si>
  <si>
    <t>KITCHEN door h.1530 , w 450</t>
  </si>
  <si>
    <t>KITCHEN door h.1530 , w 600</t>
  </si>
  <si>
    <t>DOOR H. 2050</t>
  </si>
  <si>
    <t>KITCHEN door h.2050 , w 450</t>
  </si>
  <si>
    <t>KITCHEN door h.2050 , w 600</t>
  </si>
  <si>
    <t>DOOR H. 2300</t>
  </si>
  <si>
    <t>KITCHEN door h.2300 , w 450</t>
  </si>
  <si>
    <t>KITCHEN door h.2300 , w 600</t>
  </si>
  <si>
    <t>FACE  DRAWER H.180</t>
  </si>
  <si>
    <t>FACE DRAWER w.600 h.180</t>
  </si>
  <si>
    <t>FACE DRAWER w.900 h.180</t>
  </si>
  <si>
    <t>FACE  DRAWER H.360</t>
  </si>
  <si>
    <t>FACE DRAWER w.600 h.360</t>
  </si>
  <si>
    <t>FACE DRAWER w.900 h.360</t>
  </si>
  <si>
    <t>WD COMPONENT SHOWROOM PRICE exPPN</t>
  </si>
  <si>
    <t>WARDROBE COMPONENTS</t>
  </si>
  <si>
    <t>(D = Depth) (Pilihan warna: tweed, woven linen, grey sterling, sand stone, canvas grey, supermatt white)</t>
  </si>
  <si>
    <t>ALLUMINIUM STANDING GATE FOR CORNER</t>
  </si>
  <si>
    <t>UNIT</t>
  </si>
  <si>
    <t>ALLUMINIUM</t>
  </si>
  <si>
    <t>Standing gate H. 2000</t>
  </si>
  <si>
    <t>pcs</t>
  </si>
  <si>
    <t>Standing gate H. 2400</t>
  </si>
  <si>
    <t>Standing gate H. 2560</t>
  </si>
  <si>
    <t>Standing gate H. 2720</t>
  </si>
  <si>
    <t>CORNER BASE STRUCTURE</t>
  </si>
  <si>
    <t>PRICE</t>
  </si>
  <si>
    <t>Base corner corner 48 + 48</t>
  </si>
  <si>
    <t>Base corner corner 48 + 50</t>
  </si>
  <si>
    <t>Base corner corner 48 + 60</t>
  </si>
  <si>
    <t>Base corner corner 48 + 96</t>
  </si>
  <si>
    <t>Base corner corner 48 + 100</t>
  </si>
  <si>
    <t>Base corner corner 50 + 50</t>
  </si>
  <si>
    <t>Base corner corner 50 + 60</t>
  </si>
  <si>
    <t>Base corner corner 50 + 96</t>
  </si>
  <si>
    <t>Base corner corner 50 + 100</t>
  </si>
  <si>
    <t>Base corner corner 60 + 60</t>
  </si>
  <si>
    <t>Base corner corner 60 + 96</t>
  </si>
  <si>
    <t>Base corner corner 60 + 100</t>
  </si>
  <si>
    <t>Base corner corner 96 + 96</t>
  </si>
  <si>
    <t>Base corner corner 96 + 100</t>
  </si>
  <si>
    <t>Base corner corner 100 + 100</t>
  </si>
  <si>
    <t>CORNER BACK STRUCTURE &amp; SUPPORT 18 mm</t>
  </si>
  <si>
    <t>Back Corner Structure WD 2150</t>
  </si>
  <si>
    <t>Back Corner Structure WD 2400</t>
  </si>
  <si>
    <t>Back Corner Structure WD 2560</t>
  </si>
  <si>
    <t>Back Corner Structure WD 2720</t>
  </si>
  <si>
    <t>Back Corner Structure WD 3000</t>
  </si>
  <si>
    <t>BASE STRUCTURE + 4 LEG ADJUSTER</t>
  </si>
  <si>
    <t>Base structure for WD480</t>
  </si>
  <si>
    <t>Base structure for WD500</t>
  </si>
  <si>
    <t>Base structure for WD600</t>
  </si>
  <si>
    <t>Base structure for WD960</t>
  </si>
  <si>
    <t>Base structure for WD1000</t>
  </si>
  <si>
    <t>Base structure for WD1200</t>
  </si>
  <si>
    <t>SIDE PANEL 18mm</t>
  </si>
  <si>
    <t>Height</t>
  </si>
  <si>
    <t>Th</t>
  </si>
  <si>
    <t>RUPIAH</t>
  </si>
  <si>
    <t>Side panel H. 48 CM</t>
  </si>
  <si>
    <t>Side panel H. 60 CM</t>
  </si>
  <si>
    <t>Side panel H. 72 CM</t>
  </si>
  <si>
    <t>Side panel H. 80 CM</t>
  </si>
  <si>
    <t>Side panel H. 100 CM</t>
  </si>
  <si>
    <t>Side panel H. 120 CM</t>
  </si>
  <si>
    <t>Side panel H. 150 CM</t>
  </si>
  <si>
    <t>Side panel H. 180 CM</t>
  </si>
  <si>
    <t>Side panel H. 200 CM</t>
  </si>
  <si>
    <t>Side panel H. 220 CM</t>
  </si>
  <si>
    <t>Side panel H. 240 CM</t>
  </si>
  <si>
    <t>Side panel H. 256 CM</t>
  </si>
  <si>
    <t>Side panel H. 272 CM</t>
  </si>
  <si>
    <r>
      <rPr>
        <b/>
        <sz val="14"/>
        <color theme="1"/>
        <rFont val="Arial"/>
      </rPr>
      <t xml:space="preserve">SHELF 18mm </t>
    </r>
    <r>
      <rPr>
        <sz val="12"/>
        <color theme="1"/>
        <rFont val="Arial"/>
      </rPr>
      <t>(for Front LED Frame)</t>
    </r>
  </si>
  <si>
    <t>Width</t>
  </si>
  <si>
    <t>Shelf panel W. 480</t>
  </si>
  <si>
    <t>Shelf panel W. 600</t>
  </si>
  <si>
    <t>Shelf panel W. 800</t>
  </si>
  <si>
    <t>Shelf panel W. 960</t>
  </si>
  <si>
    <t>Shelf panel W. 1000</t>
  </si>
  <si>
    <t>Shelf panel W. 1200</t>
  </si>
  <si>
    <t>GLASS SHELF 8mm</t>
  </si>
  <si>
    <t>Glass Shelf 450 Tempered</t>
  </si>
  <si>
    <t>Glass Shelf 600 Tempered</t>
  </si>
  <si>
    <t>Glass Shelf 900 Tempered</t>
  </si>
  <si>
    <t>Glass Shelf 1000 Tempered</t>
  </si>
  <si>
    <t>Glass Shelf 1200 Tempered</t>
  </si>
  <si>
    <t>CRYSTAL GLASS SHELF 8mm</t>
  </si>
  <si>
    <t>Glass Shelf 450 Tempered Crystal Clear</t>
  </si>
  <si>
    <t>Glass Shelf 600 Tempered Crystal Clear</t>
  </si>
  <si>
    <t>Glass Shelf 900 Tempered Crystal Clear</t>
  </si>
  <si>
    <t>Glass Shelf 1000 Tempered Crystal Clear</t>
  </si>
  <si>
    <t>Glass Shelf 1200 Tempered Crystal Clear</t>
  </si>
  <si>
    <t>TINTED GLASS SHELF 8mm</t>
  </si>
  <si>
    <t>Tinted Glass Shelf 450 Tempered</t>
  </si>
  <si>
    <t>Tinted Glass Shelf 600 Tempered</t>
  </si>
  <si>
    <t>Tinted Glass Shelf 900 Tempered</t>
  </si>
  <si>
    <t>Tinted Glass Shelf 1000 Tempered</t>
  </si>
  <si>
    <t>Tinted Glass Shelf 1200 Tempered</t>
  </si>
  <si>
    <t>TOP &amp; BOTTOM PANEL 28mm</t>
  </si>
  <si>
    <t>Top &amp; bottom panel W. 480</t>
  </si>
  <si>
    <t>Top &amp; bottom panel W. 500</t>
  </si>
  <si>
    <t>Top &amp; bottom panel W. 600</t>
  </si>
  <si>
    <t>Top &amp; bottom panel W. 800</t>
  </si>
  <si>
    <t>Top &amp; bottom panel W. 960</t>
  </si>
  <si>
    <t>Top &amp; bottom panel W. 1000</t>
  </si>
  <si>
    <t>Top &amp; bottom panel W. 1200</t>
  </si>
  <si>
    <t>Top &amp; bottom panel W. 1500</t>
  </si>
  <si>
    <t>Top &amp; bottom panel W. 1800</t>
  </si>
  <si>
    <t>Top &amp; bottom panel W. 1920</t>
  </si>
  <si>
    <t>TOP &amp; BOTTOM CORNER 28mm</t>
  </si>
  <si>
    <t>W1</t>
  </si>
  <si>
    <t>W2</t>
  </si>
  <si>
    <t>Top &amp; Bottom panel corner 30 + 30</t>
  </si>
  <si>
    <t>Top &amp; Bottom panel corner 30 + 48</t>
  </si>
  <si>
    <t>Top &amp; Bottom panel corner 30 + 60</t>
  </si>
  <si>
    <t>Top &amp; Bottom panel corner 30 + 96</t>
  </si>
  <si>
    <t>Top &amp; Bottom panel corner 48 + 48</t>
  </si>
  <si>
    <t>Top &amp; Bottom panel corner 48 + 60</t>
  </si>
  <si>
    <t>Top &amp; Bottom panel corner 48 + 96</t>
  </si>
  <si>
    <t>Top &amp; Bottom panel corner 60 + 60</t>
  </si>
  <si>
    <t>Top &amp; Bottom panel corner 60 + 96</t>
  </si>
  <si>
    <t>Top &amp; Bottom panel corner 96 + 96</t>
  </si>
  <si>
    <t>TOP TRAPESIUM 28mm</t>
  </si>
  <si>
    <t>Top Trapesium 3 X 48</t>
  </si>
  <si>
    <t>Top Trapesium 2 X 60</t>
  </si>
  <si>
    <t>SHELF 28mm</t>
  </si>
  <si>
    <t>SHELF CORNER 28mm</t>
  </si>
  <si>
    <t>Shelf panel corner 30 + 30</t>
  </si>
  <si>
    <t>Shelf panel corner 30 + 48</t>
  </si>
  <si>
    <t>Shelf panel corner 30 + 60</t>
  </si>
  <si>
    <t>Shelf panel corner 30 + 96</t>
  </si>
  <si>
    <t>Shelf panel corner 48 + 48</t>
  </si>
  <si>
    <t>Shelf panel corner 48 + 60</t>
  </si>
  <si>
    <t>Shelf panel corner 48 + 96</t>
  </si>
  <si>
    <t>Shelf panel corner 60 + 60</t>
  </si>
  <si>
    <t>Shelf panel corner 60 + 96</t>
  </si>
  <si>
    <t>Shelf panel corner 96 + 96</t>
  </si>
  <si>
    <t>PULL OUT SHELF (std runners)</t>
  </si>
  <si>
    <t>BACK PANEL 8 &amp; 18mm THICK</t>
  </si>
  <si>
    <t>T</t>
  </si>
  <si>
    <t>BACK PANEL  H. 480</t>
  </si>
  <si>
    <t>FITTING TO SIDE PANEL INCLUDE</t>
  </si>
  <si>
    <t>Back panel W.480</t>
  </si>
  <si>
    <t>Back panel W.500</t>
  </si>
  <si>
    <t>Back panel W.600</t>
  </si>
  <si>
    <t>Back panel W.800</t>
  </si>
  <si>
    <t>Back panel W.960</t>
  </si>
  <si>
    <t>Back panel W.1000</t>
  </si>
  <si>
    <t>Back panel W.1200</t>
  </si>
  <si>
    <t>Back panel W.1500</t>
  </si>
  <si>
    <t>BACK PANEL  H. 600</t>
  </si>
  <si>
    <t>BACK PANEL  H. 800</t>
  </si>
  <si>
    <t>BACK PANEL  H. 1000</t>
  </si>
  <si>
    <t>BACK PANEL  H. 1200</t>
  </si>
  <si>
    <t>BACK PANEL  H. 1500</t>
  </si>
  <si>
    <t>BACK PANEL  H. 1800</t>
  </si>
  <si>
    <t>BACK PANEL  H. 2000</t>
  </si>
  <si>
    <t>BACK PANEL  H. 2200</t>
  </si>
  <si>
    <t>BACK PANEL  H. 2400</t>
  </si>
  <si>
    <t>BACK PANEL  H. 2560</t>
  </si>
  <si>
    <t>BACK PANEL  H. 2720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</si>
</sst>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 yyyy"/>
    <numFmt numFmtId="165" formatCode="&quot;€&quot;#,##0.00"/>
    <numFmt numFmtId="166" formatCode="mmmm\ yyyy"/>
    <numFmt numFmtId="167" formatCode="_(* #,##0_);_(* \(#,##0\);_(* &quot;-&quot;??_);_(@_)"/>
    <numFmt numFmtId="168" formatCode="_(* #,##0.00_);_(* \(#,##0.00\);_(* &quot;-&quot;??_);_(@_)"/>
  </numFmts>
  <fonts count="36" x14ac:knownFonts="1">
    <font>
      <sz val="10"/>
      <color rgb="FF000000"/>
      <name val="Arial"/>
      <scheme val="minor"/>
    </font>
    <font>
      <b/>
      <sz val="24"/>
      <color rgb="FFD9D9D9"/>
      <name val="Arial"/>
    </font>
    <font>
      <b/>
      <sz val="10"/>
      <color theme="1"/>
      <name val="Arial"/>
    </font>
    <font>
      <b/>
      <sz val="14"/>
      <color theme="1"/>
      <name val="Calibri"/>
    </font>
    <font>
      <sz val="10"/>
      <color theme="1"/>
      <name val="Arial"/>
    </font>
    <font>
      <b/>
      <sz val="12"/>
      <color theme="1"/>
      <name val="Arial"/>
    </font>
    <font>
      <b/>
      <sz val="18"/>
      <color theme="1"/>
      <name val="Arial"/>
    </font>
    <font>
      <sz val="10"/>
      <name val="Arial"/>
    </font>
    <font>
      <b/>
      <sz val="18"/>
      <color rgb="FF3D85C6"/>
      <name val="Arial"/>
    </font>
    <font>
      <sz val="10"/>
      <color rgb="FFFFFFFF"/>
      <name val="Arial"/>
    </font>
    <font>
      <sz val="7"/>
      <color theme="1"/>
      <name val="Arial"/>
    </font>
    <font>
      <b/>
      <sz val="18"/>
      <color rgb="FFFFF2CC"/>
      <name val="Arial"/>
    </font>
    <font>
      <sz val="13"/>
      <color rgb="FFFFFFFF"/>
      <name val="Arial"/>
    </font>
    <font>
      <b/>
      <sz val="14"/>
      <color theme="1"/>
      <name val="Arial"/>
    </font>
    <font>
      <sz val="12"/>
      <color theme="1"/>
      <name val="Arial"/>
    </font>
    <font>
      <b/>
      <sz val="14"/>
      <color rgb="FFFFFFFF"/>
      <name val="Arial"/>
    </font>
    <font>
      <b/>
      <sz val="16"/>
      <color theme="1"/>
      <name val="Calibri"/>
    </font>
    <font>
      <b/>
      <sz val="13"/>
      <color theme="1"/>
      <name val="Calibri"/>
    </font>
    <font>
      <b/>
      <sz val="16"/>
      <color rgb="FFFFFFFF"/>
      <name val="Arial"/>
    </font>
    <font>
      <sz val="10"/>
      <color rgb="FFFFFFFF"/>
      <name val="Arial"/>
    </font>
    <font>
      <sz val="10"/>
      <color rgb="FF434343"/>
      <name val="Arial"/>
    </font>
    <font>
      <b/>
      <sz val="16"/>
      <color theme="1"/>
      <name val="Arial"/>
    </font>
    <font>
      <b/>
      <sz val="17"/>
      <color theme="1"/>
      <name val="Arial"/>
    </font>
    <font>
      <b/>
      <sz val="12"/>
      <color rgb="FFFFFFFF"/>
      <name val="Arial"/>
    </font>
    <font>
      <sz val="12"/>
      <color rgb="FFFFFFFF"/>
      <name val="Arial"/>
    </font>
    <font>
      <b/>
      <sz val="15"/>
      <color theme="1"/>
      <name val="Arial"/>
    </font>
    <font>
      <b/>
      <sz val="12"/>
      <color theme="1"/>
      <name val="Arial Narrow"/>
    </font>
    <font>
      <sz val="10"/>
      <color theme="1"/>
      <name val="Calibri"/>
    </font>
    <font>
      <b/>
      <sz val="11"/>
      <color theme="1"/>
      <name val="Arial"/>
    </font>
    <font>
      <b/>
      <sz val="12"/>
      <color rgb="FFF3F3F3"/>
      <name val="Calibri"/>
    </font>
    <font>
      <b/>
      <sz val="12"/>
      <color rgb="FFFF0000"/>
      <name val="Arial"/>
    </font>
    <font>
      <b/>
      <sz val="13"/>
      <color theme="1"/>
      <name val="Arial"/>
    </font>
    <font>
      <b/>
      <sz val="6"/>
      <color theme="1"/>
      <name val="Arial"/>
    </font>
    <font>
      <sz val="8"/>
      <color theme="1"/>
      <name val="Arial"/>
    </font>
    <font>
      <b/>
      <i/>
      <sz val="10"/>
      <color rgb="FFFFFFFF"/>
      <name val="Arial"/>
    </font>
    <font>
      <sz val="12"/>
      <color theme="1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333399"/>
        <bgColor rgb="FF333399"/>
      </patternFill>
    </fill>
    <fill>
      <patternFill patternType="solid">
        <fgColor rgb="FF99CC00"/>
        <bgColor rgb="FF99CC00"/>
      </patternFill>
    </fill>
    <fill>
      <patternFill patternType="solid">
        <fgColor rgb="FF0000FF"/>
        <bgColor rgb="FF0000FF"/>
      </patternFill>
    </fill>
    <fill>
      <patternFill patternType="solid">
        <fgColor rgb="FFFF6600"/>
        <bgColor rgb="FFFF6600"/>
      </patternFill>
    </fill>
    <fill>
      <patternFill patternType="solid">
        <fgColor rgb="FF008000"/>
        <bgColor rgb="FF008000"/>
      </patternFill>
    </fill>
    <fill>
      <patternFill patternType="solid">
        <fgColor rgb="FF969696"/>
        <bgColor rgb="FF969696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  <fill>
      <patternFill patternType="solid">
        <fgColor rgb="FF99CCFF"/>
        <bgColor rgb="FF99CCFF"/>
      </patternFill>
    </fill>
    <fill>
      <patternFill patternType="solid">
        <fgColor rgb="FFC0C0C0"/>
        <bgColor rgb="FFC0C0C0"/>
      </patternFill>
    </fill>
    <fill>
      <patternFill patternType="solid">
        <fgColor rgb="FF6FA8DC"/>
        <bgColor rgb="FF6FA8DC"/>
      </patternFill>
    </fill>
    <fill>
      <patternFill patternType="solid">
        <fgColor rgb="FFFFFF99"/>
        <bgColor rgb="FFFFFF99"/>
      </patternFill>
    </fill>
    <fill>
      <patternFill patternType="solid">
        <fgColor rgb="FFC9DAF8"/>
        <bgColor rgb="FFC9DAF8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3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wrapText="1"/>
    </xf>
    <xf numFmtId="0" fontId="6" fillId="0" borderId="0" xfId="0" applyFont="1"/>
    <xf numFmtId="0" fontId="8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left"/>
    </xf>
    <xf numFmtId="3" fontId="4" fillId="0" borderId="2" xfId="0" applyNumberFormat="1" applyFont="1" applyBorder="1"/>
    <xf numFmtId="3" fontId="10" fillId="0" borderId="2" xfId="0" applyNumberFormat="1" applyFont="1" applyBorder="1" applyAlignment="1">
      <alignment horizontal="center"/>
    </xf>
    <xf numFmtId="4" fontId="4" fillId="0" borderId="0" xfId="0" applyNumberFormat="1" applyFont="1"/>
    <xf numFmtId="0" fontId="11" fillId="2" borderId="0" xfId="0" applyFont="1" applyFill="1" applyAlignment="1">
      <alignment wrapText="1"/>
    </xf>
    <xf numFmtId="3" fontId="12" fillId="2" borderId="3" xfId="0" applyNumberFormat="1" applyFont="1" applyFill="1" applyBorder="1" applyAlignment="1">
      <alignment horizont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/>
    <xf numFmtId="3" fontId="12" fillId="2" borderId="2" xfId="0" applyNumberFormat="1" applyFont="1" applyFill="1" applyBorder="1" applyAlignment="1">
      <alignment horizontal="center" wrapText="1"/>
    </xf>
    <xf numFmtId="0" fontId="13" fillId="0" borderId="2" xfId="0" applyFont="1" applyBorder="1"/>
    <xf numFmtId="0" fontId="4" fillId="0" borderId="2" xfId="0" applyFont="1" applyBorder="1"/>
    <xf numFmtId="3" fontId="4" fillId="0" borderId="3" xfId="0" applyNumberFormat="1" applyFont="1" applyBorder="1"/>
    <xf numFmtId="0" fontId="14" fillId="0" borderId="2" xfId="0" applyFont="1" applyBorder="1"/>
    <xf numFmtId="3" fontId="14" fillId="0" borderId="2" xfId="0" applyNumberFormat="1" applyFont="1" applyBorder="1" applyAlignment="1">
      <alignment horizontal="right"/>
    </xf>
    <xf numFmtId="3" fontId="14" fillId="0" borderId="3" xfId="0" applyNumberFormat="1" applyFont="1" applyBorder="1" applyAlignment="1">
      <alignment horizontal="right"/>
    </xf>
    <xf numFmtId="3" fontId="14" fillId="0" borderId="0" xfId="0" applyNumberFormat="1" applyFont="1" applyAlignment="1">
      <alignment horizontal="right"/>
    </xf>
    <xf numFmtId="0" fontId="13" fillId="0" borderId="0" xfId="0" applyFont="1"/>
    <xf numFmtId="0" fontId="14" fillId="0" borderId="3" xfId="0" applyFont="1" applyBorder="1"/>
    <xf numFmtId="3" fontId="4" fillId="0" borderId="0" xfId="0" applyNumberFormat="1" applyFont="1"/>
    <xf numFmtId="165" fontId="4" fillId="0" borderId="3" xfId="0" applyNumberFormat="1" applyFont="1" applyBorder="1"/>
    <xf numFmtId="0" fontId="13" fillId="0" borderId="4" xfId="0" applyFont="1" applyBorder="1"/>
    <xf numFmtId="3" fontId="4" fillId="0" borderId="4" xfId="0" applyNumberFormat="1" applyFont="1" applyBorder="1"/>
    <xf numFmtId="0" fontId="14" fillId="0" borderId="5" xfId="0" applyFont="1" applyBorder="1"/>
    <xf numFmtId="3" fontId="14" fillId="0" borderId="5" xfId="0" applyNumberFormat="1" applyFont="1" applyBorder="1" applyAlignment="1">
      <alignment horizontal="right"/>
    </xf>
    <xf numFmtId="0" fontId="14" fillId="0" borderId="6" xfId="0" applyFont="1" applyBorder="1"/>
    <xf numFmtId="3" fontId="14" fillId="0" borderId="6" xfId="0" applyNumberFormat="1" applyFont="1" applyBorder="1" applyAlignment="1">
      <alignment horizontal="right"/>
    </xf>
    <xf numFmtId="0" fontId="14" fillId="0" borderId="7" xfId="0" applyFont="1" applyBorder="1"/>
    <xf numFmtId="3" fontId="14" fillId="0" borderId="7" xfId="0" applyNumberFormat="1" applyFont="1" applyBorder="1" applyAlignment="1">
      <alignment horizontal="right"/>
    </xf>
    <xf numFmtId="0" fontId="13" fillId="0" borderId="8" xfId="0" applyFont="1" applyBorder="1"/>
    <xf numFmtId="3" fontId="4" fillId="0" borderId="8" xfId="0" applyNumberFormat="1" applyFont="1" applyBorder="1"/>
    <xf numFmtId="0" fontId="13" fillId="0" borderId="9" xfId="0" applyFont="1" applyBorder="1"/>
    <xf numFmtId="0" fontId="4" fillId="0" borderId="9" xfId="0" applyFont="1" applyBorder="1"/>
    <xf numFmtId="3" fontId="4" fillId="0" borderId="6" xfId="0" applyNumberFormat="1" applyFont="1" applyBorder="1"/>
    <xf numFmtId="0" fontId="4" fillId="0" borderId="4" xfId="0" applyFont="1" applyBorder="1"/>
    <xf numFmtId="0" fontId="4" fillId="0" borderId="3" xfId="0" applyFont="1" applyBorder="1"/>
    <xf numFmtId="0" fontId="13" fillId="0" borderId="3" xfId="0" applyFont="1" applyBorder="1"/>
    <xf numFmtId="0" fontId="13" fillId="0" borderId="6" xfId="0" applyFont="1" applyBorder="1" applyAlignment="1">
      <alignment horizontal="center"/>
    </xf>
    <xf numFmtId="0" fontId="4" fillId="0" borderId="6" xfId="0" applyFont="1" applyBorder="1"/>
    <xf numFmtId="4" fontId="4" fillId="0" borderId="2" xfId="0" applyNumberFormat="1" applyFont="1" applyBorder="1"/>
    <xf numFmtId="0" fontId="11" fillId="2" borderId="0" xfId="0" applyFont="1" applyFill="1" applyAlignment="1">
      <alignment horizontal="left" vertical="center" wrapText="1"/>
    </xf>
    <xf numFmtId="0" fontId="15" fillId="6" borderId="3" xfId="0" applyFont="1" applyFill="1" applyBorder="1"/>
    <xf numFmtId="3" fontId="4" fillId="0" borderId="1" xfId="0" applyNumberFormat="1" applyFont="1" applyBorder="1"/>
    <xf numFmtId="3" fontId="4" fillId="0" borderId="10" xfId="0" applyNumberFormat="1" applyFont="1" applyBorder="1"/>
    <xf numFmtId="0" fontId="14" fillId="7" borderId="2" xfId="0" applyFont="1" applyFill="1" applyBorder="1"/>
    <xf numFmtId="3" fontId="14" fillId="7" borderId="3" xfId="0" applyNumberFormat="1" applyFont="1" applyFill="1" applyBorder="1" applyAlignment="1">
      <alignment horizontal="right"/>
    </xf>
    <xf numFmtId="0" fontId="15" fillId="6" borderId="11" xfId="0" applyFont="1" applyFill="1" applyBorder="1"/>
    <xf numFmtId="3" fontId="4" fillId="7" borderId="3" xfId="0" applyNumberFormat="1" applyFont="1" applyFill="1" applyBorder="1"/>
    <xf numFmtId="0" fontId="4" fillId="0" borderId="12" xfId="0" applyFont="1" applyBorder="1"/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18" fillId="12" borderId="6" xfId="0" applyFont="1" applyFill="1" applyBorder="1" applyAlignment="1">
      <alignment horizontal="center"/>
    </xf>
    <xf numFmtId="0" fontId="4" fillId="0" borderId="5" xfId="0" applyFont="1" applyBorder="1"/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4" fillId="15" borderId="11" xfId="0" applyFont="1" applyFill="1" applyBorder="1"/>
    <xf numFmtId="0" fontId="18" fillId="16" borderId="13" xfId="0" applyFont="1" applyFill="1" applyBorder="1" applyAlignment="1">
      <alignment horizontal="center"/>
    </xf>
    <xf numFmtId="0" fontId="4" fillId="5" borderId="13" xfId="0" applyFont="1" applyFill="1" applyBorder="1"/>
    <xf numFmtId="0" fontId="4" fillId="7" borderId="7" xfId="0" applyFont="1" applyFill="1" applyBorder="1"/>
    <xf numFmtId="0" fontId="4" fillId="5" borderId="7" xfId="0" applyFont="1" applyFill="1" applyBorder="1"/>
    <xf numFmtId="0" fontId="2" fillId="0" borderId="3" xfId="0" applyFont="1" applyBorder="1" applyAlignment="1">
      <alignment horizontal="center"/>
    </xf>
    <xf numFmtId="0" fontId="5" fillId="0" borderId="5" xfId="0" applyFont="1" applyBorder="1"/>
    <xf numFmtId="3" fontId="19" fillId="5" borderId="3" xfId="0" applyNumberFormat="1" applyFont="1" applyFill="1" applyBorder="1" applyAlignment="1">
      <alignment horizontal="right"/>
    </xf>
    <xf numFmtId="3" fontId="20" fillId="7" borderId="3" xfId="0" applyNumberFormat="1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5" fillId="0" borderId="6" xfId="0" applyFont="1" applyBorder="1"/>
    <xf numFmtId="0" fontId="18" fillId="17" borderId="13" xfId="0" applyFont="1" applyFill="1" applyBorder="1" applyAlignment="1">
      <alignment horizontal="center"/>
    </xf>
    <xf numFmtId="0" fontId="4" fillId="5" borderId="3" xfId="0" applyFont="1" applyFill="1" applyBorder="1"/>
    <xf numFmtId="0" fontId="4" fillId="7" borderId="5" xfId="0" applyFont="1" applyFill="1" applyBorder="1"/>
    <xf numFmtId="0" fontId="4" fillId="5" borderId="5" xfId="0" applyFont="1" applyFill="1" applyBorder="1"/>
    <xf numFmtId="0" fontId="18" fillId="18" borderId="13" xfId="0" applyFont="1" applyFill="1" applyBorder="1" applyAlignment="1">
      <alignment horizontal="center"/>
    </xf>
    <xf numFmtId="0" fontId="21" fillId="19" borderId="13" xfId="0" applyFont="1" applyFill="1" applyBorder="1" applyAlignment="1">
      <alignment horizontal="center"/>
    </xf>
    <xf numFmtId="0" fontId="21" fillId="20" borderId="13" xfId="0" applyFont="1" applyFill="1" applyBorder="1" applyAlignment="1">
      <alignment horizontal="center"/>
    </xf>
    <xf numFmtId="0" fontId="4" fillId="0" borderId="11" xfId="0" applyFont="1" applyBorder="1"/>
    <xf numFmtId="0" fontId="13" fillId="8" borderId="13" xfId="0" applyFont="1" applyFill="1" applyBorder="1"/>
    <xf numFmtId="3" fontId="4" fillId="5" borderId="3" xfId="0" applyNumberFormat="1" applyFont="1" applyFill="1" applyBorder="1"/>
    <xf numFmtId="0" fontId="5" fillId="8" borderId="5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2" fillId="0" borderId="5" xfId="0" applyFont="1" applyBorder="1" applyAlignment="1">
      <alignment horizontal="center"/>
    </xf>
    <xf numFmtId="3" fontId="20" fillId="7" borderId="1" xfId="0" applyNumberFormat="1" applyFont="1" applyFill="1" applyBorder="1" applyAlignment="1">
      <alignment horizontal="right"/>
    </xf>
    <xf numFmtId="3" fontId="19" fillId="5" borderId="1" xfId="0" applyNumberFormat="1" applyFont="1" applyFill="1" applyBorder="1" applyAlignment="1">
      <alignment horizontal="right"/>
    </xf>
    <xf numFmtId="0" fontId="2" fillId="0" borderId="10" xfId="0" applyFont="1" applyBorder="1" applyAlignment="1">
      <alignment horizontal="center"/>
    </xf>
    <xf numFmtId="0" fontId="4" fillId="21" borderId="3" xfId="0" applyFont="1" applyFill="1" applyBorder="1"/>
    <xf numFmtId="0" fontId="21" fillId="22" borderId="3" xfId="0" applyFont="1" applyFill="1" applyBorder="1" applyAlignment="1">
      <alignment horizontal="center"/>
    </xf>
    <xf numFmtId="3" fontId="5" fillId="22" borderId="1" xfId="0" applyNumberFormat="1" applyFont="1" applyFill="1" applyBorder="1" applyAlignment="1">
      <alignment horizontal="center"/>
    </xf>
    <xf numFmtId="3" fontId="2" fillId="22" borderId="1" xfId="0" applyNumberFormat="1" applyFont="1" applyFill="1" applyBorder="1" applyAlignment="1">
      <alignment horizontal="center"/>
    </xf>
    <xf numFmtId="3" fontId="4" fillId="0" borderId="15" xfId="0" applyNumberFormat="1" applyFont="1" applyBorder="1" applyAlignment="1">
      <alignment vertical="center" wrapText="1"/>
    </xf>
    <xf numFmtId="3" fontId="4" fillId="0" borderId="15" xfId="0" applyNumberFormat="1" applyFont="1" applyBorder="1"/>
    <xf numFmtId="0" fontId="4" fillId="0" borderId="15" xfId="0" applyFont="1" applyBorder="1"/>
    <xf numFmtId="164" fontId="4" fillId="0" borderId="0" xfId="0" applyNumberFormat="1" applyFont="1"/>
    <xf numFmtId="0" fontId="14" fillId="0" borderId="0" xfId="0" applyFont="1"/>
    <xf numFmtId="0" fontId="4" fillId="0" borderId="1" xfId="0" applyFont="1" applyBorder="1"/>
    <xf numFmtId="0" fontId="5" fillId="0" borderId="15" xfId="0" applyFont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5" xfId="0" applyFont="1" applyFill="1" applyBorder="1"/>
    <xf numFmtId="0" fontId="5" fillId="0" borderId="7" xfId="0" applyFont="1" applyBorder="1" applyAlignment="1">
      <alignment horizontal="center"/>
    </xf>
    <xf numFmtId="0" fontId="4" fillId="3" borderId="11" xfId="0" applyFont="1" applyFill="1" applyBorder="1"/>
    <xf numFmtId="0" fontId="13" fillId="3" borderId="12" xfId="0" applyFont="1" applyFill="1" applyBorder="1"/>
    <xf numFmtId="0" fontId="4" fillId="3" borderId="14" xfId="0" applyFont="1" applyFill="1" applyBorder="1"/>
    <xf numFmtId="0" fontId="4" fillId="3" borderId="3" xfId="0" applyFont="1" applyFill="1" applyBorder="1"/>
    <xf numFmtId="0" fontId="4" fillId="3" borderId="13" xfId="0" applyFont="1" applyFill="1" applyBorder="1"/>
    <xf numFmtId="0" fontId="23" fillId="6" borderId="6" xfId="0" applyFont="1" applyFill="1" applyBorder="1"/>
    <xf numFmtId="0" fontId="24" fillId="6" borderId="7" xfId="0" applyFont="1" applyFill="1" applyBorder="1"/>
    <xf numFmtId="0" fontId="5" fillId="24" borderId="5" xfId="0" applyFont="1" applyFill="1" applyBorder="1"/>
    <xf numFmtId="0" fontId="5" fillId="24" borderId="5" xfId="0" applyFont="1" applyFill="1" applyBorder="1" applyAlignment="1">
      <alignment horizontal="center"/>
    </xf>
    <xf numFmtId="3" fontId="5" fillId="24" borderId="3" xfId="0" applyNumberFormat="1" applyFont="1" applyFill="1" applyBorder="1" applyAlignment="1">
      <alignment horizontal="right"/>
    </xf>
    <xf numFmtId="3" fontId="5" fillId="0" borderId="3" xfId="0" applyNumberFormat="1" applyFont="1" applyBorder="1" applyAlignment="1">
      <alignment horizontal="right"/>
    </xf>
    <xf numFmtId="0" fontId="5" fillId="24" borderId="6" xfId="0" applyFont="1" applyFill="1" applyBorder="1"/>
    <xf numFmtId="0" fontId="5" fillId="24" borderId="6" xfId="0" applyFont="1" applyFill="1" applyBorder="1" applyAlignment="1">
      <alignment horizontal="center"/>
    </xf>
    <xf numFmtId="3" fontId="4" fillId="24" borderId="3" xfId="0" applyNumberFormat="1" applyFont="1" applyFill="1" applyBorder="1"/>
    <xf numFmtId="0" fontId="4" fillId="3" borderId="2" xfId="0" applyFont="1" applyFill="1" applyBorder="1"/>
    <xf numFmtId="0" fontId="4" fillId="4" borderId="11" xfId="0" applyFont="1" applyFill="1" applyBorder="1"/>
    <xf numFmtId="0" fontId="25" fillId="4" borderId="14" xfId="0" applyFont="1" applyFill="1" applyBorder="1" applyAlignment="1">
      <alignment horizontal="center" vertical="center"/>
    </xf>
    <xf numFmtId="0" fontId="4" fillId="4" borderId="14" xfId="0" applyFont="1" applyFill="1" applyBorder="1"/>
    <xf numFmtId="0" fontId="4" fillId="4" borderId="5" xfId="0" applyFont="1" applyFill="1" applyBorder="1"/>
    <xf numFmtId="0" fontId="4" fillId="4" borderId="0" xfId="0" applyFont="1" applyFill="1"/>
    <xf numFmtId="0" fontId="4" fillId="4" borderId="13" xfId="0" applyFont="1" applyFill="1" applyBorder="1"/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26" fillId="24" borderId="7" xfId="0" applyFont="1" applyFill="1" applyBorder="1" applyAlignment="1">
      <alignment horizontal="center"/>
    </xf>
    <xf numFmtId="0" fontId="14" fillId="0" borderId="7" xfId="0" applyFont="1" applyBorder="1" applyAlignment="1">
      <alignment horizontal="center" vertical="center"/>
    </xf>
    <xf numFmtId="0" fontId="5" fillId="7" borderId="5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3" fontId="5" fillId="7" borderId="16" xfId="0" applyNumberFormat="1" applyFont="1" applyFill="1" applyBorder="1" applyAlignment="1">
      <alignment horizontal="center"/>
    </xf>
    <xf numFmtId="3" fontId="5" fillId="7" borderId="17" xfId="0" applyNumberFormat="1" applyFont="1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3" fontId="5" fillId="0" borderId="18" xfId="0" applyNumberFormat="1" applyFont="1" applyBorder="1" applyAlignment="1">
      <alignment horizontal="center"/>
    </xf>
    <xf numFmtId="3" fontId="5" fillId="0" borderId="19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5" fillId="7" borderId="6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3" fontId="5" fillId="7" borderId="18" xfId="0" applyNumberFormat="1" applyFont="1" applyFill="1" applyBorder="1" applyAlignment="1">
      <alignment horizontal="center"/>
    </xf>
    <xf numFmtId="3" fontId="5" fillId="7" borderId="19" xfId="0" applyNumberFormat="1" applyFont="1" applyFill="1" applyBorder="1" applyAlignment="1">
      <alignment horizontal="center"/>
    </xf>
    <xf numFmtId="3" fontId="5" fillId="7" borderId="2" xfId="0" applyNumberFormat="1" applyFont="1" applyFill="1" applyBorder="1" applyAlignment="1">
      <alignment horizontal="center"/>
    </xf>
    <xf numFmtId="3" fontId="5" fillId="7" borderId="6" xfId="0" applyNumberFormat="1" applyFont="1" applyFill="1" applyBorder="1" applyAlignment="1">
      <alignment horizontal="center"/>
    </xf>
    <xf numFmtId="0" fontId="4" fillId="0" borderId="13" xfId="0" applyFont="1" applyBorder="1"/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7" borderId="4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4" fillId="4" borderId="2" xfId="0" applyFont="1" applyFill="1" applyBorder="1"/>
    <xf numFmtId="3" fontId="5" fillId="24" borderId="0" xfId="0" applyNumberFormat="1" applyFont="1" applyFill="1" applyAlignment="1">
      <alignment horizontal="right"/>
    </xf>
    <xf numFmtId="0" fontId="5" fillId="0" borderId="3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3" fillId="0" borderId="20" xfId="0" applyFont="1" applyBorder="1"/>
    <xf numFmtId="0" fontId="27" fillId="0" borderId="21" xfId="0" applyFont="1" applyBorder="1"/>
    <xf numFmtId="167" fontId="27" fillId="0" borderId="22" xfId="0" applyNumberFormat="1" applyFont="1" applyBorder="1"/>
    <xf numFmtId="164" fontId="28" fillId="0" borderId="23" xfId="0" applyNumberFormat="1" applyFont="1" applyBorder="1" applyAlignment="1">
      <alignment horizontal="center"/>
    </xf>
    <xf numFmtId="0" fontId="13" fillId="8" borderId="0" xfId="0" applyFont="1" applyFill="1"/>
    <xf numFmtId="0" fontId="27" fillId="8" borderId="0" xfId="0" applyFont="1" applyFill="1"/>
    <xf numFmtId="167" fontId="27" fillId="8" borderId="22" xfId="0" applyNumberFormat="1" applyFont="1" applyFill="1" applyBorder="1"/>
    <xf numFmtId="167" fontId="29" fillId="6" borderId="22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168" fontId="5" fillId="0" borderId="26" xfId="0" applyNumberFormat="1" applyFont="1" applyBorder="1" applyAlignment="1">
      <alignment horizontal="center"/>
    </xf>
    <xf numFmtId="168" fontId="5" fillId="8" borderId="28" xfId="0" applyNumberFormat="1" applyFont="1" applyFill="1" applyBorder="1" applyAlignment="1">
      <alignment horizontal="center"/>
    </xf>
    <xf numFmtId="0" fontId="27" fillId="0" borderId="2" xfId="0" applyFont="1" applyBorder="1"/>
    <xf numFmtId="168" fontId="27" fillId="0" borderId="2" xfId="0" applyNumberFormat="1" applyFont="1" applyBorder="1"/>
    <xf numFmtId="168" fontId="30" fillId="0" borderId="2" xfId="0" applyNumberFormat="1" applyFont="1" applyBorder="1" applyAlignment="1">
      <alignment horizontal="center"/>
    </xf>
    <xf numFmtId="0" fontId="27" fillId="0" borderId="3" xfId="0" applyFont="1" applyBorder="1"/>
    <xf numFmtId="0" fontId="18" fillId="12" borderId="29" xfId="0" applyFont="1" applyFill="1" applyBorder="1" applyAlignment="1">
      <alignment horizontal="center"/>
    </xf>
    <xf numFmtId="167" fontId="27" fillId="0" borderId="3" xfId="0" applyNumberFormat="1" applyFont="1" applyBorder="1"/>
    <xf numFmtId="167" fontId="2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27" fillId="0" borderId="4" xfId="0" applyFont="1" applyBorder="1"/>
    <xf numFmtId="0" fontId="27" fillId="0" borderId="14" xfId="0" applyFont="1" applyBorder="1"/>
    <xf numFmtId="3" fontId="27" fillId="0" borderId="14" xfId="0" applyNumberFormat="1" applyFont="1" applyBorder="1"/>
    <xf numFmtId="0" fontId="18" fillId="12" borderId="3" xfId="0" applyFont="1" applyFill="1" applyBorder="1" applyAlignment="1">
      <alignment horizontal="center"/>
    </xf>
    <xf numFmtId="3" fontId="27" fillId="0" borderId="3" xfId="0" applyNumberFormat="1" applyFont="1" applyBorder="1"/>
    <xf numFmtId="0" fontId="4" fillId="2" borderId="0" xfId="0" applyFont="1" applyFill="1"/>
    <xf numFmtId="0" fontId="21" fillId="0" borderId="0" xfId="0" applyFont="1"/>
    <xf numFmtId="166" fontId="22" fillId="0" borderId="0" xfId="0" applyNumberFormat="1" applyFont="1" applyAlignment="1">
      <alignment horizontal="left"/>
    </xf>
    <xf numFmtId="0" fontId="15" fillId="25" borderId="1" xfId="0" applyFont="1" applyFill="1" applyBorder="1"/>
    <xf numFmtId="0" fontId="13" fillId="8" borderId="4" xfId="0" applyFont="1" applyFill="1" applyBorder="1"/>
    <xf numFmtId="0" fontId="2" fillId="8" borderId="5" xfId="0" applyFont="1" applyFill="1" applyBorder="1" applyAlignment="1">
      <alignment horizontal="center"/>
    </xf>
    <xf numFmtId="3" fontId="5" fillId="0" borderId="6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3" fontId="5" fillId="0" borderId="6" xfId="0" applyNumberFormat="1" applyFont="1" applyBorder="1" applyAlignment="1">
      <alignment horizontal="right"/>
    </xf>
    <xf numFmtId="3" fontId="4" fillId="8" borderId="14" xfId="0" applyNumberFormat="1" applyFont="1" applyFill="1" applyBorder="1"/>
    <xf numFmtId="0" fontId="4" fillId="8" borderId="14" xfId="0" applyFont="1" applyFill="1" applyBorder="1"/>
    <xf numFmtId="0" fontId="4" fillId="26" borderId="12" xfId="0" applyFont="1" applyFill="1" applyBorder="1"/>
    <xf numFmtId="0" fontId="4" fillId="26" borderId="6" xfId="0" applyFont="1" applyFill="1" applyBorder="1"/>
    <xf numFmtId="0" fontId="2" fillId="26" borderId="5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right"/>
    </xf>
    <xf numFmtId="0" fontId="21" fillId="9" borderId="4" xfId="0" applyFont="1" applyFill="1" applyBorder="1"/>
    <xf numFmtId="0" fontId="13" fillId="9" borderId="5" xfId="0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/>
    </xf>
    <xf numFmtId="0" fontId="14" fillId="24" borderId="1" xfId="0" applyFont="1" applyFill="1" applyBorder="1"/>
    <xf numFmtId="0" fontId="5" fillId="24" borderId="13" xfId="0" applyFont="1" applyFill="1" applyBorder="1" applyAlignment="1">
      <alignment horizontal="center"/>
    </xf>
    <xf numFmtId="3" fontId="5" fillId="24" borderId="13" xfId="0" applyNumberFormat="1" applyFont="1" applyFill="1" applyBorder="1" applyAlignment="1">
      <alignment horizontal="center"/>
    </xf>
    <xf numFmtId="3" fontId="5" fillId="24" borderId="13" xfId="0" applyNumberFormat="1" applyFont="1" applyFill="1" applyBorder="1" applyAlignment="1">
      <alignment horizontal="right"/>
    </xf>
    <xf numFmtId="0" fontId="14" fillId="0" borderId="13" xfId="0" applyFont="1" applyBorder="1"/>
    <xf numFmtId="3" fontId="5" fillId="0" borderId="13" xfId="0" applyNumberFormat="1" applyFont="1" applyBorder="1" applyAlignment="1">
      <alignment horizontal="center"/>
    </xf>
    <xf numFmtId="3" fontId="5" fillId="0" borderId="13" xfId="0" applyNumberFormat="1" applyFont="1" applyBorder="1" applyAlignment="1">
      <alignment horizontal="right"/>
    </xf>
    <xf numFmtId="0" fontId="14" fillId="24" borderId="13" xfId="0" applyFont="1" applyFill="1" applyBorder="1"/>
    <xf numFmtId="0" fontId="14" fillId="24" borderId="2" xfId="0" applyFont="1" applyFill="1" applyBorder="1"/>
    <xf numFmtId="0" fontId="5" fillId="24" borderId="2" xfId="0" applyFont="1" applyFill="1" applyBorder="1" applyAlignment="1">
      <alignment horizontal="center"/>
    </xf>
    <xf numFmtId="3" fontId="5" fillId="24" borderId="2" xfId="0" applyNumberFormat="1" applyFont="1" applyFill="1" applyBorder="1" applyAlignment="1">
      <alignment horizontal="center"/>
    </xf>
    <xf numFmtId="3" fontId="5" fillId="24" borderId="2" xfId="0" applyNumberFormat="1" applyFont="1" applyFill="1" applyBorder="1" applyAlignment="1">
      <alignment horizontal="right"/>
    </xf>
    <xf numFmtId="3" fontId="5" fillId="24" borderId="6" xfId="0" applyNumberFormat="1" applyFont="1" applyFill="1" applyBorder="1" applyAlignment="1">
      <alignment horizontal="right"/>
    </xf>
    <xf numFmtId="0" fontId="13" fillId="9" borderId="1" xfId="0" applyFont="1" applyFill="1" applyBorder="1"/>
    <xf numFmtId="0" fontId="5" fillId="24" borderId="10" xfId="0" applyFont="1" applyFill="1" applyBorder="1" applyAlignment="1">
      <alignment horizontal="center"/>
    </xf>
    <xf numFmtId="3" fontId="5" fillId="24" borderId="1" xfId="0" applyNumberFormat="1" applyFont="1" applyFill="1" applyBorder="1" applyAlignment="1">
      <alignment horizontal="center"/>
    </xf>
    <xf numFmtId="3" fontId="5" fillId="24" borderId="7" xfId="0" applyNumberFormat="1" applyFont="1" applyFill="1" applyBorder="1" applyAlignment="1">
      <alignment horizontal="right"/>
    </xf>
    <xf numFmtId="0" fontId="5" fillId="24" borderId="1" xfId="0" applyFont="1" applyFill="1" applyBorder="1" applyAlignment="1">
      <alignment horizontal="center"/>
    </xf>
    <xf numFmtId="3" fontId="5" fillId="0" borderId="7" xfId="0" applyNumberFormat="1" applyFont="1" applyBorder="1" applyAlignment="1">
      <alignment horizontal="right"/>
    </xf>
    <xf numFmtId="0" fontId="5" fillId="24" borderId="7" xfId="0" applyFont="1" applyFill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right"/>
    </xf>
    <xf numFmtId="0" fontId="31" fillId="22" borderId="3" xfId="0" applyFont="1" applyFill="1" applyBorder="1"/>
    <xf numFmtId="0" fontId="13" fillId="22" borderId="10" xfId="0" applyFont="1" applyFill="1" applyBorder="1" applyAlignment="1">
      <alignment horizontal="center"/>
    </xf>
    <xf numFmtId="0" fontId="13" fillId="22" borderId="3" xfId="0" applyFont="1" applyFill="1" applyBorder="1" applyAlignment="1">
      <alignment horizontal="center"/>
    </xf>
    <xf numFmtId="0" fontId="13" fillId="27" borderId="3" xfId="0" applyFont="1" applyFill="1" applyBorder="1"/>
    <xf numFmtId="0" fontId="13" fillId="27" borderId="3" xfId="0" applyFont="1" applyFill="1" applyBorder="1" applyAlignment="1">
      <alignment horizontal="center"/>
    </xf>
    <xf numFmtId="0" fontId="21" fillId="27" borderId="1" xfId="0" applyFont="1" applyFill="1" applyBorder="1" applyAlignment="1">
      <alignment horizontal="center"/>
    </xf>
    <xf numFmtId="0" fontId="13" fillId="27" borderId="10" xfId="0" applyFont="1" applyFill="1" applyBorder="1" applyAlignment="1">
      <alignment horizontal="center"/>
    </xf>
    <xf numFmtId="0" fontId="13" fillId="27" borderId="1" xfId="0" applyFont="1" applyFill="1" applyBorder="1" applyAlignment="1">
      <alignment horizontal="center"/>
    </xf>
    <xf numFmtId="3" fontId="5" fillId="24" borderId="10" xfId="0" applyNumberFormat="1" applyFont="1" applyFill="1" applyBorder="1" applyAlignment="1">
      <alignment horizontal="right"/>
    </xf>
    <xf numFmtId="0" fontId="13" fillId="27" borderId="13" xfId="0" applyFont="1" applyFill="1" applyBorder="1"/>
    <xf numFmtId="0" fontId="13" fillId="27" borderId="5" xfId="0" applyFont="1" applyFill="1" applyBorder="1" applyAlignment="1">
      <alignment horizontal="center"/>
    </xf>
    <xf numFmtId="3" fontId="5" fillId="24" borderId="10" xfId="0" applyNumberFormat="1" applyFont="1" applyFill="1" applyBorder="1" applyAlignment="1">
      <alignment horizontal="center"/>
    </xf>
    <xf numFmtId="3" fontId="5" fillId="0" borderId="7" xfId="0" applyNumberFormat="1" applyFont="1" applyBorder="1" applyAlignment="1">
      <alignment horizontal="center"/>
    </xf>
    <xf numFmtId="3" fontId="5" fillId="24" borderId="7" xfId="0" applyNumberFormat="1" applyFont="1" applyFill="1" applyBorder="1" applyAlignment="1">
      <alignment horizontal="center"/>
    </xf>
    <xf numFmtId="0" fontId="4" fillId="27" borderId="10" xfId="0" applyFont="1" applyFill="1" applyBorder="1"/>
    <xf numFmtId="0" fontId="13" fillId="27" borderId="1" xfId="0" applyFont="1" applyFill="1" applyBorder="1"/>
    <xf numFmtId="0" fontId="13" fillId="27" borderId="6" xfId="0" applyFont="1" applyFill="1" applyBorder="1" applyAlignment="1">
      <alignment horizontal="center"/>
    </xf>
    <xf numFmtId="0" fontId="13" fillId="8" borderId="1" xfId="0" applyFont="1" applyFill="1" applyBorder="1"/>
    <xf numFmtId="0" fontId="13" fillId="8" borderId="3" xfId="0" applyFont="1" applyFill="1" applyBorder="1" applyAlignment="1">
      <alignment horizontal="center"/>
    </xf>
    <xf numFmtId="0" fontId="15" fillId="17" borderId="3" xfId="0" applyFont="1" applyFill="1" applyBorder="1" applyAlignment="1">
      <alignment vertical="center"/>
    </xf>
    <xf numFmtId="0" fontId="13" fillId="0" borderId="5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13" fillId="26" borderId="13" xfId="0" applyFont="1" applyFill="1" applyBorder="1"/>
    <xf numFmtId="0" fontId="13" fillId="0" borderId="12" xfId="0" applyFont="1" applyBorder="1" applyAlignment="1">
      <alignment horizontal="center"/>
    </xf>
    <xf numFmtId="0" fontId="4" fillId="0" borderId="10" xfId="0" applyFont="1" applyBorder="1"/>
    <xf numFmtId="3" fontId="5" fillId="0" borderId="0" xfId="0" applyNumberFormat="1" applyFont="1" applyAlignment="1">
      <alignment horizontal="right"/>
    </xf>
    <xf numFmtId="3" fontId="5" fillId="0" borderId="12" xfId="0" applyNumberFormat="1" applyFont="1" applyBorder="1" applyAlignment="1">
      <alignment horizontal="right"/>
    </xf>
    <xf numFmtId="3" fontId="5" fillId="24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7" fillId="0" borderId="2" xfId="0" applyFont="1" applyBorder="1"/>
    <xf numFmtId="0" fontId="9" fillId="5" borderId="0" xfId="0" applyFont="1" applyFill="1" applyAlignment="1">
      <alignment horizontal="center" vertical="center" wrapText="1"/>
    </xf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3" fillId="4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17" fillId="11" borderId="7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17" fillId="10" borderId="1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5" fillId="0" borderId="0" xfId="0" applyFont="1" applyAlignment="1">
      <alignment vertical="center" wrapText="1"/>
    </xf>
    <xf numFmtId="0" fontId="16" fillId="8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16" fillId="10" borderId="0" xfId="0" applyFont="1" applyFill="1" applyAlignment="1">
      <alignment vertical="center"/>
    </xf>
    <xf numFmtId="0" fontId="16" fillId="11" borderId="12" xfId="0" applyFont="1" applyFill="1" applyBorder="1" applyAlignment="1">
      <alignment vertical="center"/>
    </xf>
    <xf numFmtId="0" fontId="7" fillId="0" borderId="12" xfId="0" applyFont="1" applyBorder="1"/>
    <xf numFmtId="166" fontId="5" fillId="0" borderId="12" xfId="0" applyNumberFormat="1" applyFont="1" applyBorder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16" fillId="13" borderId="0" xfId="0" applyFont="1" applyFill="1" applyAlignment="1">
      <alignment vertical="center"/>
    </xf>
    <xf numFmtId="0" fontId="19" fillId="5" borderId="7" xfId="0" applyFont="1" applyFill="1" applyBorder="1" applyAlignment="1">
      <alignment horizontal="center"/>
    </xf>
    <xf numFmtId="0" fontId="20" fillId="7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 vertical="center" wrapText="1"/>
    </xf>
    <xf numFmtId="0" fontId="7" fillId="0" borderId="10" xfId="0" applyFont="1" applyBorder="1"/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9" xfId="0" applyFont="1" applyBorder="1"/>
    <xf numFmtId="0" fontId="19" fillId="5" borderId="13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7" fillId="0" borderId="5" xfId="0" applyFont="1" applyBorder="1"/>
    <xf numFmtId="0" fontId="15" fillId="14" borderId="0" xfId="0" applyFont="1" applyFill="1"/>
    <xf numFmtId="0" fontId="13" fillId="0" borderId="0" xfId="0" applyFont="1"/>
    <xf numFmtId="0" fontId="5" fillId="8" borderId="4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16" fillId="8" borderId="4" xfId="0" applyFont="1" applyFill="1" applyBorder="1"/>
    <xf numFmtId="0" fontId="7" fillId="0" borderId="14" xfId="0" applyFont="1" applyBorder="1"/>
    <xf numFmtId="0" fontId="16" fillId="9" borderId="4" xfId="0" applyFont="1" applyFill="1" applyBorder="1"/>
    <xf numFmtId="0" fontId="16" fillId="10" borderId="4" xfId="0" applyFont="1" applyFill="1" applyBorder="1"/>
    <xf numFmtId="0" fontId="16" fillId="11" borderId="4" xfId="0" applyFont="1" applyFill="1" applyBorder="1"/>
    <xf numFmtId="0" fontId="5" fillId="10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7" fillId="0" borderId="7" xfId="0" applyFont="1" applyBorder="1"/>
    <xf numFmtId="0" fontId="6" fillId="23" borderId="0" xfId="0" applyFont="1" applyFill="1"/>
    <xf numFmtId="0" fontId="22" fillId="0" borderId="0" xfId="0" applyFont="1"/>
    <xf numFmtId="0" fontId="14" fillId="0" borderId="0" xfId="0" applyFont="1"/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7" borderId="0" xfId="0" applyFont="1" applyFill="1"/>
    <xf numFmtId="0" fontId="5" fillId="0" borderId="26" xfId="0" applyFont="1" applyBorder="1" applyAlignment="1">
      <alignment horizontal="center"/>
    </xf>
    <xf numFmtId="0" fontId="7" fillId="0" borderId="21" xfId="0" applyFont="1" applyBorder="1"/>
    <xf numFmtId="0" fontId="7" fillId="0" borderId="27" xfId="0" applyFont="1" applyBorder="1"/>
    <xf numFmtId="0" fontId="5" fillId="2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24" borderId="12" xfId="0" applyFont="1" applyFill="1" applyBorder="1" applyAlignment="1">
      <alignment horizontal="center"/>
    </xf>
    <xf numFmtId="0" fontId="13" fillId="27" borderId="14" xfId="0" applyFont="1" applyFill="1" applyBorder="1" applyAlignment="1">
      <alignment horizontal="center"/>
    </xf>
    <xf numFmtId="0" fontId="5" fillId="24" borderId="15" xfId="0" applyFont="1" applyFill="1" applyBorder="1" applyAlignment="1">
      <alignment horizontal="center"/>
    </xf>
    <xf numFmtId="0" fontId="13" fillId="22" borderId="4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3" fillId="9" borderId="4" xfId="0" applyFont="1" applyFill="1" applyBorder="1" applyAlignment="1">
      <alignment horizontal="center"/>
    </xf>
    <xf numFmtId="0" fontId="13" fillId="8" borderId="4" xfId="0" applyFont="1" applyFill="1" applyBorder="1"/>
    <xf numFmtId="0" fontId="5" fillId="8" borderId="4" xfId="0" applyFont="1" applyFill="1" applyBorder="1"/>
    <xf numFmtId="0" fontId="31" fillId="26" borderId="4" xfId="0" applyFont="1" applyFill="1" applyBorder="1"/>
    <xf numFmtId="0" fontId="32" fillId="0" borderId="15" xfId="0" applyFont="1" applyBorder="1" applyAlignment="1">
      <alignment horizontal="center" vertical="center"/>
    </xf>
    <xf numFmtId="0" fontId="7" fillId="0" borderId="15" xfId="0" applyFont="1" applyBorder="1"/>
    <xf numFmtId="0" fontId="13" fillId="27" borderId="4" xfId="0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92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A19C8A-3B8C-480A-8F76-48DC2955CA39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8db165e0-c565-4a25-a548-c46dc3f47e6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P204"/>
  <sheetViews>
    <sheetView tabSelected="1" zoomScale="130" zoomScaleNormal="13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28" sqref="F28"/>
    </sheetView>
  </sheetViews>
  <sheetFormatPr defaultColWidth="12.5703125" defaultRowHeight="15.75" customHeight="1" x14ac:dyDescent="0.2"/>
  <cols>
    <col min="1" max="1" width="39" customWidth="1"/>
    <col min="2" max="68" width="17" customWidth="1"/>
  </cols>
  <sheetData>
    <row r="1" spans="1:68" ht="15.75" customHeight="1" x14ac:dyDescent="0.3">
      <c r="A1" s="273" t="s">
        <v>0</v>
      </c>
      <c r="B1" s="2"/>
      <c r="C1" s="274" t="s">
        <v>1</v>
      </c>
      <c r="D1" s="271"/>
      <c r="E1" s="271"/>
      <c r="F1" s="271"/>
      <c r="G1" s="271"/>
      <c r="H1" s="271"/>
      <c r="I1" s="271"/>
      <c r="J1" s="271"/>
      <c r="K1" s="27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</row>
    <row r="2" spans="1:68" ht="15.75" customHeight="1" x14ac:dyDescent="0.25">
      <c r="A2" s="271"/>
      <c r="B2" s="275" t="s">
        <v>2</v>
      </c>
      <c r="C2" s="272" t="s">
        <v>3</v>
      </c>
      <c r="D2" s="272" t="s">
        <v>4</v>
      </c>
      <c r="E2" s="272" t="s">
        <v>5</v>
      </c>
      <c r="F2" s="272" t="s">
        <v>6</v>
      </c>
      <c r="G2" s="272" t="s">
        <v>7</v>
      </c>
      <c r="H2" s="272" t="s">
        <v>8</v>
      </c>
      <c r="I2" s="272" t="s">
        <v>9</v>
      </c>
      <c r="J2" s="272" t="s">
        <v>10</v>
      </c>
      <c r="K2" s="272" t="s">
        <v>11</v>
      </c>
      <c r="L2" s="268" t="s">
        <v>12</v>
      </c>
      <c r="M2" s="268" t="s">
        <v>13</v>
      </c>
      <c r="N2" s="268" t="s">
        <v>14</v>
      </c>
      <c r="O2" s="268" t="s">
        <v>15</v>
      </c>
      <c r="P2" s="268" t="s">
        <v>16</v>
      </c>
      <c r="Q2" s="268" t="s">
        <v>17</v>
      </c>
      <c r="R2" s="268" t="s">
        <v>18</v>
      </c>
      <c r="S2" s="268" t="s">
        <v>19</v>
      </c>
      <c r="T2" s="268" t="s">
        <v>20</v>
      </c>
      <c r="U2" s="268" t="s">
        <v>21</v>
      </c>
      <c r="V2" s="268" t="s">
        <v>22</v>
      </c>
      <c r="W2" s="268" t="s">
        <v>23</v>
      </c>
      <c r="X2" s="268" t="s">
        <v>24</v>
      </c>
      <c r="Y2" s="268" t="s">
        <v>25</v>
      </c>
      <c r="Z2" s="268" t="s">
        <v>26</v>
      </c>
      <c r="AA2" s="268" t="s">
        <v>27</v>
      </c>
      <c r="AB2" s="268" t="s">
        <v>28</v>
      </c>
      <c r="AC2" s="268" t="s">
        <v>29</v>
      </c>
      <c r="AD2" s="268" t="s">
        <v>30</v>
      </c>
      <c r="AE2" s="268" t="s">
        <v>31</v>
      </c>
      <c r="AF2" s="268" t="s">
        <v>32</v>
      </c>
      <c r="AG2" s="268" t="s">
        <v>33</v>
      </c>
      <c r="AH2" s="268" t="s">
        <v>34</v>
      </c>
      <c r="AI2" s="268" t="s">
        <v>35</v>
      </c>
      <c r="AJ2" s="268" t="s">
        <v>36</v>
      </c>
      <c r="AK2" s="268" t="s">
        <v>37</v>
      </c>
      <c r="AL2" s="268" t="s">
        <v>38</v>
      </c>
      <c r="AM2" s="268" t="s">
        <v>39</v>
      </c>
      <c r="AN2" s="268" t="s">
        <v>40</v>
      </c>
      <c r="AO2" s="268" t="s">
        <v>41</v>
      </c>
      <c r="AP2" s="268" t="s">
        <v>42</v>
      </c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</row>
    <row r="3" spans="1:68" ht="15.75" customHeight="1" x14ac:dyDescent="0.35">
      <c r="A3" s="5" t="s">
        <v>43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  <c r="AL3" s="269"/>
      <c r="AM3" s="269"/>
      <c r="AN3" s="269"/>
      <c r="AO3" s="269"/>
      <c r="AP3" s="269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</row>
    <row r="4" spans="1:68" ht="15.75" customHeight="1" x14ac:dyDescent="0.35">
      <c r="A4" s="6" t="s">
        <v>44</v>
      </c>
      <c r="B4" s="7" t="s">
        <v>45</v>
      </c>
      <c r="C4" s="8" t="s">
        <v>46</v>
      </c>
      <c r="D4" s="9" t="s">
        <v>47</v>
      </c>
      <c r="E4" s="9" t="s">
        <v>47</v>
      </c>
      <c r="F4" s="9" t="s">
        <v>47</v>
      </c>
      <c r="G4" s="9" t="s">
        <v>47</v>
      </c>
      <c r="H4" s="10" t="s">
        <v>48</v>
      </c>
      <c r="I4" s="11"/>
      <c r="J4" s="9" t="s">
        <v>49</v>
      </c>
      <c r="K4" s="9" t="s">
        <v>49</v>
      </c>
      <c r="L4" s="12" t="s">
        <v>50</v>
      </c>
      <c r="M4" s="12" t="s">
        <v>50</v>
      </c>
      <c r="N4" s="12" t="s">
        <v>50</v>
      </c>
      <c r="O4" s="12" t="s">
        <v>51</v>
      </c>
      <c r="P4" s="12" t="s">
        <v>51</v>
      </c>
      <c r="Q4" s="12" t="s">
        <v>51</v>
      </c>
      <c r="R4" s="12" t="s">
        <v>51</v>
      </c>
      <c r="S4" s="12" t="s">
        <v>50</v>
      </c>
      <c r="T4" s="12" t="s">
        <v>51</v>
      </c>
      <c r="U4" s="12" t="s">
        <v>51</v>
      </c>
      <c r="V4" s="12" t="s">
        <v>51</v>
      </c>
      <c r="W4" s="12" t="s">
        <v>51</v>
      </c>
      <c r="X4" s="12" t="s">
        <v>51</v>
      </c>
      <c r="Y4" s="12" t="s">
        <v>51</v>
      </c>
      <c r="Z4" s="12" t="s">
        <v>51</v>
      </c>
      <c r="AA4" s="12" t="s">
        <v>51</v>
      </c>
      <c r="AB4" s="12" t="s">
        <v>51</v>
      </c>
      <c r="AC4" s="12" t="s">
        <v>51</v>
      </c>
      <c r="AD4" s="12" t="s">
        <v>51</v>
      </c>
      <c r="AE4" s="12" t="s">
        <v>51</v>
      </c>
      <c r="AF4" s="12" t="s">
        <v>51</v>
      </c>
      <c r="AG4" s="12" t="s">
        <v>51</v>
      </c>
      <c r="AH4" s="12" t="s">
        <v>51</v>
      </c>
      <c r="AI4" s="12" t="s">
        <v>51</v>
      </c>
      <c r="AJ4" s="12" t="s">
        <v>51</v>
      </c>
      <c r="AK4" s="12" t="s">
        <v>51</v>
      </c>
      <c r="AL4" s="12" t="s">
        <v>51</v>
      </c>
      <c r="AM4" s="12" t="s">
        <v>50</v>
      </c>
      <c r="AN4" s="12" t="s">
        <v>50</v>
      </c>
      <c r="AO4" s="12" t="s">
        <v>50</v>
      </c>
      <c r="AP4" s="12" t="s">
        <v>50</v>
      </c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</row>
    <row r="5" spans="1:68" ht="15.75" customHeight="1" x14ac:dyDescent="0.25">
      <c r="A5" s="14">
        <v>46175</v>
      </c>
      <c r="B5" s="270" t="s">
        <v>52</v>
      </c>
      <c r="C5" s="15"/>
      <c r="D5" s="15"/>
      <c r="E5" s="15"/>
      <c r="F5" s="15"/>
      <c r="G5" s="15"/>
      <c r="H5" s="16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</row>
    <row r="6" spans="1:68" ht="15.75" customHeight="1" x14ac:dyDescent="0.35">
      <c r="A6" s="18" t="s">
        <v>53</v>
      </c>
      <c r="B6" s="271"/>
      <c r="C6" s="19"/>
      <c r="D6" s="20" t="s">
        <v>54</v>
      </c>
      <c r="E6" s="20" t="s">
        <v>54</v>
      </c>
      <c r="F6" s="20" t="s">
        <v>54</v>
      </c>
      <c r="G6" s="20" t="s">
        <v>54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2" t="s">
        <v>55</v>
      </c>
      <c r="AD6" s="22" t="s">
        <v>56</v>
      </c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</row>
    <row r="7" spans="1:68" ht="15.75" customHeight="1" x14ac:dyDescent="0.25">
      <c r="A7" s="23" t="s">
        <v>57</v>
      </c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</row>
    <row r="8" spans="1:68" ht="15" x14ac:dyDescent="0.2">
      <c r="A8" s="26" t="s">
        <v>58</v>
      </c>
      <c r="B8" s="27">
        <v>1649000</v>
      </c>
      <c r="C8" s="28">
        <v>5563000</v>
      </c>
      <c r="D8" s="28">
        <v>3597000</v>
      </c>
      <c r="E8" s="28">
        <v>7519000</v>
      </c>
      <c r="F8" s="28">
        <v>5743000</v>
      </c>
      <c r="G8" s="28">
        <v>10582000</v>
      </c>
      <c r="H8" s="28">
        <v>2821000</v>
      </c>
      <c r="I8" s="28">
        <v>6431000</v>
      </c>
      <c r="J8" s="28">
        <v>1705000</v>
      </c>
      <c r="K8" s="28">
        <v>1342000</v>
      </c>
      <c r="L8" s="28">
        <v>2127000</v>
      </c>
      <c r="M8" s="28">
        <v>2297000</v>
      </c>
      <c r="N8" s="28">
        <v>2346000</v>
      </c>
      <c r="O8" s="28">
        <v>2657000</v>
      </c>
      <c r="P8" s="28">
        <v>2657000</v>
      </c>
      <c r="Q8" s="28">
        <v>2291000</v>
      </c>
      <c r="R8" s="28">
        <v>2907000</v>
      </c>
      <c r="S8" s="28">
        <v>1714000</v>
      </c>
      <c r="T8" s="28">
        <v>2678000</v>
      </c>
      <c r="U8" s="28">
        <v>2927000</v>
      </c>
      <c r="V8" s="28">
        <v>2678000</v>
      </c>
      <c r="W8" s="28">
        <v>2765000</v>
      </c>
      <c r="X8" s="28">
        <v>2702000</v>
      </c>
      <c r="Y8" s="28">
        <v>2844000</v>
      </c>
      <c r="Z8" s="28">
        <v>1961000</v>
      </c>
      <c r="AA8" s="28">
        <v>1961000</v>
      </c>
      <c r="AB8" s="28">
        <v>1961000</v>
      </c>
      <c r="AC8" s="28">
        <v>1961000</v>
      </c>
      <c r="AD8" s="28">
        <v>1944000</v>
      </c>
      <c r="AE8" s="28">
        <v>2051000</v>
      </c>
      <c r="AF8" s="28">
        <v>2051000</v>
      </c>
      <c r="AG8" s="28">
        <v>2028000</v>
      </c>
      <c r="AH8" s="28">
        <v>1961000</v>
      </c>
      <c r="AI8" s="28">
        <v>1938000</v>
      </c>
      <c r="AJ8" s="28">
        <v>1938000</v>
      </c>
      <c r="AK8" s="28">
        <v>1938000</v>
      </c>
      <c r="AL8" s="28">
        <v>1828000</v>
      </c>
      <c r="AM8" s="28">
        <v>1720000</v>
      </c>
      <c r="AN8" s="28">
        <v>1720000</v>
      </c>
      <c r="AO8" s="28">
        <v>1828000</v>
      </c>
      <c r="AP8" s="28">
        <v>2497000</v>
      </c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</row>
    <row r="9" spans="1:68" ht="15" x14ac:dyDescent="0.2">
      <c r="A9" s="26" t="s">
        <v>59</v>
      </c>
      <c r="B9" s="27">
        <v>1679000</v>
      </c>
      <c r="C9" s="28">
        <v>6163000</v>
      </c>
      <c r="D9" s="28">
        <v>3950000</v>
      </c>
      <c r="E9" s="28">
        <v>8366000</v>
      </c>
      <c r="F9" s="28">
        <v>6366000</v>
      </c>
      <c r="G9" s="28">
        <v>11815000</v>
      </c>
      <c r="H9" s="28">
        <v>2991000</v>
      </c>
      <c r="I9" s="28">
        <v>7332000</v>
      </c>
      <c r="J9" s="28">
        <v>1811000</v>
      </c>
      <c r="K9" s="28">
        <v>1403000</v>
      </c>
      <c r="L9" s="28">
        <v>2277000</v>
      </c>
      <c r="M9" s="28">
        <v>2463000</v>
      </c>
      <c r="N9" s="28">
        <v>2512000</v>
      </c>
      <c r="O9" s="28">
        <v>2856000</v>
      </c>
      <c r="P9" s="28">
        <v>2856000</v>
      </c>
      <c r="Q9" s="28">
        <v>2459000</v>
      </c>
      <c r="R9" s="28">
        <v>3151000</v>
      </c>
      <c r="S9" s="28">
        <v>1812000</v>
      </c>
      <c r="T9" s="28">
        <v>2892000</v>
      </c>
      <c r="U9" s="28">
        <v>3171000</v>
      </c>
      <c r="V9" s="28">
        <v>2892000</v>
      </c>
      <c r="W9" s="28">
        <v>2991000</v>
      </c>
      <c r="X9" s="28">
        <v>2920000</v>
      </c>
      <c r="Y9" s="28">
        <v>3080000</v>
      </c>
      <c r="Z9" s="28">
        <v>2099000</v>
      </c>
      <c r="AA9" s="28">
        <v>2099000</v>
      </c>
      <c r="AB9" s="28">
        <v>2099000</v>
      </c>
      <c r="AC9" s="28">
        <v>2099000</v>
      </c>
      <c r="AD9" s="28">
        <v>2080000</v>
      </c>
      <c r="AE9" s="28">
        <v>2200000</v>
      </c>
      <c r="AF9" s="28">
        <v>2200000</v>
      </c>
      <c r="AG9" s="28">
        <v>2175000</v>
      </c>
      <c r="AH9" s="28">
        <v>2099000</v>
      </c>
      <c r="AI9" s="28">
        <v>2073000</v>
      </c>
      <c r="AJ9" s="28">
        <v>2073000</v>
      </c>
      <c r="AK9" s="28">
        <v>2073000</v>
      </c>
      <c r="AL9" s="28">
        <v>1926000</v>
      </c>
      <c r="AM9" s="28">
        <v>1804000</v>
      </c>
      <c r="AN9" s="28">
        <v>1804000</v>
      </c>
      <c r="AO9" s="28">
        <v>1926000</v>
      </c>
      <c r="AP9" s="28">
        <v>2685000</v>
      </c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</row>
    <row r="10" spans="1:68" ht="15" x14ac:dyDescent="0.2">
      <c r="A10" s="26" t="s">
        <v>60</v>
      </c>
      <c r="B10" s="27">
        <v>1697000</v>
      </c>
      <c r="C10" s="28">
        <v>6523000</v>
      </c>
      <c r="D10" s="28">
        <v>4162000</v>
      </c>
      <c r="E10" s="28">
        <v>8874000</v>
      </c>
      <c r="F10" s="28">
        <v>6740000</v>
      </c>
      <c r="G10" s="28">
        <v>12554000</v>
      </c>
      <c r="H10" s="28">
        <v>3093000</v>
      </c>
      <c r="I10" s="28">
        <v>7872000</v>
      </c>
      <c r="J10" s="28">
        <v>1875000</v>
      </c>
      <c r="K10" s="28">
        <v>1439000</v>
      </c>
      <c r="L10" s="28">
        <v>2366000</v>
      </c>
      <c r="M10" s="28">
        <v>2562000</v>
      </c>
      <c r="N10" s="28">
        <v>2611000</v>
      </c>
      <c r="O10" s="28">
        <v>2975000</v>
      </c>
      <c r="P10" s="28">
        <v>2975000</v>
      </c>
      <c r="Q10" s="28">
        <v>2560000</v>
      </c>
      <c r="R10" s="28">
        <v>3298000</v>
      </c>
      <c r="S10" s="28">
        <v>1871000</v>
      </c>
      <c r="T10" s="28">
        <v>3020000</v>
      </c>
      <c r="U10" s="28">
        <v>3318000</v>
      </c>
      <c r="V10" s="28">
        <v>3020000</v>
      </c>
      <c r="W10" s="28">
        <v>3127000</v>
      </c>
      <c r="X10" s="28">
        <v>3051000</v>
      </c>
      <c r="Y10" s="28">
        <v>3222000</v>
      </c>
      <c r="Z10" s="28">
        <v>2181000</v>
      </c>
      <c r="AA10" s="28">
        <v>2181000</v>
      </c>
      <c r="AB10" s="28">
        <v>2181000</v>
      </c>
      <c r="AC10" s="28">
        <v>2181000</v>
      </c>
      <c r="AD10" s="28">
        <v>2161000</v>
      </c>
      <c r="AE10" s="28">
        <v>2290000</v>
      </c>
      <c r="AF10" s="28">
        <v>2290000</v>
      </c>
      <c r="AG10" s="28">
        <v>2263000</v>
      </c>
      <c r="AH10" s="28">
        <v>2181000</v>
      </c>
      <c r="AI10" s="28">
        <v>2154000</v>
      </c>
      <c r="AJ10" s="28">
        <v>2154000</v>
      </c>
      <c r="AK10" s="28">
        <v>2154000</v>
      </c>
      <c r="AL10" s="28">
        <v>1985000</v>
      </c>
      <c r="AM10" s="28">
        <v>1855000</v>
      </c>
      <c r="AN10" s="28">
        <v>1855000</v>
      </c>
      <c r="AO10" s="28">
        <v>1985000</v>
      </c>
      <c r="AP10" s="28">
        <v>2798000</v>
      </c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</row>
    <row r="11" spans="1:68" ht="15" x14ac:dyDescent="0.2">
      <c r="A11" s="26" t="s">
        <v>61</v>
      </c>
      <c r="B11" s="27">
        <v>1709000</v>
      </c>
      <c r="C11" s="28">
        <v>6763000</v>
      </c>
      <c r="D11" s="28">
        <v>4303000</v>
      </c>
      <c r="E11" s="28">
        <v>9213000</v>
      </c>
      <c r="F11" s="28">
        <v>6989000</v>
      </c>
      <c r="G11" s="28">
        <v>13047000</v>
      </c>
      <c r="H11" s="28">
        <v>3161000</v>
      </c>
      <c r="I11" s="28">
        <v>8233000</v>
      </c>
      <c r="J11" s="28">
        <v>1917000</v>
      </c>
      <c r="K11" s="28">
        <v>1464000</v>
      </c>
      <c r="L11" s="28">
        <v>2426000</v>
      </c>
      <c r="M11" s="28">
        <v>2629000</v>
      </c>
      <c r="N11" s="28">
        <v>2678000</v>
      </c>
      <c r="O11" s="28">
        <v>3054000</v>
      </c>
      <c r="P11" s="28">
        <v>3054000</v>
      </c>
      <c r="Q11" s="28">
        <v>2628000</v>
      </c>
      <c r="R11" s="28">
        <v>3396000</v>
      </c>
      <c r="S11" s="28">
        <v>1910000</v>
      </c>
      <c r="T11" s="28">
        <v>3105000</v>
      </c>
      <c r="U11" s="28">
        <v>3416000</v>
      </c>
      <c r="V11" s="28">
        <v>3105000</v>
      </c>
      <c r="W11" s="28">
        <v>3217000</v>
      </c>
      <c r="X11" s="28">
        <v>3138000</v>
      </c>
      <c r="Y11" s="28">
        <v>3316000</v>
      </c>
      <c r="Z11" s="28">
        <v>2236000</v>
      </c>
      <c r="AA11" s="28">
        <v>2236000</v>
      </c>
      <c r="AB11" s="28">
        <v>2236000</v>
      </c>
      <c r="AC11" s="28">
        <v>2236000</v>
      </c>
      <c r="AD11" s="28">
        <v>2215000</v>
      </c>
      <c r="AE11" s="28">
        <v>2349000</v>
      </c>
      <c r="AF11" s="28">
        <v>2349000</v>
      </c>
      <c r="AG11" s="28">
        <v>2321000</v>
      </c>
      <c r="AH11" s="28">
        <v>2236000</v>
      </c>
      <c r="AI11" s="28">
        <v>2208000</v>
      </c>
      <c r="AJ11" s="28">
        <v>2208000</v>
      </c>
      <c r="AK11" s="28">
        <v>2208000</v>
      </c>
      <c r="AL11" s="28">
        <v>2024000</v>
      </c>
      <c r="AM11" s="28">
        <v>1888000</v>
      </c>
      <c r="AN11" s="28">
        <v>1888000</v>
      </c>
      <c r="AO11" s="28">
        <v>2024000</v>
      </c>
      <c r="AP11" s="28">
        <v>2873000</v>
      </c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</row>
    <row r="12" spans="1:68" ht="15" x14ac:dyDescent="0.2">
      <c r="A12" s="26" t="s">
        <v>62</v>
      </c>
      <c r="B12" s="27">
        <v>1739000</v>
      </c>
      <c r="C12" s="28">
        <v>7364000</v>
      </c>
      <c r="D12" s="28">
        <v>4656000</v>
      </c>
      <c r="E12" s="28">
        <v>10060000</v>
      </c>
      <c r="F12" s="28">
        <v>7612000</v>
      </c>
      <c r="G12" s="28">
        <v>14280000</v>
      </c>
      <c r="H12" s="28">
        <v>3332000</v>
      </c>
      <c r="I12" s="28">
        <v>9134000</v>
      </c>
      <c r="J12" s="28">
        <v>2024000</v>
      </c>
      <c r="K12" s="28">
        <v>1524000</v>
      </c>
      <c r="L12" s="28">
        <v>2576000</v>
      </c>
      <c r="M12" s="28">
        <v>2795000</v>
      </c>
      <c r="N12" s="28">
        <v>2843000</v>
      </c>
      <c r="O12" s="28">
        <v>3253000</v>
      </c>
      <c r="P12" s="28">
        <v>3253000</v>
      </c>
      <c r="Q12" s="28">
        <v>2796000</v>
      </c>
      <c r="R12" s="28">
        <v>3640000</v>
      </c>
      <c r="S12" s="28">
        <v>2008000</v>
      </c>
      <c r="T12" s="28">
        <v>3318000</v>
      </c>
      <c r="U12" s="28">
        <v>3661000</v>
      </c>
      <c r="V12" s="28">
        <v>3318000</v>
      </c>
      <c r="W12" s="28">
        <v>3443000</v>
      </c>
      <c r="X12" s="28">
        <v>3356000</v>
      </c>
      <c r="Y12" s="28">
        <v>3552000</v>
      </c>
      <c r="Z12" s="28">
        <v>2374000</v>
      </c>
      <c r="AA12" s="28">
        <v>2374000</v>
      </c>
      <c r="AB12" s="28">
        <v>2374000</v>
      </c>
      <c r="AC12" s="28">
        <v>2374000</v>
      </c>
      <c r="AD12" s="28">
        <v>2351000</v>
      </c>
      <c r="AE12" s="28">
        <v>2499000</v>
      </c>
      <c r="AF12" s="28">
        <v>2499000</v>
      </c>
      <c r="AG12" s="28">
        <v>2467000</v>
      </c>
      <c r="AH12" s="28">
        <v>2374000</v>
      </c>
      <c r="AI12" s="28">
        <v>2343000</v>
      </c>
      <c r="AJ12" s="28">
        <v>2343000</v>
      </c>
      <c r="AK12" s="28">
        <v>2343000</v>
      </c>
      <c r="AL12" s="28">
        <v>2122000</v>
      </c>
      <c r="AM12" s="28">
        <v>1972000</v>
      </c>
      <c r="AN12" s="28">
        <v>1972000</v>
      </c>
      <c r="AO12" s="28">
        <v>2122000</v>
      </c>
      <c r="AP12" s="28">
        <v>3061000</v>
      </c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</row>
    <row r="13" spans="1:68" ht="15" x14ac:dyDescent="0.2">
      <c r="A13" s="26" t="s">
        <v>63</v>
      </c>
      <c r="B13" s="27">
        <v>1769000</v>
      </c>
      <c r="C13" s="28">
        <v>7964000</v>
      </c>
      <c r="D13" s="28">
        <v>5009000</v>
      </c>
      <c r="E13" s="28">
        <v>10907000</v>
      </c>
      <c r="F13" s="28">
        <v>8235000</v>
      </c>
      <c r="G13" s="28">
        <v>15512000</v>
      </c>
      <c r="H13" s="28">
        <v>3502000</v>
      </c>
      <c r="I13" s="28">
        <v>10035000</v>
      </c>
      <c r="J13" s="28">
        <v>2130000</v>
      </c>
      <c r="K13" s="28">
        <v>1585000</v>
      </c>
      <c r="L13" s="28">
        <v>2725000</v>
      </c>
      <c r="M13" s="28">
        <v>2961000</v>
      </c>
      <c r="N13" s="28">
        <v>3009000</v>
      </c>
      <c r="O13" s="28">
        <v>3452000</v>
      </c>
      <c r="P13" s="28">
        <v>3452000</v>
      </c>
      <c r="Q13" s="28">
        <v>2965000</v>
      </c>
      <c r="R13" s="28">
        <v>3884000</v>
      </c>
      <c r="S13" s="28">
        <v>2106000</v>
      </c>
      <c r="T13" s="28">
        <v>3532000</v>
      </c>
      <c r="U13" s="28">
        <v>3905000</v>
      </c>
      <c r="V13" s="28">
        <v>3532000</v>
      </c>
      <c r="W13" s="28">
        <v>3669000</v>
      </c>
      <c r="X13" s="28">
        <v>3574000</v>
      </c>
      <c r="Y13" s="28">
        <v>3788000</v>
      </c>
      <c r="Z13" s="28">
        <v>2512000</v>
      </c>
      <c r="AA13" s="28">
        <v>2512000</v>
      </c>
      <c r="AB13" s="28">
        <v>2512000</v>
      </c>
      <c r="AC13" s="28">
        <v>2512000</v>
      </c>
      <c r="AD13" s="28">
        <v>2487000</v>
      </c>
      <c r="AE13" s="28">
        <v>2648000</v>
      </c>
      <c r="AF13" s="28">
        <v>2648000</v>
      </c>
      <c r="AG13" s="28">
        <v>2614000</v>
      </c>
      <c r="AH13" s="28">
        <v>2512000</v>
      </c>
      <c r="AI13" s="28">
        <v>2478000</v>
      </c>
      <c r="AJ13" s="28">
        <v>2478000</v>
      </c>
      <c r="AK13" s="28">
        <v>2478000</v>
      </c>
      <c r="AL13" s="28">
        <v>2220000</v>
      </c>
      <c r="AM13" s="28">
        <v>2057000</v>
      </c>
      <c r="AN13" s="28">
        <v>2057000</v>
      </c>
      <c r="AO13" s="28">
        <v>2220000</v>
      </c>
      <c r="AP13" s="28">
        <v>3250000</v>
      </c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</row>
    <row r="14" spans="1:68" ht="15.75" customHeight="1" x14ac:dyDescent="0.25">
      <c r="A14" s="30" t="s">
        <v>64</v>
      </c>
      <c r="B14" s="25"/>
      <c r="C14" s="28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</row>
    <row r="15" spans="1:68" ht="15" x14ac:dyDescent="0.2">
      <c r="A15" s="31" t="s">
        <v>58</v>
      </c>
      <c r="B15" s="27">
        <v>1745000</v>
      </c>
      <c r="C15" s="28">
        <v>6453000</v>
      </c>
      <c r="D15" s="28">
        <v>3947000</v>
      </c>
      <c r="E15" s="28">
        <v>8136000</v>
      </c>
      <c r="F15" s="28">
        <v>6239000</v>
      </c>
      <c r="G15" s="28">
        <v>11407000</v>
      </c>
      <c r="H15" s="28">
        <v>3102000</v>
      </c>
      <c r="I15" s="28">
        <v>6975000</v>
      </c>
      <c r="J15" s="28">
        <v>1925000</v>
      </c>
      <c r="K15" s="28">
        <v>1538000</v>
      </c>
      <c r="L15" s="28">
        <v>2375000</v>
      </c>
      <c r="M15" s="28">
        <v>2556000</v>
      </c>
      <c r="N15" s="28">
        <v>2608000</v>
      </c>
      <c r="O15" s="28">
        <v>2939000</v>
      </c>
      <c r="P15" s="28">
        <v>2939000</v>
      </c>
      <c r="Q15" s="28">
        <v>2550000</v>
      </c>
      <c r="R15" s="28">
        <v>3208000</v>
      </c>
      <c r="S15" s="28">
        <v>1934000</v>
      </c>
      <c r="T15" s="28">
        <v>2963000</v>
      </c>
      <c r="U15" s="28">
        <v>3229000</v>
      </c>
      <c r="V15" s="28">
        <v>2963000</v>
      </c>
      <c r="W15" s="28">
        <v>3056000</v>
      </c>
      <c r="X15" s="28">
        <v>2989000</v>
      </c>
      <c r="Y15" s="28">
        <v>3141000</v>
      </c>
      <c r="Z15" s="28">
        <v>2198000</v>
      </c>
      <c r="AA15" s="28">
        <v>2198000</v>
      </c>
      <c r="AB15" s="28">
        <v>2198000</v>
      </c>
      <c r="AC15" s="28">
        <v>2198000</v>
      </c>
      <c r="AD15" s="28"/>
      <c r="AE15" s="28">
        <v>2295000</v>
      </c>
      <c r="AF15" s="28">
        <v>2295000</v>
      </c>
      <c r="AG15" s="28">
        <v>2271000</v>
      </c>
      <c r="AH15" s="28">
        <v>2198000</v>
      </c>
      <c r="AI15" s="28">
        <v>2174000</v>
      </c>
      <c r="AJ15" s="28">
        <v>2174000</v>
      </c>
      <c r="AK15" s="28">
        <v>2174000</v>
      </c>
      <c r="AL15" s="25"/>
      <c r="AM15" s="25"/>
      <c r="AN15" s="25"/>
      <c r="AO15" s="25"/>
      <c r="AP15" s="25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</row>
    <row r="16" spans="1:68" ht="15" x14ac:dyDescent="0.2">
      <c r="A16" s="26" t="s">
        <v>59</v>
      </c>
      <c r="B16" s="27">
        <v>1775000</v>
      </c>
      <c r="C16" s="28">
        <v>7145000</v>
      </c>
      <c r="D16" s="28">
        <v>4324000</v>
      </c>
      <c r="E16" s="28">
        <v>9041000</v>
      </c>
      <c r="F16" s="28">
        <v>6904000</v>
      </c>
      <c r="G16" s="28">
        <v>12724000</v>
      </c>
      <c r="H16" s="28">
        <v>3282000</v>
      </c>
      <c r="I16" s="28">
        <v>7939000</v>
      </c>
      <c r="J16" s="28">
        <v>2038000</v>
      </c>
      <c r="K16" s="28">
        <v>1602000</v>
      </c>
      <c r="L16" s="28">
        <v>2535000</v>
      </c>
      <c r="M16" s="28">
        <v>2733000</v>
      </c>
      <c r="N16" s="28">
        <v>2785000</v>
      </c>
      <c r="O16" s="28">
        <v>3151000</v>
      </c>
      <c r="P16" s="28">
        <v>3151000</v>
      </c>
      <c r="Q16" s="28">
        <v>2729000</v>
      </c>
      <c r="R16" s="28">
        <v>3468000</v>
      </c>
      <c r="S16" s="28">
        <v>2039000</v>
      </c>
      <c r="T16" s="28">
        <v>3191000</v>
      </c>
      <c r="U16" s="28">
        <v>3490000</v>
      </c>
      <c r="V16" s="28">
        <v>3191000</v>
      </c>
      <c r="W16" s="28">
        <v>3297000</v>
      </c>
      <c r="X16" s="28">
        <v>3221000</v>
      </c>
      <c r="Y16" s="28">
        <v>3392000</v>
      </c>
      <c r="Z16" s="28">
        <v>2345000</v>
      </c>
      <c r="AA16" s="28">
        <v>2345000</v>
      </c>
      <c r="AB16" s="28">
        <v>2345000</v>
      </c>
      <c r="AC16" s="28">
        <v>2345000</v>
      </c>
      <c r="AD16" s="28"/>
      <c r="AE16" s="28">
        <v>2454000</v>
      </c>
      <c r="AF16" s="28">
        <v>2454000</v>
      </c>
      <c r="AG16" s="28">
        <v>2427000</v>
      </c>
      <c r="AH16" s="28">
        <v>2345000</v>
      </c>
      <c r="AI16" s="28">
        <v>2318000</v>
      </c>
      <c r="AJ16" s="28">
        <v>2318000</v>
      </c>
      <c r="AK16" s="28">
        <v>2318000</v>
      </c>
      <c r="AL16" s="25"/>
      <c r="AM16" s="25"/>
      <c r="AN16" s="25"/>
      <c r="AO16" s="25"/>
      <c r="AP16" s="25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</row>
    <row r="17" spans="1:68" ht="15" x14ac:dyDescent="0.2">
      <c r="A17" s="26" t="s">
        <v>60</v>
      </c>
      <c r="B17" s="27">
        <v>1793000</v>
      </c>
      <c r="C17" s="28">
        <v>7561000</v>
      </c>
      <c r="D17" s="28">
        <v>4550000</v>
      </c>
      <c r="E17" s="28">
        <v>9583000</v>
      </c>
      <c r="F17" s="28">
        <v>7304000</v>
      </c>
      <c r="G17" s="28">
        <v>13514000</v>
      </c>
      <c r="H17" s="28">
        <v>3390000</v>
      </c>
      <c r="I17" s="28">
        <v>8517000</v>
      </c>
      <c r="J17" s="28">
        <v>2106000</v>
      </c>
      <c r="K17" s="28">
        <v>1641000</v>
      </c>
      <c r="L17" s="28">
        <v>2630000</v>
      </c>
      <c r="M17" s="28">
        <v>2839000</v>
      </c>
      <c r="N17" s="28">
        <v>2891000</v>
      </c>
      <c r="O17" s="28">
        <v>3278000</v>
      </c>
      <c r="P17" s="28">
        <v>3278000</v>
      </c>
      <c r="Q17" s="28">
        <v>2837000</v>
      </c>
      <c r="R17" s="28">
        <v>3625000</v>
      </c>
      <c r="S17" s="28">
        <v>2101000</v>
      </c>
      <c r="T17" s="28">
        <v>3327000</v>
      </c>
      <c r="U17" s="28">
        <v>3646000</v>
      </c>
      <c r="V17" s="28">
        <v>3327000</v>
      </c>
      <c r="W17" s="28">
        <v>3442000</v>
      </c>
      <c r="X17" s="28">
        <v>3361000</v>
      </c>
      <c r="Y17" s="28">
        <v>3543000</v>
      </c>
      <c r="Z17" s="28">
        <v>2434000</v>
      </c>
      <c r="AA17" s="28">
        <v>2434000</v>
      </c>
      <c r="AB17" s="28">
        <v>2434000</v>
      </c>
      <c r="AC17" s="28">
        <v>2434000</v>
      </c>
      <c r="AD17" s="28"/>
      <c r="AE17" s="28">
        <v>2549000</v>
      </c>
      <c r="AF17" s="28">
        <v>2549000</v>
      </c>
      <c r="AG17" s="28">
        <v>2520000</v>
      </c>
      <c r="AH17" s="28">
        <v>2434000</v>
      </c>
      <c r="AI17" s="28">
        <v>2405000</v>
      </c>
      <c r="AJ17" s="28">
        <v>2405000</v>
      </c>
      <c r="AK17" s="28">
        <v>2405000</v>
      </c>
      <c r="AL17" s="25"/>
      <c r="AM17" s="25"/>
      <c r="AN17" s="25"/>
      <c r="AO17" s="25"/>
      <c r="AP17" s="25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</row>
    <row r="18" spans="1:68" ht="15" x14ac:dyDescent="0.2">
      <c r="A18" s="26" t="s">
        <v>61</v>
      </c>
      <c r="B18" s="27">
        <v>1805000</v>
      </c>
      <c r="C18" s="28">
        <v>7838000</v>
      </c>
      <c r="D18" s="28">
        <v>4701000</v>
      </c>
      <c r="E18" s="28">
        <v>9945000</v>
      </c>
      <c r="F18" s="28">
        <v>7570000</v>
      </c>
      <c r="G18" s="28">
        <v>14040000</v>
      </c>
      <c r="H18" s="28">
        <v>3462000</v>
      </c>
      <c r="I18" s="28">
        <v>8903000</v>
      </c>
      <c r="J18" s="28">
        <v>2152000</v>
      </c>
      <c r="K18" s="28">
        <v>1667000</v>
      </c>
      <c r="L18" s="28">
        <v>2694000</v>
      </c>
      <c r="M18" s="28">
        <v>2910000</v>
      </c>
      <c r="N18" s="28">
        <v>2961000</v>
      </c>
      <c r="O18" s="28">
        <v>3363000</v>
      </c>
      <c r="P18" s="28">
        <v>3363000</v>
      </c>
      <c r="Q18" s="28">
        <v>2909000</v>
      </c>
      <c r="R18" s="28">
        <v>3729000</v>
      </c>
      <c r="S18" s="28">
        <v>2143000</v>
      </c>
      <c r="T18" s="28">
        <v>3419000</v>
      </c>
      <c r="U18" s="28">
        <v>3751000</v>
      </c>
      <c r="V18" s="28">
        <v>3419000</v>
      </c>
      <c r="W18" s="28">
        <v>3538000</v>
      </c>
      <c r="X18" s="28">
        <v>3454000</v>
      </c>
      <c r="Y18" s="28">
        <v>3644000</v>
      </c>
      <c r="Z18" s="28">
        <v>2493000</v>
      </c>
      <c r="AA18" s="28">
        <v>2493000</v>
      </c>
      <c r="AB18" s="28">
        <v>2493000</v>
      </c>
      <c r="AC18" s="28">
        <v>2493000</v>
      </c>
      <c r="AD18" s="28"/>
      <c r="AE18" s="28">
        <v>2613000</v>
      </c>
      <c r="AF18" s="28">
        <v>2613000</v>
      </c>
      <c r="AG18" s="28">
        <v>2583000</v>
      </c>
      <c r="AH18" s="28">
        <v>2493000</v>
      </c>
      <c r="AI18" s="28">
        <v>2462000</v>
      </c>
      <c r="AJ18" s="28">
        <v>2462000</v>
      </c>
      <c r="AK18" s="28">
        <v>2462000</v>
      </c>
      <c r="AL18" s="25"/>
      <c r="AM18" s="25"/>
      <c r="AN18" s="25"/>
      <c r="AO18" s="25"/>
      <c r="AP18" s="25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</row>
    <row r="19" spans="1:68" ht="15" x14ac:dyDescent="0.2">
      <c r="A19" s="26" t="s">
        <v>62</v>
      </c>
      <c r="B19" s="27">
        <v>1835000</v>
      </c>
      <c r="C19" s="28">
        <v>8530000</v>
      </c>
      <c r="D19" s="28">
        <v>5078000</v>
      </c>
      <c r="E19" s="28">
        <v>10849000</v>
      </c>
      <c r="F19" s="28">
        <v>8235000</v>
      </c>
      <c r="G19" s="28">
        <v>15357000</v>
      </c>
      <c r="H19" s="28">
        <v>3643000</v>
      </c>
      <c r="I19" s="28">
        <v>9867000</v>
      </c>
      <c r="J19" s="28">
        <v>2265000</v>
      </c>
      <c r="K19" s="28">
        <v>1732000</v>
      </c>
      <c r="L19" s="28">
        <v>2854000</v>
      </c>
      <c r="M19" s="28">
        <v>3087000</v>
      </c>
      <c r="N19" s="28">
        <v>3138000</v>
      </c>
      <c r="O19" s="28">
        <v>3575000</v>
      </c>
      <c r="P19" s="28">
        <v>3575000</v>
      </c>
      <c r="Q19" s="28">
        <v>3089000</v>
      </c>
      <c r="R19" s="28">
        <v>3990000</v>
      </c>
      <c r="S19" s="28">
        <v>2247000</v>
      </c>
      <c r="T19" s="28">
        <v>3646000</v>
      </c>
      <c r="U19" s="28">
        <v>4012000</v>
      </c>
      <c r="V19" s="28">
        <v>3646000</v>
      </c>
      <c r="W19" s="28">
        <v>3780000</v>
      </c>
      <c r="X19" s="28">
        <v>3687000</v>
      </c>
      <c r="Y19" s="28">
        <v>3896000</v>
      </c>
      <c r="Z19" s="28">
        <v>2640000</v>
      </c>
      <c r="AA19" s="28">
        <v>2640000</v>
      </c>
      <c r="AB19" s="28">
        <v>2640000</v>
      </c>
      <c r="AC19" s="28">
        <v>2640000</v>
      </c>
      <c r="AD19" s="28"/>
      <c r="AE19" s="28">
        <v>2772000</v>
      </c>
      <c r="AF19" s="28">
        <v>2772000</v>
      </c>
      <c r="AG19" s="28">
        <v>2739000</v>
      </c>
      <c r="AH19" s="28">
        <v>2640000</v>
      </c>
      <c r="AI19" s="28">
        <v>2607000</v>
      </c>
      <c r="AJ19" s="28">
        <v>2607000</v>
      </c>
      <c r="AK19" s="28">
        <v>2607000</v>
      </c>
      <c r="AL19" s="25"/>
      <c r="AM19" s="25"/>
      <c r="AN19" s="25"/>
      <c r="AO19" s="25"/>
      <c r="AP19" s="25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</row>
    <row r="20" spans="1:68" ht="15" x14ac:dyDescent="0.2">
      <c r="A20" s="26" t="s">
        <v>63</v>
      </c>
      <c r="B20" s="27">
        <v>1865000</v>
      </c>
      <c r="C20" s="28">
        <v>9222000</v>
      </c>
      <c r="D20" s="28">
        <v>5454000</v>
      </c>
      <c r="E20" s="28">
        <v>11754000</v>
      </c>
      <c r="F20" s="28">
        <v>8901000</v>
      </c>
      <c r="G20" s="28">
        <v>16673000</v>
      </c>
      <c r="H20" s="28">
        <v>3823000</v>
      </c>
      <c r="I20" s="28">
        <v>10831000</v>
      </c>
      <c r="J20" s="28">
        <v>2379000</v>
      </c>
      <c r="K20" s="28">
        <v>1797000</v>
      </c>
      <c r="L20" s="28">
        <v>3013000</v>
      </c>
      <c r="M20" s="28">
        <v>3264000</v>
      </c>
      <c r="N20" s="28">
        <v>3314000</v>
      </c>
      <c r="O20" s="28">
        <v>3787000</v>
      </c>
      <c r="P20" s="28">
        <v>3787000</v>
      </c>
      <c r="Q20" s="28">
        <v>3268000</v>
      </c>
      <c r="R20" s="28">
        <v>4251000</v>
      </c>
      <c r="S20" s="28">
        <v>2351000</v>
      </c>
      <c r="T20" s="28">
        <v>3874000</v>
      </c>
      <c r="U20" s="28">
        <v>4273000</v>
      </c>
      <c r="V20" s="28">
        <v>3874000</v>
      </c>
      <c r="W20" s="28">
        <v>4021000</v>
      </c>
      <c r="X20" s="28">
        <v>3920000</v>
      </c>
      <c r="Y20" s="28">
        <v>4148000</v>
      </c>
      <c r="Z20" s="28">
        <v>2787000</v>
      </c>
      <c r="AA20" s="28">
        <v>2787000</v>
      </c>
      <c r="AB20" s="28">
        <v>2787000</v>
      </c>
      <c r="AC20" s="28">
        <v>2787000</v>
      </c>
      <c r="AD20" s="28"/>
      <c r="AE20" s="28">
        <v>2932000</v>
      </c>
      <c r="AF20" s="28">
        <v>2932000</v>
      </c>
      <c r="AG20" s="28">
        <v>2895000</v>
      </c>
      <c r="AH20" s="28">
        <v>2787000</v>
      </c>
      <c r="AI20" s="28">
        <v>2751000</v>
      </c>
      <c r="AJ20" s="28">
        <v>2751000</v>
      </c>
      <c r="AK20" s="28">
        <v>2751000</v>
      </c>
      <c r="AL20" s="25"/>
      <c r="AM20" s="25"/>
      <c r="AN20" s="25"/>
      <c r="AO20" s="25"/>
      <c r="AP20" s="25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</row>
    <row r="21" spans="1:68" ht="15.75" customHeight="1" x14ac:dyDescent="0.25">
      <c r="A21" s="30" t="s">
        <v>65</v>
      </c>
      <c r="B21" s="27"/>
      <c r="C21" s="28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</row>
    <row r="22" spans="1:68" ht="15" x14ac:dyDescent="0.2">
      <c r="A22" s="31" t="s">
        <v>58</v>
      </c>
      <c r="B22" s="27">
        <v>1842000</v>
      </c>
      <c r="C22" s="28">
        <v>6803000</v>
      </c>
      <c r="D22" s="28">
        <v>4138000</v>
      </c>
      <c r="E22" s="28">
        <v>8594000</v>
      </c>
      <c r="F22" s="28">
        <v>6576000</v>
      </c>
      <c r="G22" s="28">
        <v>12074000</v>
      </c>
      <c r="H22" s="28">
        <v>3224000</v>
      </c>
      <c r="I22" s="28">
        <v>7359000</v>
      </c>
      <c r="J22" s="28">
        <v>1986000</v>
      </c>
      <c r="K22" s="28">
        <v>1574000</v>
      </c>
      <c r="L22" s="28">
        <v>2464000</v>
      </c>
      <c r="M22" s="28">
        <v>2656000</v>
      </c>
      <c r="N22" s="28">
        <v>2711000</v>
      </c>
      <c r="O22" s="28">
        <v>3063000</v>
      </c>
      <c r="P22" s="28">
        <v>3063000</v>
      </c>
      <c r="Q22" s="28">
        <v>2650000</v>
      </c>
      <c r="R22" s="28">
        <v>3349000</v>
      </c>
      <c r="S22" s="28">
        <v>1995000</v>
      </c>
      <c r="T22" s="28">
        <v>3089000</v>
      </c>
      <c r="U22" s="28">
        <v>3372000</v>
      </c>
      <c r="V22" s="28">
        <v>3089000</v>
      </c>
      <c r="W22" s="28">
        <v>3188000</v>
      </c>
      <c r="X22" s="28">
        <v>3116000</v>
      </c>
      <c r="Y22" s="28">
        <v>3278000</v>
      </c>
      <c r="Z22" s="28">
        <v>2277000</v>
      </c>
      <c r="AA22" s="28">
        <v>2277000</v>
      </c>
      <c r="AB22" s="28">
        <v>2277000</v>
      </c>
      <c r="AC22" s="28">
        <v>2277000</v>
      </c>
      <c r="AD22" s="28"/>
      <c r="AE22" s="28">
        <v>2379000</v>
      </c>
      <c r="AF22" s="28">
        <v>2379000</v>
      </c>
      <c r="AG22" s="28">
        <v>2354000</v>
      </c>
      <c r="AH22" s="28">
        <v>2277000</v>
      </c>
      <c r="AI22" s="28">
        <v>2251000</v>
      </c>
      <c r="AJ22" s="28">
        <v>2251000</v>
      </c>
      <c r="AK22" s="28">
        <v>2251000</v>
      </c>
      <c r="AL22" s="25"/>
      <c r="AM22" s="25"/>
      <c r="AN22" s="25"/>
      <c r="AO22" s="25"/>
      <c r="AP22" s="25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</row>
    <row r="23" spans="1:68" ht="15" x14ac:dyDescent="0.2">
      <c r="A23" s="26" t="s">
        <v>59</v>
      </c>
      <c r="B23" s="27">
        <v>1872000</v>
      </c>
      <c r="C23" s="28">
        <v>7540000</v>
      </c>
      <c r="D23" s="28">
        <v>4539000</v>
      </c>
      <c r="E23" s="28">
        <v>9556000</v>
      </c>
      <c r="F23" s="28">
        <v>7284000</v>
      </c>
      <c r="G23" s="28">
        <v>13474000</v>
      </c>
      <c r="H23" s="28">
        <v>3414000</v>
      </c>
      <c r="I23" s="28">
        <v>8387000</v>
      </c>
      <c r="J23" s="28">
        <v>2107000</v>
      </c>
      <c r="K23" s="28">
        <v>1643000</v>
      </c>
      <c r="L23" s="28">
        <v>2634000</v>
      </c>
      <c r="M23" s="28">
        <v>2844000</v>
      </c>
      <c r="N23" s="28">
        <v>2899000</v>
      </c>
      <c r="O23" s="28">
        <v>3288000</v>
      </c>
      <c r="P23" s="28">
        <v>3288000</v>
      </c>
      <c r="Q23" s="28">
        <v>2841000</v>
      </c>
      <c r="R23" s="28">
        <v>3627000</v>
      </c>
      <c r="S23" s="28">
        <v>2106000</v>
      </c>
      <c r="T23" s="28">
        <v>3331000</v>
      </c>
      <c r="U23" s="28">
        <v>3649000</v>
      </c>
      <c r="V23" s="28">
        <v>3331000</v>
      </c>
      <c r="W23" s="28">
        <v>3444000</v>
      </c>
      <c r="X23" s="28">
        <v>3364000</v>
      </c>
      <c r="Y23" s="28">
        <v>3546000</v>
      </c>
      <c r="Z23" s="28">
        <v>2433000</v>
      </c>
      <c r="AA23" s="28">
        <v>2433000</v>
      </c>
      <c r="AB23" s="28">
        <v>2433000</v>
      </c>
      <c r="AC23" s="28">
        <v>2433000</v>
      </c>
      <c r="AD23" s="28"/>
      <c r="AE23" s="28">
        <v>2549000</v>
      </c>
      <c r="AF23" s="28">
        <v>2549000</v>
      </c>
      <c r="AG23" s="28">
        <v>2520000</v>
      </c>
      <c r="AH23" s="28">
        <v>2433000</v>
      </c>
      <c r="AI23" s="28">
        <v>2404000</v>
      </c>
      <c r="AJ23" s="28">
        <v>2404000</v>
      </c>
      <c r="AK23" s="28">
        <v>2404000</v>
      </c>
      <c r="AL23" s="25"/>
      <c r="AM23" s="25"/>
      <c r="AN23" s="25"/>
      <c r="AO23" s="25"/>
      <c r="AP23" s="25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</row>
    <row r="24" spans="1:68" ht="15" x14ac:dyDescent="0.2">
      <c r="A24" s="26" t="s">
        <v>60</v>
      </c>
      <c r="B24" s="27">
        <v>1889000</v>
      </c>
      <c r="C24" s="28">
        <v>7982000</v>
      </c>
      <c r="D24" s="28">
        <v>4779000</v>
      </c>
      <c r="E24" s="28">
        <v>10133000</v>
      </c>
      <c r="F24" s="28">
        <v>7708000</v>
      </c>
      <c r="G24" s="28">
        <v>14314000</v>
      </c>
      <c r="H24" s="28">
        <v>3528000</v>
      </c>
      <c r="I24" s="28">
        <v>9003000</v>
      </c>
      <c r="J24" s="28">
        <v>2179000</v>
      </c>
      <c r="K24" s="28">
        <v>1684000</v>
      </c>
      <c r="L24" s="28">
        <v>2735000</v>
      </c>
      <c r="M24" s="28">
        <v>2957000</v>
      </c>
      <c r="N24" s="28">
        <v>3011000</v>
      </c>
      <c r="O24" s="28">
        <v>3423000</v>
      </c>
      <c r="P24" s="28">
        <v>3423000</v>
      </c>
      <c r="Q24" s="28">
        <v>2955000</v>
      </c>
      <c r="R24" s="28">
        <v>3793000</v>
      </c>
      <c r="S24" s="28">
        <v>2172000</v>
      </c>
      <c r="T24" s="28">
        <v>3476000</v>
      </c>
      <c r="U24" s="28">
        <v>3815000</v>
      </c>
      <c r="V24" s="28">
        <v>3476000</v>
      </c>
      <c r="W24" s="28">
        <v>3598000</v>
      </c>
      <c r="X24" s="28">
        <v>3512000</v>
      </c>
      <c r="Y24" s="28">
        <v>3706000</v>
      </c>
      <c r="Z24" s="28">
        <v>2527000</v>
      </c>
      <c r="AA24" s="28">
        <v>2527000</v>
      </c>
      <c r="AB24" s="28">
        <v>2527000</v>
      </c>
      <c r="AC24" s="28">
        <v>2527000</v>
      </c>
      <c r="AD24" s="28"/>
      <c r="AE24" s="28">
        <v>2650000</v>
      </c>
      <c r="AF24" s="28">
        <v>2650000</v>
      </c>
      <c r="AG24" s="28">
        <v>2619000</v>
      </c>
      <c r="AH24" s="28">
        <v>2527000</v>
      </c>
      <c r="AI24" s="28">
        <v>2496000</v>
      </c>
      <c r="AJ24" s="28">
        <v>2496000</v>
      </c>
      <c r="AK24" s="28">
        <v>2496000</v>
      </c>
      <c r="AL24" s="25"/>
      <c r="AM24" s="25"/>
      <c r="AN24" s="25"/>
      <c r="AO24" s="25"/>
      <c r="AP24" s="25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</row>
    <row r="25" spans="1:68" ht="15" x14ac:dyDescent="0.2">
      <c r="A25" s="26" t="s">
        <v>61</v>
      </c>
      <c r="B25" s="27">
        <v>1902000</v>
      </c>
      <c r="C25" s="28">
        <v>8276000</v>
      </c>
      <c r="D25" s="28">
        <v>4939000</v>
      </c>
      <c r="E25" s="28">
        <v>10518000</v>
      </c>
      <c r="F25" s="28">
        <v>7992000</v>
      </c>
      <c r="G25" s="28">
        <v>14875000</v>
      </c>
      <c r="H25" s="28">
        <v>3604000</v>
      </c>
      <c r="I25" s="28">
        <v>9414000</v>
      </c>
      <c r="J25" s="28">
        <v>2227000</v>
      </c>
      <c r="K25" s="28">
        <v>1712000</v>
      </c>
      <c r="L25" s="28">
        <v>2803000</v>
      </c>
      <c r="M25" s="28">
        <v>3032000</v>
      </c>
      <c r="N25" s="28">
        <v>3086000</v>
      </c>
      <c r="O25" s="28">
        <v>3513000</v>
      </c>
      <c r="P25" s="28">
        <v>3513000</v>
      </c>
      <c r="Q25" s="28">
        <v>3032000</v>
      </c>
      <c r="R25" s="28">
        <v>3904000</v>
      </c>
      <c r="S25" s="28">
        <v>2217000</v>
      </c>
      <c r="T25" s="28">
        <v>3573000</v>
      </c>
      <c r="U25" s="28">
        <v>3926000</v>
      </c>
      <c r="V25" s="28">
        <v>3573000</v>
      </c>
      <c r="W25" s="28">
        <v>3701000</v>
      </c>
      <c r="X25" s="28">
        <v>3611000</v>
      </c>
      <c r="Y25" s="28">
        <v>3813000</v>
      </c>
      <c r="Z25" s="28">
        <v>2590000</v>
      </c>
      <c r="AA25" s="28">
        <v>2590000</v>
      </c>
      <c r="AB25" s="28">
        <v>2590000</v>
      </c>
      <c r="AC25" s="28">
        <v>2590000</v>
      </c>
      <c r="AD25" s="28"/>
      <c r="AE25" s="28">
        <v>2718000</v>
      </c>
      <c r="AF25" s="28">
        <v>2718000</v>
      </c>
      <c r="AG25" s="28">
        <v>2686000</v>
      </c>
      <c r="AH25" s="28">
        <v>2590000</v>
      </c>
      <c r="AI25" s="28">
        <v>2558000</v>
      </c>
      <c r="AJ25" s="28">
        <v>2558000</v>
      </c>
      <c r="AK25" s="28">
        <v>2558000</v>
      </c>
      <c r="AL25" s="25"/>
      <c r="AM25" s="25"/>
      <c r="AN25" s="25"/>
      <c r="AO25" s="25"/>
      <c r="AP25" s="25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</row>
    <row r="26" spans="1:68" ht="15" x14ac:dyDescent="0.2">
      <c r="A26" s="26" t="s">
        <v>62</v>
      </c>
      <c r="B26" s="27">
        <v>1932000</v>
      </c>
      <c r="C26" s="28">
        <v>9013000</v>
      </c>
      <c r="D26" s="28">
        <v>5340000</v>
      </c>
      <c r="E26" s="28">
        <v>11480000</v>
      </c>
      <c r="F26" s="28">
        <v>8699000</v>
      </c>
      <c r="G26" s="28">
        <v>16275000</v>
      </c>
      <c r="H26" s="28">
        <v>3795000</v>
      </c>
      <c r="I26" s="28">
        <v>10441000</v>
      </c>
      <c r="J26" s="28">
        <v>2348000</v>
      </c>
      <c r="K26" s="28">
        <v>1780000</v>
      </c>
      <c r="L26" s="28">
        <v>2972000</v>
      </c>
      <c r="M26" s="28">
        <v>3220000</v>
      </c>
      <c r="N26" s="28">
        <v>3274000</v>
      </c>
      <c r="O26" s="28">
        <v>3738000</v>
      </c>
      <c r="P26" s="28">
        <v>3738000</v>
      </c>
      <c r="Q26" s="28">
        <v>3222000</v>
      </c>
      <c r="R26" s="28">
        <v>4181000</v>
      </c>
      <c r="S26" s="28">
        <v>2327000</v>
      </c>
      <c r="T26" s="28">
        <v>3815000</v>
      </c>
      <c r="U26" s="28">
        <v>4204000</v>
      </c>
      <c r="V26" s="28">
        <v>3815000</v>
      </c>
      <c r="W26" s="28">
        <v>3957000</v>
      </c>
      <c r="X26" s="28">
        <v>3858000</v>
      </c>
      <c r="Y26" s="28">
        <v>4081000</v>
      </c>
      <c r="Z26" s="28">
        <v>2746000</v>
      </c>
      <c r="AA26" s="28">
        <v>2746000</v>
      </c>
      <c r="AB26" s="28">
        <v>2746000</v>
      </c>
      <c r="AC26" s="28">
        <v>2746000</v>
      </c>
      <c r="AD26" s="28"/>
      <c r="AE26" s="28">
        <v>2887000</v>
      </c>
      <c r="AF26" s="28">
        <v>2887000</v>
      </c>
      <c r="AG26" s="28">
        <v>2852000</v>
      </c>
      <c r="AH26" s="28">
        <v>2746000</v>
      </c>
      <c r="AI26" s="28">
        <v>2711000</v>
      </c>
      <c r="AJ26" s="28">
        <v>2711000</v>
      </c>
      <c r="AK26" s="28">
        <v>2711000</v>
      </c>
      <c r="AL26" s="25"/>
      <c r="AM26" s="25"/>
      <c r="AN26" s="25"/>
      <c r="AO26" s="25"/>
      <c r="AP26" s="25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</row>
    <row r="27" spans="1:68" ht="15" x14ac:dyDescent="0.2">
      <c r="A27" s="26" t="s">
        <v>63</v>
      </c>
      <c r="B27" s="27">
        <v>1962000</v>
      </c>
      <c r="C27" s="28">
        <v>9749000</v>
      </c>
      <c r="D27" s="28">
        <v>5741000</v>
      </c>
      <c r="E27" s="28">
        <v>12442000</v>
      </c>
      <c r="F27" s="28">
        <v>9407000</v>
      </c>
      <c r="G27" s="28">
        <v>17675000</v>
      </c>
      <c r="H27" s="28">
        <v>3985000</v>
      </c>
      <c r="I27" s="28">
        <v>11468000</v>
      </c>
      <c r="J27" s="28">
        <v>2468000</v>
      </c>
      <c r="K27" s="28">
        <v>1849000</v>
      </c>
      <c r="L27" s="28">
        <v>3142000</v>
      </c>
      <c r="M27" s="28">
        <v>3409000</v>
      </c>
      <c r="N27" s="28">
        <v>3461000</v>
      </c>
      <c r="O27" s="28">
        <v>3963000</v>
      </c>
      <c r="P27" s="28">
        <v>3963000</v>
      </c>
      <c r="Q27" s="28">
        <v>3413000</v>
      </c>
      <c r="R27" s="28">
        <v>4458000</v>
      </c>
      <c r="S27" s="28">
        <v>2438000</v>
      </c>
      <c r="T27" s="28">
        <v>4057000</v>
      </c>
      <c r="U27" s="28">
        <v>4481000</v>
      </c>
      <c r="V27" s="28">
        <v>4057000</v>
      </c>
      <c r="W27" s="28">
        <v>4214000</v>
      </c>
      <c r="X27" s="28">
        <v>4106000</v>
      </c>
      <c r="Y27" s="28">
        <v>4349000</v>
      </c>
      <c r="Z27" s="28">
        <v>2902000</v>
      </c>
      <c r="AA27" s="28">
        <v>2902000</v>
      </c>
      <c r="AB27" s="28">
        <v>2902000</v>
      </c>
      <c r="AC27" s="28">
        <v>2902000</v>
      </c>
      <c r="AD27" s="28"/>
      <c r="AE27" s="28">
        <v>3056000</v>
      </c>
      <c r="AF27" s="28">
        <v>3056000</v>
      </c>
      <c r="AG27" s="28">
        <v>3018000</v>
      </c>
      <c r="AH27" s="28">
        <v>2902000</v>
      </c>
      <c r="AI27" s="28">
        <v>2864000</v>
      </c>
      <c r="AJ27" s="28">
        <v>2864000</v>
      </c>
      <c r="AK27" s="28">
        <v>2864000</v>
      </c>
      <c r="AL27" s="25"/>
      <c r="AM27" s="25"/>
      <c r="AN27" s="25"/>
      <c r="AO27" s="25"/>
      <c r="AP27" s="25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</row>
    <row r="28" spans="1:68" ht="15.75" customHeight="1" x14ac:dyDescent="0.25">
      <c r="A28" s="30" t="s">
        <v>66</v>
      </c>
      <c r="B28" s="32"/>
      <c r="C28" s="28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</row>
    <row r="29" spans="1:68" ht="15" x14ac:dyDescent="0.2">
      <c r="A29" s="31" t="s">
        <v>58</v>
      </c>
      <c r="B29" s="28">
        <v>1577000</v>
      </c>
      <c r="C29" s="28">
        <v>5319000</v>
      </c>
      <c r="D29" s="28">
        <v>3454000</v>
      </c>
      <c r="E29" s="28">
        <v>7176000</v>
      </c>
      <c r="F29" s="28">
        <v>5490000</v>
      </c>
      <c r="G29" s="28">
        <v>10082000</v>
      </c>
      <c r="H29" s="28">
        <v>2729000</v>
      </c>
      <c r="I29" s="28">
        <v>6142000</v>
      </c>
      <c r="J29" s="28">
        <v>1659000</v>
      </c>
      <c r="K29" s="28">
        <v>1315000</v>
      </c>
      <c r="L29" s="28">
        <v>2061000</v>
      </c>
      <c r="M29" s="28">
        <v>2221000</v>
      </c>
      <c r="N29" s="28">
        <v>2269000</v>
      </c>
      <c r="O29" s="28">
        <v>2564000</v>
      </c>
      <c r="P29" s="28">
        <v>2564000</v>
      </c>
      <c r="Q29" s="28">
        <v>2216000</v>
      </c>
      <c r="R29" s="28">
        <v>2801000</v>
      </c>
      <c r="S29" s="28">
        <v>1669000</v>
      </c>
      <c r="T29" s="28">
        <v>2584000</v>
      </c>
      <c r="U29" s="28">
        <v>2819000</v>
      </c>
      <c r="V29" s="28">
        <v>2584000</v>
      </c>
      <c r="W29" s="28">
        <v>2666000</v>
      </c>
      <c r="X29" s="28">
        <v>2606000</v>
      </c>
      <c r="Y29" s="28">
        <v>2741000</v>
      </c>
      <c r="Z29" s="28">
        <v>1902000</v>
      </c>
      <c r="AA29" s="28">
        <v>1902000</v>
      </c>
      <c r="AB29" s="28">
        <v>1902000</v>
      </c>
      <c r="AC29" s="28">
        <v>1902000</v>
      </c>
      <c r="AD29" s="28">
        <v>1886000</v>
      </c>
      <c r="AE29" s="28">
        <v>1987000</v>
      </c>
      <c r="AF29" s="28">
        <v>1987000</v>
      </c>
      <c r="AG29" s="28">
        <v>1966000</v>
      </c>
      <c r="AH29" s="28">
        <v>1902000</v>
      </c>
      <c r="AI29" s="28">
        <v>1881000</v>
      </c>
      <c r="AJ29" s="28">
        <v>1881000</v>
      </c>
      <c r="AK29" s="28">
        <v>1881000</v>
      </c>
      <c r="AL29" s="28">
        <v>1778000</v>
      </c>
      <c r="AM29" s="28">
        <v>1675000</v>
      </c>
      <c r="AN29" s="28">
        <v>1675000</v>
      </c>
      <c r="AO29" s="28">
        <v>1778000</v>
      </c>
      <c r="AP29" s="28">
        <v>2412000</v>
      </c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</row>
    <row r="30" spans="1:68" ht="15" x14ac:dyDescent="0.2">
      <c r="A30" s="26" t="s">
        <v>59</v>
      </c>
      <c r="B30" s="27">
        <v>1607000</v>
      </c>
      <c r="C30" s="28">
        <v>5889000</v>
      </c>
      <c r="D30" s="28">
        <v>3789000</v>
      </c>
      <c r="E30" s="28">
        <v>7980000</v>
      </c>
      <c r="F30" s="28">
        <v>6082000</v>
      </c>
      <c r="G30" s="28">
        <v>11252000</v>
      </c>
      <c r="H30" s="28">
        <v>2892000</v>
      </c>
      <c r="I30" s="28">
        <v>6996000</v>
      </c>
      <c r="J30" s="28">
        <v>1760000</v>
      </c>
      <c r="K30" s="28">
        <v>1372000</v>
      </c>
      <c r="L30" s="28">
        <v>2203000</v>
      </c>
      <c r="M30" s="28">
        <v>2379000</v>
      </c>
      <c r="N30" s="28">
        <v>2427000</v>
      </c>
      <c r="O30" s="28">
        <v>2753000</v>
      </c>
      <c r="P30" s="28">
        <v>2753000</v>
      </c>
      <c r="Q30" s="28">
        <v>2376000</v>
      </c>
      <c r="R30" s="28">
        <v>3033000</v>
      </c>
      <c r="S30" s="28">
        <v>1762000</v>
      </c>
      <c r="T30" s="28">
        <v>2786000</v>
      </c>
      <c r="U30" s="28">
        <v>3052000</v>
      </c>
      <c r="V30" s="28">
        <v>2786000</v>
      </c>
      <c r="W30" s="28">
        <v>2881000</v>
      </c>
      <c r="X30" s="28">
        <v>2813000</v>
      </c>
      <c r="Y30" s="28">
        <v>2965000</v>
      </c>
      <c r="Z30" s="28">
        <v>2033000</v>
      </c>
      <c r="AA30" s="28">
        <v>2033000</v>
      </c>
      <c r="AB30" s="28">
        <v>2033000</v>
      </c>
      <c r="AC30" s="28">
        <v>2033000</v>
      </c>
      <c r="AD30" s="28">
        <v>2015000</v>
      </c>
      <c r="AE30" s="28">
        <v>2129000</v>
      </c>
      <c r="AF30" s="28">
        <v>2129000</v>
      </c>
      <c r="AG30" s="28">
        <v>2105000</v>
      </c>
      <c r="AH30" s="28">
        <v>2033000</v>
      </c>
      <c r="AI30" s="28">
        <v>2009000</v>
      </c>
      <c r="AJ30" s="28">
        <v>2009000</v>
      </c>
      <c r="AK30" s="28">
        <v>2009000</v>
      </c>
      <c r="AL30" s="28">
        <v>1871000</v>
      </c>
      <c r="AM30" s="28">
        <v>1755000</v>
      </c>
      <c r="AN30" s="28">
        <v>1755000</v>
      </c>
      <c r="AO30" s="28">
        <v>1871000</v>
      </c>
      <c r="AP30" s="28">
        <v>2590000</v>
      </c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</row>
    <row r="31" spans="1:68" ht="15" x14ac:dyDescent="0.2">
      <c r="A31" s="26" t="s">
        <v>60</v>
      </c>
      <c r="B31" s="27">
        <v>1625000</v>
      </c>
      <c r="C31" s="28">
        <v>6231000</v>
      </c>
      <c r="D31" s="28">
        <v>3990000</v>
      </c>
      <c r="E31" s="28">
        <v>8462000</v>
      </c>
      <c r="F31" s="28">
        <v>6436000</v>
      </c>
      <c r="G31" s="28">
        <v>11954000</v>
      </c>
      <c r="H31" s="28">
        <v>2989000</v>
      </c>
      <c r="I31" s="28">
        <v>7508000</v>
      </c>
      <c r="J31" s="28">
        <v>1820000</v>
      </c>
      <c r="K31" s="28">
        <v>1407000</v>
      </c>
      <c r="L31" s="28">
        <v>2288000</v>
      </c>
      <c r="M31" s="28">
        <v>2474000</v>
      </c>
      <c r="N31" s="28">
        <v>2521000</v>
      </c>
      <c r="O31" s="28">
        <v>2866000</v>
      </c>
      <c r="P31" s="28">
        <v>2866000</v>
      </c>
      <c r="Q31" s="28">
        <v>2472000</v>
      </c>
      <c r="R31" s="28">
        <v>3172000</v>
      </c>
      <c r="S31" s="28">
        <v>1818000</v>
      </c>
      <c r="T31" s="28">
        <v>2908000</v>
      </c>
      <c r="U31" s="28">
        <v>3191000</v>
      </c>
      <c r="V31" s="28">
        <v>2908000</v>
      </c>
      <c r="W31" s="28">
        <v>3009000</v>
      </c>
      <c r="X31" s="28">
        <v>2938000</v>
      </c>
      <c r="Y31" s="28">
        <v>3100000</v>
      </c>
      <c r="Z31" s="28">
        <v>2111000</v>
      </c>
      <c r="AA31" s="28">
        <v>2111000</v>
      </c>
      <c r="AB31" s="28">
        <v>2111000</v>
      </c>
      <c r="AC31" s="28">
        <v>2111000</v>
      </c>
      <c r="AD31" s="28">
        <v>2092000</v>
      </c>
      <c r="AE31" s="28">
        <v>2214000</v>
      </c>
      <c r="AF31" s="28">
        <v>2214000</v>
      </c>
      <c r="AG31" s="28">
        <v>2188000</v>
      </c>
      <c r="AH31" s="28">
        <v>2111000</v>
      </c>
      <c r="AI31" s="28">
        <v>2086000</v>
      </c>
      <c r="AJ31" s="28">
        <v>2086000</v>
      </c>
      <c r="AK31" s="28">
        <v>2086000</v>
      </c>
      <c r="AL31" s="28">
        <v>1927000</v>
      </c>
      <c r="AM31" s="28">
        <v>1803000</v>
      </c>
      <c r="AN31" s="28">
        <v>1803000</v>
      </c>
      <c r="AO31" s="28">
        <v>1927000</v>
      </c>
      <c r="AP31" s="28">
        <v>2698000</v>
      </c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</row>
    <row r="32" spans="1:68" ht="15" x14ac:dyDescent="0.2">
      <c r="A32" s="26" t="s">
        <v>61</v>
      </c>
      <c r="B32" s="27">
        <v>1637000</v>
      </c>
      <c r="C32" s="28">
        <v>6459000</v>
      </c>
      <c r="D32" s="28">
        <v>4124000</v>
      </c>
      <c r="E32" s="28">
        <v>8783000</v>
      </c>
      <c r="F32" s="28">
        <v>6673000</v>
      </c>
      <c r="G32" s="28">
        <v>12422000</v>
      </c>
      <c r="H32" s="28">
        <v>3055000</v>
      </c>
      <c r="I32" s="28">
        <v>7850000</v>
      </c>
      <c r="J32" s="28">
        <v>1861000</v>
      </c>
      <c r="K32" s="28">
        <v>1430000</v>
      </c>
      <c r="L32" s="28">
        <v>2345000</v>
      </c>
      <c r="M32" s="28">
        <v>2537000</v>
      </c>
      <c r="N32" s="28">
        <v>2584000</v>
      </c>
      <c r="O32" s="28">
        <v>2942000</v>
      </c>
      <c r="P32" s="28">
        <v>2942000</v>
      </c>
      <c r="Q32" s="28">
        <v>2536000</v>
      </c>
      <c r="R32" s="28">
        <v>3265000</v>
      </c>
      <c r="S32" s="28">
        <v>1855000</v>
      </c>
      <c r="T32" s="28">
        <v>2989000</v>
      </c>
      <c r="U32" s="28">
        <v>3284000</v>
      </c>
      <c r="V32" s="28">
        <v>2989000</v>
      </c>
      <c r="W32" s="28">
        <v>3095000</v>
      </c>
      <c r="X32" s="28">
        <v>3020000</v>
      </c>
      <c r="Y32" s="28">
        <v>3189000</v>
      </c>
      <c r="Z32" s="28">
        <v>2164000</v>
      </c>
      <c r="AA32" s="28">
        <v>2164000</v>
      </c>
      <c r="AB32" s="28">
        <v>2164000</v>
      </c>
      <c r="AC32" s="28">
        <v>2164000</v>
      </c>
      <c r="AD32" s="28">
        <v>2144000</v>
      </c>
      <c r="AE32" s="28">
        <v>2271000</v>
      </c>
      <c r="AF32" s="28">
        <v>2271000</v>
      </c>
      <c r="AG32" s="28">
        <v>2244000</v>
      </c>
      <c r="AH32" s="28">
        <v>2164000</v>
      </c>
      <c r="AI32" s="28">
        <v>2137000</v>
      </c>
      <c r="AJ32" s="28">
        <v>2137000</v>
      </c>
      <c r="AK32" s="28">
        <v>2137000</v>
      </c>
      <c r="AL32" s="28">
        <v>1964000</v>
      </c>
      <c r="AM32" s="28">
        <v>1835000</v>
      </c>
      <c r="AN32" s="28">
        <v>1835000</v>
      </c>
      <c r="AO32" s="28">
        <v>1964000</v>
      </c>
      <c r="AP32" s="28">
        <v>2769000</v>
      </c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</row>
    <row r="33" spans="1:68" ht="15" x14ac:dyDescent="0.2">
      <c r="A33" s="26" t="s">
        <v>62</v>
      </c>
      <c r="B33" s="27">
        <v>1667000</v>
      </c>
      <c r="C33" s="28">
        <v>7028000</v>
      </c>
      <c r="D33" s="28">
        <v>4459000</v>
      </c>
      <c r="E33" s="28">
        <v>9587000</v>
      </c>
      <c r="F33" s="28">
        <v>7264000</v>
      </c>
      <c r="G33" s="28">
        <v>13591000</v>
      </c>
      <c r="H33" s="28">
        <v>3218000</v>
      </c>
      <c r="I33" s="28">
        <v>8704000</v>
      </c>
      <c r="J33" s="28">
        <v>1962000</v>
      </c>
      <c r="K33" s="28">
        <v>1488000</v>
      </c>
      <c r="L33" s="28">
        <v>2486000</v>
      </c>
      <c r="M33" s="28">
        <v>2695000</v>
      </c>
      <c r="N33" s="28">
        <v>2741000</v>
      </c>
      <c r="O33" s="28">
        <v>3131000</v>
      </c>
      <c r="P33" s="28">
        <v>3131000</v>
      </c>
      <c r="Q33" s="28">
        <v>2696000</v>
      </c>
      <c r="R33" s="28">
        <v>3497000</v>
      </c>
      <c r="S33" s="28">
        <v>1948000</v>
      </c>
      <c r="T33" s="28">
        <v>3192000</v>
      </c>
      <c r="U33" s="28">
        <v>3516000</v>
      </c>
      <c r="V33" s="28">
        <v>3192000</v>
      </c>
      <c r="W33" s="28">
        <v>3310000</v>
      </c>
      <c r="X33" s="28">
        <v>3228000</v>
      </c>
      <c r="Y33" s="28">
        <v>3413000</v>
      </c>
      <c r="Z33" s="28">
        <v>2294000</v>
      </c>
      <c r="AA33" s="28">
        <v>2294000</v>
      </c>
      <c r="AB33" s="28">
        <v>2294000</v>
      </c>
      <c r="AC33" s="28">
        <v>2294000</v>
      </c>
      <c r="AD33" s="28">
        <v>2272000</v>
      </c>
      <c r="AE33" s="28">
        <v>2412000</v>
      </c>
      <c r="AF33" s="28">
        <v>2412000</v>
      </c>
      <c r="AG33" s="28">
        <v>2383000</v>
      </c>
      <c r="AH33" s="28">
        <v>2294000</v>
      </c>
      <c r="AI33" s="28">
        <v>2265000</v>
      </c>
      <c r="AJ33" s="28">
        <v>2265000</v>
      </c>
      <c r="AK33" s="28">
        <v>2265000</v>
      </c>
      <c r="AL33" s="28">
        <v>2057000</v>
      </c>
      <c r="AM33" s="28">
        <v>1915000</v>
      </c>
      <c r="AN33" s="28">
        <v>1915000</v>
      </c>
      <c r="AO33" s="28">
        <v>2057000</v>
      </c>
      <c r="AP33" s="28">
        <v>2948000</v>
      </c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</row>
    <row r="34" spans="1:68" ht="15" x14ac:dyDescent="0.2">
      <c r="A34" s="26" t="s">
        <v>63</v>
      </c>
      <c r="B34" s="27">
        <v>1697000</v>
      </c>
      <c r="C34" s="28">
        <v>7598000</v>
      </c>
      <c r="D34" s="28">
        <v>4793000</v>
      </c>
      <c r="E34" s="28">
        <v>10390000</v>
      </c>
      <c r="F34" s="28">
        <v>7855000</v>
      </c>
      <c r="G34" s="28">
        <v>14761000</v>
      </c>
      <c r="H34" s="28">
        <v>3380000</v>
      </c>
      <c r="I34" s="28">
        <v>9557000</v>
      </c>
      <c r="J34" s="28">
        <v>2063000</v>
      </c>
      <c r="K34" s="28">
        <v>1545000</v>
      </c>
      <c r="L34" s="28">
        <v>2628000</v>
      </c>
      <c r="M34" s="28">
        <v>2853000</v>
      </c>
      <c r="N34" s="28">
        <v>2899000</v>
      </c>
      <c r="O34" s="28">
        <v>3320000</v>
      </c>
      <c r="P34" s="28">
        <v>3320000</v>
      </c>
      <c r="Q34" s="28">
        <v>2856000</v>
      </c>
      <c r="R34" s="28">
        <v>3729000</v>
      </c>
      <c r="S34" s="28">
        <v>2041000</v>
      </c>
      <c r="T34" s="28">
        <v>3394000</v>
      </c>
      <c r="U34" s="28">
        <v>3749000</v>
      </c>
      <c r="V34" s="28">
        <v>3394000</v>
      </c>
      <c r="W34" s="28">
        <v>3525000</v>
      </c>
      <c r="X34" s="28">
        <v>3435000</v>
      </c>
      <c r="Y34" s="28">
        <v>3638000</v>
      </c>
      <c r="Z34" s="28">
        <v>2425000</v>
      </c>
      <c r="AA34" s="28">
        <v>2425000</v>
      </c>
      <c r="AB34" s="28">
        <v>2425000</v>
      </c>
      <c r="AC34" s="28">
        <v>2425000</v>
      </c>
      <c r="AD34" s="28">
        <v>2401000</v>
      </c>
      <c r="AE34" s="28">
        <v>2554000</v>
      </c>
      <c r="AF34" s="28">
        <v>2554000</v>
      </c>
      <c r="AG34" s="28">
        <v>2522000</v>
      </c>
      <c r="AH34" s="28">
        <v>2425000</v>
      </c>
      <c r="AI34" s="28">
        <v>2393000</v>
      </c>
      <c r="AJ34" s="28">
        <v>2393000</v>
      </c>
      <c r="AK34" s="28">
        <v>2393000</v>
      </c>
      <c r="AL34" s="28">
        <v>2150000</v>
      </c>
      <c r="AM34" s="28">
        <v>1996000</v>
      </c>
      <c r="AN34" s="28">
        <v>1996000</v>
      </c>
      <c r="AO34" s="28">
        <v>2150000</v>
      </c>
      <c r="AP34" s="28">
        <v>3127000</v>
      </c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</row>
    <row r="35" spans="1:68" ht="15.75" customHeight="1" x14ac:dyDescent="0.25">
      <c r="A35" s="30" t="s">
        <v>67</v>
      </c>
      <c r="B35" s="32"/>
      <c r="C35" s="28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</row>
    <row r="36" spans="1:68" ht="15" x14ac:dyDescent="0.2">
      <c r="A36" s="31" t="s">
        <v>58</v>
      </c>
      <c r="B36" s="28">
        <v>1457000</v>
      </c>
      <c r="C36" s="28">
        <v>4913000</v>
      </c>
      <c r="D36" s="28">
        <v>3216000</v>
      </c>
      <c r="E36" s="28">
        <v>6604000</v>
      </c>
      <c r="F36" s="28">
        <v>5069000</v>
      </c>
      <c r="G36" s="28">
        <v>9249000</v>
      </c>
      <c r="H36" s="28">
        <v>2576000</v>
      </c>
      <c r="I36" s="28">
        <v>5661000</v>
      </c>
      <c r="J36" s="28">
        <v>1582000</v>
      </c>
      <c r="K36" s="28">
        <v>1269000</v>
      </c>
      <c r="L36" s="28">
        <v>1949000</v>
      </c>
      <c r="M36" s="28">
        <v>2096000</v>
      </c>
      <c r="N36" s="28">
        <v>2141000</v>
      </c>
      <c r="O36" s="28">
        <v>2410000</v>
      </c>
      <c r="P36" s="28">
        <v>2410000</v>
      </c>
      <c r="Q36" s="28">
        <v>2091000</v>
      </c>
      <c r="R36" s="28">
        <v>2623000</v>
      </c>
      <c r="S36" s="28">
        <v>1593000</v>
      </c>
      <c r="T36" s="28">
        <v>2426000</v>
      </c>
      <c r="U36" s="28">
        <v>2641000</v>
      </c>
      <c r="V36" s="28">
        <v>2426000</v>
      </c>
      <c r="W36" s="28">
        <v>2501000</v>
      </c>
      <c r="X36" s="28">
        <v>2446000</v>
      </c>
      <c r="Y36" s="28">
        <v>2569000</v>
      </c>
      <c r="Z36" s="28">
        <v>1804000</v>
      </c>
      <c r="AA36" s="28">
        <v>1804000</v>
      </c>
      <c r="AB36" s="28">
        <v>1804000</v>
      </c>
      <c r="AC36" s="28">
        <v>1804000</v>
      </c>
      <c r="AD36" s="28">
        <v>1789000</v>
      </c>
      <c r="AE36" s="28">
        <v>1882000</v>
      </c>
      <c r="AF36" s="28">
        <v>1882000</v>
      </c>
      <c r="AG36" s="28">
        <v>1862000</v>
      </c>
      <c r="AH36" s="28">
        <v>1804000</v>
      </c>
      <c r="AI36" s="28">
        <v>1784000</v>
      </c>
      <c r="AJ36" s="28">
        <v>1784000</v>
      </c>
      <c r="AK36" s="28">
        <v>1784000</v>
      </c>
      <c r="AL36" s="28">
        <v>1694000</v>
      </c>
      <c r="AM36" s="28">
        <v>1600000</v>
      </c>
      <c r="AN36" s="28">
        <v>1600000</v>
      </c>
      <c r="AO36" s="28">
        <v>1694000</v>
      </c>
      <c r="AP36" s="28">
        <v>2270000</v>
      </c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</row>
    <row r="37" spans="1:68" ht="15" x14ac:dyDescent="0.2">
      <c r="A37" s="26" t="s">
        <v>59</v>
      </c>
      <c r="B37" s="27">
        <v>1487000</v>
      </c>
      <c r="C37" s="28">
        <v>5432000</v>
      </c>
      <c r="D37" s="28">
        <v>3520000</v>
      </c>
      <c r="E37" s="28">
        <v>7335000</v>
      </c>
      <c r="F37" s="28">
        <v>5607000</v>
      </c>
      <c r="G37" s="28">
        <v>10314000</v>
      </c>
      <c r="H37" s="28">
        <v>2726000</v>
      </c>
      <c r="I37" s="28">
        <v>6436000</v>
      </c>
      <c r="J37" s="28">
        <v>1674000</v>
      </c>
      <c r="K37" s="28">
        <v>1322000</v>
      </c>
      <c r="L37" s="28">
        <v>2079000</v>
      </c>
      <c r="M37" s="28">
        <v>2240000</v>
      </c>
      <c r="N37" s="28">
        <v>2284000</v>
      </c>
      <c r="O37" s="28">
        <v>2582000</v>
      </c>
      <c r="P37" s="28">
        <v>2582000</v>
      </c>
      <c r="Q37" s="28">
        <v>2237000</v>
      </c>
      <c r="R37" s="28">
        <v>2835000</v>
      </c>
      <c r="S37" s="28">
        <v>1678000</v>
      </c>
      <c r="T37" s="28">
        <v>2611000</v>
      </c>
      <c r="U37" s="28">
        <v>2853000</v>
      </c>
      <c r="V37" s="28">
        <v>2611000</v>
      </c>
      <c r="W37" s="28">
        <v>2697000</v>
      </c>
      <c r="X37" s="28">
        <v>2635000</v>
      </c>
      <c r="Y37" s="28">
        <v>2774000</v>
      </c>
      <c r="Z37" s="28">
        <v>1923000</v>
      </c>
      <c r="AA37" s="28">
        <v>1923000</v>
      </c>
      <c r="AB37" s="28">
        <v>1923000</v>
      </c>
      <c r="AC37" s="28">
        <v>1923000</v>
      </c>
      <c r="AD37" s="28">
        <v>1907000</v>
      </c>
      <c r="AE37" s="28">
        <v>2011000</v>
      </c>
      <c r="AF37" s="28">
        <v>2011000</v>
      </c>
      <c r="AG37" s="28">
        <v>1989000</v>
      </c>
      <c r="AH37" s="28">
        <v>1923000</v>
      </c>
      <c r="AI37" s="28">
        <v>1901000</v>
      </c>
      <c r="AJ37" s="28">
        <v>1901000</v>
      </c>
      <c r="AK37" s="28">
        <v>1901000</v>
      </c>
      <c r="AL37" s="28">
        <v>1779000</v>
      </c>
      <c r="AM37" s="28">
        <v>1673000</v>
      </c>
      <c r="AN37" s="28">
        <v>1673000</v>
      </c>
      <c r="AO37" s="28">
        <v>1779000</v>
      </c>
      <c r="AP37" s="28">
        <v>2433000</v>
      </c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</row>
    <row r="38" spans="1:68" ht="15" x14ac:dyDescent="0.2">
      <c r="A38" s="26" t="s">
        <v>60</v>
      </c>
      <c r="B38" s="27">
        <v>1505000</v>
      </c>
      <c r="C38" s="28">
        <v>5743000</v>
      </c>
      <c r="D38" s="28">
        <v>3703000</v>
      </c>
      <c r="E38" s="28">
        <v>7774000</v>
      </c>
      <c r="F38" s="28">
        <v>5930000</v>
      </c>
      <c r="G38" s="28">
        <v>10953000</v>
      </c>
      <c r="H38" s="28">
        <v>2817000</v>
      </c>
      <c r="I38" s="28">
        <v>6901000</v>
      </c>
      <c r="J38" s="28">
        <v>1730000</v>
      </c>
      <c r="K38" s="28">
        <v>1353000</v>
      </c>
      <c r="L38" s="28">
        <v>2157000</v>
      </c>
      <c r="M38" s="28">
        <v>2327000</v>
      </c>
      <c r="N38" s="28">
        <v>2371000</v>
      </c>
      <c r="O38" s="28">
        <v>2686000</v>
      </c>
      <c r="P38" s="28">
        <v>2686000</v>
      </c>
      <c r="Q38" s="28">
        <v>2324000</v>
      </c>
      <c r="R38" s="28">
        <v>2962000</v>
      </c>
      <c r="S38" s="28">
        <v>1728000</v>
      </c>
      <c r="T38" s="28">
        <v>2722000</v>
      </c>
      <c r="U38" s="28">
        <v>2980000</v>
      </c>
      <c r="V38" s="28">
        <v>2722000</v>
      </c>
      <c r="W38" s="28">
        <v>2814000</v>
      </c>
      <c r="X38" s="28">
        <v>2749000</v>
      </c>
      <c r="Y38" s="28">
        <v>2896000</v>
      </c>
      <c r="Z38" s="28">
        <v>1995000</v>
      </c>
      <c r="AA38" s="28">
        <v>1995000</v>
      </c>
      <c r="AB38" s="28">
        <v>1995000</v>
      </c>
      <c r="AC38" s="28">
        <v>1995000</v>
      </c>
      <c r="AD38" s="28">
        <v>1977000</v>
      </c>
      <c r="AE38" s="28">
        <v>2088000</v>
      </c>
      <c r="AF38" s="28">
        <v>2088000</v>
      </c>
      <c r="AG38" s="28">
        <v>2065000</v>
      </c>
      <c r="AH38" s="28">
        <v>1995000</v>
      </c>
      <c r="AI38" s="28">
        <v>1971000</v>
      </c>
      <c r="AJ38" s="28">
        <v>1971000</v>
      </c>
      <c r="AK38" s="28">
        <v>1971000</v>
      </c>
      <c r="AL38" s="28">
        <v>1830000</v>
      </c>
      <c r="AM38" s="28">
        <v>1717000</v>
      </c>
      <c r="AN38" s="28">
        <v>1717000</v>
      </c>
      <c r="AO38" s="28">
        <v>1830000</v>
      </c>
      <c r="AP38" s="28">
        <v>2531000</v>
      </c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</row>
    <row r="39" spans="1:68" ht="15" x14ac:dyDescent="0.2">
      <c r="A39" s="26" t="s">
        <v>61</v>
      </c>
      <c r="B39" s="27">
        <v>1517000</v>
      </c>
      <c r="C39" s="28">
        <v>5951000</v>
      </c>
      <c r="D39" s="28">
        <v>3825000</v>
      </c>
      <c r="E39" s="28">
        <v>8067000</v>
      </c>
      <c r="F39" s="28">
        <v>6146000</v>
      </c>
      <c r="G39" s="28">
        <v>11379000</v>
      </c>
      <c r="H39" s="28">
        <v>2877000</v>
      </c>
      <c r="I39" s="28">
        <v>7211000</v>
      </c>
      <c r="J39" s="28">
        <v>1766000</v>
      </c>
      <c r="K39" s="28">
        <v>1374000</v>
      </c>
      <c r="L39" s="28">
        <v>2208000</v>
      </c>
      <c r="M39" s="28">
        <v>2384000</v>
      </c>
      <c r="N39" s="28">
        <v>2428000</v>
      </c>
      <c r="O39" s="28">
        <v>2755000</v>
      </c>
      <c r="P39" s="28">
        <v>2755000</v>
      </c>
      <c r="Q39" s="28">
        <v>2383000</v>
      </c>
      <c r="R39" s="28">
        <v>3047000</v>
      </c>
      <c r="S39" s="28">
        <v>1762000</v>
      </c>
      <c r="T39" s="28">
        <v>2796000</v>
      </c>
      <c r="U39" s="28">
        <v>3065000</v>
      </c>
      <c r="V39" s="28">
        <v>2796000</v>
      </c>
      <c r="W39" s="28">
        <v>2892000</v>
      </c>
      <c r="X39" s="28">
        <v>2824000</v>
      </c>
      <c r="Y39" s="28">
        <v>2978000</v>
      </c>
      <c r="Z39" s="28">
        <v>2042000</v>
      </c>
      <c r="AA39" s="28">
        <v>2042000</v>
      </c>
      <c r="AB39" s="28">
        <v>2042000</v>
      </c>
      <c r="AC39" s="28">
        <v>2042000</v>
      </c>
      <c r="AD39" s="28">
        <v>2024000</v>
      </c>
      <c r="AE39" s="28">
        <v>2140000</v>
      </c>
      <c r="AF39" s="28">
        <v>2140000</v>
      </c>
      <c r="AG39" s="28">
        <v>2115000</v>
      </c>
      <c r="AH39" s="28">
        <v>2042000</v>
      </c>
      <c r="AI39" s="28">
        <v>2018000</v>
      </c>
      <c r="AJ39" s="28">
        <v>2018000</v>
      </c>
      <c r="AK39" s="28">
        <v>2018000</v>
      </c>
      <c r="AL39" s="28">
        <v>1864000</v>
      </c>
      <c r="AM39" s="28">
        <v>1747000</v>
      </c>
      <c r="AN39" s="28">
        <v>1747000</v>
      </c>
      <c r="AO39" s="28">
        <v>1864000</v>
      </c>
      <c r="AP39" s="28">
        <v>2596000</v>
      </c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</row>
    <row r="40" spans="1:68" ht="15" x14ac:dyDescent="0.2">
      <c r="A40" s="26" t="s">
        <v>62</v>
      </c>
      <c r="B40" s="27">
        <v>1547000</v>
      </c>
      <c r="C40" s="28">
        <v>6469000</v>
      </c>
      <c r="D40" s="28">
        <v>4130000</v>
      </c>
      <c r="E40" s="28">
        <v>8798000</v>
      </c>
      <c r="F40" s="28">
        <v>6684000</v>
      </c>
      <c r="G40" s="28">
        <v>12444000</v>
      </c>
      <c r="H40" s="28">
        <v>3028000</v>
      </c>
      <c r="I40" s="28">
        <v>7986000</v>
      </c>
      <c r="J40" s="28">
        <v>1858000</v>
      </c>
      <c r="K40" s="28">
        <v>1427000</v>
      </c>
      <c r="L40" s="28">
        <v>2338000</v>
      </c>
      <c r="M40" s="28">
        <v>2528000</v>
      </c>
      <c r="N40" s="28">
        <v>2572000</v>
      </c>
      <c r="O40" s="28">
        <v>2927000</v>
      </c>
      <c r="P40" s="28">
        <v>2927000</v>
      </c>
      <c r="Q40" s="28">
        <v>2529000</v>
      </c>
      <c r="R40" s="28">
        <v>3258000</v>
      </c>
      <c r="S40" s="28">
        <v>1847000</v>
      </c>
      <c r="T40" s="28">
        <v>2981000</v>
      </c>
      <c r="U40" s="28">
        <v>3276000</v>
      </c>
      <c r="V40" s="28">
        <v>2981000</v>
      </c>
      <c r="W40" s="28">
        <v>3088000</v>
      </c>
      <c r="X40" s="28">
        <v>3013000</v>
      </c>
      <c r="Y40" s="28">
        <v>3182000</v>
      </c>
      <c r="Z40" s="28">
        <v>2162000</v>
      </c>
      <c r="AA40" s="28">
        <v>2162000</v>
      </c>
      <c r="AB40" s="28">
        <v>2162000</v>
      </c>
      <c r="AC40" s="28">
        <v>2162000</v>
      </c>
      <c r="AD40" s="28">
        <v>2141000</v>
      </c>
      <c r="AE40" s="28">
        <v>2269000</v>
      </c>
      <c r="AF40" s="28">
        <v>2269000</v>
      </c>
      <c r="AG40" s="28">
        <v>2242000</v>
      </c>
      <c r="AH40" s="28">
        <v>2162000</v>
      </c>
      <c r="AI40" s="28">
        <v>2135000</v>
      </c>
      <c r="AJ40" s="28">
        <v>2135000</v>
      </c>
      <c r="AK40" s="28">
        <v>2135000</v>
      </c>
      <c r="AL40" s="28">
        <v>1949000</v>
      </c>
      <c r="AM40" s="28">
        <v>1820000</v>
      </c>
      <c r="AN40" s="28">
        <v>1820000</v>
      </c>
      <c r="AO40" s="28">
        <v>1949000</v>
      </c>
      <c r="AP40" s="28">
        <v>2759000</v>
      </c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</row>
    <row r="41" spans="1:68" ht="15" x14ac:dyDescent="0.2">
      <c r="A41" s="26" t="s">
        <v>63</v>
      </c>
      <c r="B41" s="27">
        <v>1577000</v>
      </c>
      <c r="C41" s="28">
        <v>6988000</v>
      </c>
      <c r="D41" s="28">
        <v>4435000</v>
      </c>
      <c r="E41" s="28">
        <v>9530000</v>
      </c>
      <c r="F41" s="28">
        <v>7222000</v>
      </c>
      <c r="G41" s="28">
        <v>13508000</v>
      </c>
      <c r="H41" s="28">
        <v>3178000</v>
      </c>
      <c r="I41" s="28">
        <v>8761000</v>
      </c>
      <c r="J41" s="28">
        <v>1950000</v>
      </c>
      <c r="K41" s="28">
        <v>1480000</v>
      </c>
      <c r="L41" s="28">
        <v>2467000</v>
      </c>
      <c r="M41" s="28">
        <v>2672000</v>
      </c>
      <c r="N41" s="28">
        <v>2716000</v>
      </c>
      <c r="O41" s="28">
        <v>3100000</v>
      </c>
      <c r="P41" s="28">
        <v>3100000</v>
      </c>
      <c r="Q41" s="28">
        <v>2675000</v>
      </c>
      <c r="R41" s="28">
        <v>3470000</v>
      </c>
      <c r="S41" s="28">
        <v>1932000</v>
      </c>
      <c r="T41" s="28">
        <v>3166000</v>
      </c>
      <c r="U41" s="28">
        <v>3488000</v>
      </c>
      <c r="V41" s="28">
        <v>3166000</v>
      </c>
      <c r="W41" s="28">
        <v>3284000</v>
      </c>
      <c r="X41" s="28">
        <v>3202000</v>
      </c>
      <c r="Y41" s="28">
        <v>3387000</v>
      </c>
      <c r="Z41" s="28">
        <v>2281000</v>
      </c>
      <c r="AA41" s="28">
        <v>2281000</v>
      </c>
      <c r="AB41" s="28">
        <v>2281000</v>
      </c>
      <c r="AC41" s="28">
        <v>2281000</v>
      </c>
      <c r="AD41" s="28">
        <v>2259000</v>
      </c>
      <c r="AE41" s="28">
        <v>2398000</v>
      </c>
      <c r="AF41" s="28">
        <v>2398000</v>
      </c>
      <c r="AG41" s="28">
        <v>2369000</v>
      </c>
      <c r="AH41" s="28">
        <v>2281000</v>
      </c>
      <c r="AI41" s="28">
        <v>2252000</v>
      </c>
      <c r="AJ41" s="28">
        <v>2252000</v>
      </c>
      <c r="AK41" s="28">
        <v>2252000</v>
      </c>
      <c r="AL41" s="28">
        <v>2035000</v>
      </c>
      <c r="AM41" s="28">
        <v>1894000</v>
      </c>
      <c r="AN41" s="28">
        <v>1894000</v>
      </c>
      <c r="AO41" s="28">
        <v>2035000</v>
      </c>
      <c r="AP41" s="28">
        <v>2923000</v>
      </c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</row>
    <row r="42" spans="1:68" ht="15.75" customHeight="1" x14ac:dyDescent="0.25">
      <c r="A42" s="30" t="s">
        <v>68</v>
      </c>
      <c r="B42" s="32"/>
      <c r="C42" s="28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</row>
    <row r="43" spans="1:68" ht="15" x14ac:dyDescent="0.2">
      <c r="A43" s="31" t="s">
        <v>58</v>
      </c>
      <c r="B43" s="28">
        <v>455000</v>
      </c>
      <c r="C43" s="28">
        <v>1049000</v>
      </c>
      <c r="D43" s="28">
        <v>748000</v>
      </c>
      <c r="E43" s="28">
        <v>1349000</v>
      </c>
      <c r="F43" s="28">
        <v>1076000</v>
      </c>
      <c r="G43" s="28">
        <v>1818000</v>
      </c>
      <c r="H43" s="28">
        <v>822000</v>
      </c>
      <c r="I43" s="28">
        <v>1166000</v>
      </c>
      <c r="J43" s="28">
        <v>467000</v>
      </c>
      <c r="K43" s="28">
        <v>412000</v>
      </c>
      <c r="L43" s="28">
        <v>543000</v>
      </c>
      <c r="M43" s="28">
        <v>574000</v>
      </c>
      <c r="N43" s="28">
        <v>590000</v>
      </c>
      <c r="O43" s="28">
        <v>644000</v>
      </c>
      <c r="P43" s="28">
        <v>644000</v>
      </c>
      <c r="Q43" s="28">
        <v>570000</v>
      </c>
      <c r="R43" s="28">
        <v>666000</v>
      </c>
      <c r="S43" s="28">
        <v>480000</v>
      </c>
      <c r="T43" s="28">
        <v>634000</v>
      </c>
      <c r="U43" s="28">
        <v>672000</v>
      </c>
      <c r="V43" s="28">
        <v>634000</v>
      </c>
      <c r="W43" s="28">
        <v>645000</v>
      </c>
      <c r="X43" s="28">
        <v>635000</v>
      </c>
      <c r="Y43" s="28">
        <v>657000</v>
      </c>
      <c r="Z43" s="28">
        <v>507000</v>
      </c>
      <c r="AA43" s="28">
        <v>507000</v>
      </c>
      <c r="AB43" s="28">
        <v>507000</v>
      </c>
      <c r="AC43" s="28">
        <v>507000</v>
      </c>
      <c r="AD43" s="28">
        <v>505000</v>
      </c>
      <c r="AE43" s="28">
        <v>521000</v>
      </c>
      <c r="AF43" s="28">
        <v>521000</v>
      </c>
      <c r="AG43" s="28">
        <v>518000</v>
      </c>
      <c r="AH43" s="28">
        <v>507000</v>
      </c>
      <c r="AI43" s="28">
        <v>504000</v>
      </c>
      <c r="AJ43" s="28">
        <v>504000</v>
      </c>
      <c r="AK43" s="28">
        <v>504000</v>
      </c>
      <c r="AL43" s="28">
        <v>513000</v>
      </c>
      <c r="AM43" s="28">
        <v>497000</v>
      </c>
      <c r="AN43" s="28">
        <v>497000</v>
      </c>
      <c r="AO43" s="28">
        <v>513000</v>
      </c>
      <c r="AP43" s="28">
        <v>609000</v>
      </c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</row>
    <row r="44" spans="1:68" ht="15" x14ac:dyDescent="0.2">
      <c r="A44" s="26" t="s">
        <v>60</v>
      </c>
      <c r="B44" s="27">
        <v>503000</v>
      </c>
      <c r="C44" s="28">
        <v>1196000</v>
      </c>
      <c r="D44" s="28">
        <v>834000</v>
      </c>
      <c r="E44" s="28">
        <v>1556000</v>
      </c>
      <c r="F44" s="28">
        <v>1229000</v>
      </c>
      <c r="G44" s="28">
        <v>2120000</v>
      </c>
      <c r="H44" s="28">
        <v>898000</v>
      </c>
      <c r="I44" s="28">
        <v>1354000</v>
      </c>
      <c r="J44" s="28">
        <v>495000</v>
      </c>
      <c r="K44" s="28">
        <v>428000</v>
      </c>
      <c r="L44" s="28">
        <v>584000</v>
      </c>
      <c r="M44" s="28">
        <v>620000</v>
      </c>
      <c r="N44" s="28">
        <v>637000</v>
      </c>
      <c r="O44" s="28">
        <v>701000</v>
      </c>
      <c r="P44" s="28">
        <v>701000</v>
      </c>
      <c r="Q44" s="28">
        <v>616000</v>
      </c>
      <c r="R44" s="28">
        <v>731000</v>
      </c>
      <c r="S44" s="28">
        <v>508000</v>
      </c>
      <c r="T44" s="28">
        <v>692000</v>
      </c>
      <c r="U44" s="28">
        <v>737000</v>
      </c>
      <c r="V44" s="28">
        <v>692000</v>
      </c>
      <c r="W44" s="28">
        <v>706000</v>
      </c>
      <c r="X44" s="28">
        <v>694000</v>
      </c>
      <c r="Y44" s="28">
        <v>720000</v>
      </c>
      <c r="Z44" s="28">
        <v>543000</v>
      </c>
      <c r="AA44" s="28">
        <v>543000</v>
      </c>
      <c r="AB44" s="28">
        <v>543000</v>
      </c>
      <c r="AC44" s="28">
        <v>543000</v>
      </c>
      <c r="AD44" s="28">
        <v>540000</v>
      </c>
      <c r="AE44" s="28">
        <v>560000</v>
      </c>
      <c r="AF44" s="28">
        <v>560000</v>
      </c>
      <c r="AG44" s="28">
        <v>555000</v>
      </c>
      <c r="AH44" s="28">
        <v>543000</v>
      </c>
      <c r="AI44" s="28">
        <v>539000</v>
      </c>
      <c r="AJ44" s="28">
        <v>539000</v>
      </c>
      <c r="AK44" s="28">
        <v>539000</v>
      </c>
      <c r="AL44" s="28">
        <v>545000</v>
      </c>
      <c r="AM44" s="28">
        <v>525000</v>
      </c>
      <c r="AN44" s="28">
        <v>525000</v>
      </c>
      <c r="AO44" s="28">
        <v>545000</v>
      </c>
      <c r="AP44" s="28">
        <v>661000</v>
      </c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</row>
    <row r="45" spans="1:68" ht="15" x14ac:dyDescent="0.2">
      <c r="A45" s="26" t="s">
        <v>61</v>
      </c>
      <c r="B45" s="27">
        <v>515000</v>
      </c>
      <c r="C45" s="28">
        <v>1233000</v>
      </c>
      <c r="D45" s="28">
        <v>856000</v>
      </c>
      <c r="E45" s="28">
        <v>1608000</v>
      </c>
      <c r="F45" s="28">
        <v>1267000</v>
      </c>
      <c r="G45" s="28">
        <v>2195000</v>
      </c>
      <c r="H45" s="28">
        <v>917000</v>
      </c>
      <c r="I45" s="28">
        <v>1401000</v>
      </c>
      <c r="J45" s="28">
        <v>502000</v>
      </c>
      <c r="K45" s="28">
        <v>432000</v>
      </c>
      <c r="L45" s="28">
        <v>594000</v>
      </c>
      <c r="M45" s="28">
        <v>632000</v>
      </c>
      <c r="N45" s="28">
        <v>649000</v>
      </c>
      <c r="O45" s="28">
        <v>715000</v>
      </c>
      <c r="P45" s="28">
        <v>715000</v>
      </c>
      <c r="Q45" s="28">
        <v>627000</v>
      </c>
      <c r="R45" s="28">
        <v>747000</v>
      </c>
      <c r="S45" s="28">
        <v>515000</v>
      </c>
      <c r="T45" s="28">
        <v>706000</v>
      </c>
      <c r="U45" s="28">
        <v>754000</v>
      </c>
      <c r="V45" s="28">
        <v>706000</v>
      </c>
      <c r="W45" s="28">
        <v>721000</v>
      </c>
      <c r="X45" s="28">
        <v>709000</v>
      </c>
      <c r="Y45" s="28">
        <v>736000</v>
      </c>
      <c r="Z45" s="28">
        <v>552000</v>
      </c>
      <c r="AA45" s="28">
        <v>552000</v>
      </c>
      <c r="AB45" s="28">
        <v>552000</v>
      </c>
      <c r="AC45" s="28">
        <v>552000</v>
      </c>
      <c r="AD45" s="28">
        <v>549000</v>
      </c>
      <c r="AE45" s="28">
        <v>569000</v>
      </c>
      <c r="AF45" s="28">
        <v>569000</v>
      </c>
      <c r="AG45" s="28">
        <v>565000</v>
      </c>
      <c r="AH45" s="28">
        <v>552000</v>
      </c>
      <c r="AI45" s="28">
        <v>548000</v>
      </c>
      <c r="AJ45" s="28">
        <v>548000</v>
      </c>
      <c r="AK45" s="28">
        <v>548000</v>
      </c>
      <c r="AL45" s="28">
        <v>552000</v>
      </c>
      <c r="AM45" s="28">
        <v>532000</v>
      </c>
      <c r="AN45" s="28">
        <v>532000</v>
      </c>
      <c r="AO45" s="28">
        <v>552000</v>
      </c>
      <c r="AP45" s="28">
        <v>674000</v>
      </c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</row>
    <row r="46" spans="1:68" ht="15" x14ac:dyDescent="0.2">
      <c r="A46" s="26" t="s">
        <v>62</v>
      </c>
      <c r="B46" s="27">
        <v>545000</v>
      </c>
      <c r="C46" s="28">
        <v>1325000</v>
      </c>
      <c r="D46" s="28">
        <v>910000</v>
      </c>
      <c r="E46" s="28">
        <v>1738000</v>
      </c>
      <c r="F46" s="28">
        <v>1363000</v>
      </c>
      <c r="G46" s="28">
        <v>2384000</v>
      </c>
      <c r="H46" s="28">
        <v>964000</v>
      </c>
      <c r="I46" s="28">
        <v>1518000</v>
      </c>
      <c r="J46" s="28">
        <v>519000</v>
      </c>
      <c r="K46" s="28">
        <v>443000</v>
      </c>
      <c r="L46" s="28">
        <v>620000</v>
      </c>
      <c r="M46" s="28">
        <v>661000</v>
      </c>
      <c r="N46" s="28">
        <v>679000</v>
      </c>
      <c r="O46" s="28">
        <v>751000</v>
      </c>
      <c r="P46" s="28">
        <v>751000</v>
      </c>
      <c r="Q46" s="28">
        <v>656000</v>
      </c>
      <c r="R46" s="28">
        <v>788000</v>
      </c>
      <c r="S46" s="28">
        <v>532000</v>
      </c>
      <c r="T46" s="28">
        <v>742000</v>
      </c>
      <c r="U46" s="28">
        <v>795000</v>
      </c>
      <c r="V46" s="28">
        <v>742000</v>
      </c>
      <c r="W46" s="28">
        <v>758000</v>
      </c>
      <c r="X46" s="28">
        <v>745000</v>
      </c>
      <c r="Y46" s="28">
        <v>775000</v>
      </c>
      <c r="Z46" s="28">
        <v>574000</v>
      </c>
      <c r="AA46" s="28">
        <v>574000</v>
      </c>
      <c r="AB46" s="28">
        <v>574000</v>
      </c>
      <c r="AC46" s="28">
        <v>574000</v>
      </c>
      <c r="AD46" s="28">
        <v>571000</v>
      </c>
      <c r="AE46" s="28">
        <v>593000</v>
      </c>
      <c r="AF46" s="28">
        <v>593000</v>
      </c>
      <c r="AG46" s="28">
        <v>589000</v>
      </c>
      <c r="AH46" s="28">
        <v>574000</v>
      </c>
      <c r="AI46" s="28">
        <v>570000</v>
      </c>
      <c r="AJ46" s="28">
        <v>570000</v>
      </c>
      <c r="AK46" s="28">
        <v>570000</v>
      </c>
      <c r="AL46" s="28">
        <v>572000</v>
      </c>
      <c r="AM46" s="28">
        <v>549000</v>
      </c>
      <c r="AN46" s="28">
        <v>549000</v>
      </c>
      <c r="AO46" s="28">
        <v>572000</v>
      </c>
      <c r="AP46" s="28">
        <v>706000</v>
      </c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</row>
    <row r="47" spans="1:68" ht="15" x14ac:dyDescent="0.2">
      <c r="A47" s="26" t="s">
        <v>63</v>
      </c>
      <c r="B47" s="27">
        <v>575000</v>
      </c>
      <c r="C47" s="28">
        <v>1417000</v>
      </c>
      <c r="D47" s="28">
        <v>964000</v>
      </c>
      <c r="E47" s="28">
        <v>1867000</v>
      </c>
      <c r="F47" s="28">
        <v>1458000</v>
      </c>
      <c r="G47" s="28">
        <v>2573000</v>
      </c>
      <c r="H47" s="28">
        <v>1012000</v>
      </c>
      <c r="I47" s="28">
        <v>1635000</v>
      </c>
      <c r="J47" s="28">
        <v>537000</v>
      </c>
      <c r="K47" s="28">
        <v>453000</v>
      </c>
      <c r="L47" s="28">
        <v>645000</v>
      </c>
      <c r="M47" s="28">
        <v>689000</v>
      </c>
      <c r="N47" s="28">
        <v>708000</v>
      </c>
      <c r="O47" s="28">
        <v>786000</v>
      </c>
      <c r="P47" s="28">
        <v>786000</v>
      </c>
      <c r="Q47" s="28">
        <v>685000</v>
      </c>
      <c r="R47" s="28">
        <v>828000</v>
      </c>
      <c r="S47" s="28">
        <v>550000</v>
      </c>
      <c r="T47" s="28">
        <v>778000</v>
      </c>
      <c r="U47" s="28">
        <v>836000</v>
      </c>
      <c r="V47" s="28">
        <v>778000</v>
      </c>
      <c r="W47" s="28">
        <v>796000</v>
      </c>
      <c r="X47" s="28">
        <v>782000</v>
      </c>
      <c r="Y47" s="28">
        <v>814000</v>
      </c>
      <c r="Z47" s="28">
        <v>597000</v>
      </c>
      <c r="AA47" s="28">
        <v>597000</v>
      </c>
      <c r="AB47" s="28">
        <v>597000</v>
      </c>
      <c r="AC47" s="28">
        <v>597000</v>
      </c>
      <c r="AD47" s="28">
        <v>593000</v>
      </c>
      <c r="AE47" s="28">
        <v>618000</v>
      </c>
      <c r="AF47" s="28">
        <v>618000</v>
      </c>
      <c r="AG47" s="28">
        <v>612000</v>
      </c>
      <c r="AH47" s="28">
        <v>597000</v>
      </c>
      <c r="AI47" s="28">
        <v>592000</v>
      </c>
      <c r="AJ47" s="28">
        <v>592000</v>
      </c>
      <c r="AK47" s="28">
        <v>592000</v>
      </c>
      <c r="AL47" s="28">
        <v>592000</v>
      </c>
      <c r="AM47" s="28">
        <v>567000</v>
      </c>
      <c r="AN47" s="28">
        <v>567000</v>
      </c>
      <c r="AO47" s="28">
        <v>592000</v>
      </c>
      <c r="AP47" s="28">
        <v>739000</v>
      </c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</row>
    <row r="48" spans="1:68" ht="15" x14ac:dyDescent="0.2">
      <c r="A48" s="26" t="s">
        <v>69</v>
      </c>
      <c r="B48" s="27">
        <v>695000</v>
      </c>
      <c r="C48" s="28">
        <v>1467000</v>
      </c>
      <c r="D48" s="28">
        <v>862000</v>
      </c>
      <c r="E48" s="25"/>
      <c r="F48" s="28">
        <v>1522000</v>
      </c>
      <c r="G48" s="25"/>
      <c r="H48" s="28">
        <v>883000</v>
      </c>
      <c r="I48" s="25"/>
      <c r="J48" s="28">
        <v>289000</v>
      </c>
      <c r="K48" s="28">
        <v>177000</v>
      </c>
      <c r="L48" s="28">
        <v>429000</v>
      </c>
      <c r="M48" s="28">
        <v>486000</v>
      </c>
      <c r="N48" s="28">
        <v>509000</v>
      </c>
      <c r="O48" s="28">
        <v>610000</v>
      </c>
      <c r="P48" s="28">
        <v>610000</v>
      </c>
      <c r="Q48" s="28">
        <v>481000</v>
      </c>
      <c r="R48" s="28">
        <v>673000</v>
      </c>
      <c r="S48" s="28">
        <v>302000</v>
      </c>
      <c r="T48" s="28">
        <v>605000</v>
      </c>
      <c r="U48" s="28">
        <v>681000</v>
      </c>
      <c r="V48" s="28">
        <v>605000</v>
      </c>
      <c r="W48" s="28">
        <v>629000</v>
      </c>
      <c r="X48" s="28">
        <v>610000</v>
      </c>
      <c r="Y48" s="28">
        <v>654000</v>
      </c>
      <c r="Z48" s="28">
        <v>368000</v>
      </c>
      <c r="AA48" s="28">
        <v>368000</v>
      </c>
      <c r="AB48" s="28">
        <v>368000</v>
      </c>
      <c r="AC48" s="28">
        <v>368000</v>
      </c>
      <c r="AD48" s="28">
        <v>363000</v>
      </c>
      <c r="AE48" s="28">
        <v>396000</v>
      </c>
      <c r="AF48" s="28">
        <v>396000</v>
      </c>
      <c r="AG48" s="28">
        <v>389000</v>
      </c>
      <c r="AH48" s="28">
        <v>368000</v>
      </c>
      <c r="AI48" s="28">
        <v>361000</v>
      </c>
      <c r="AJ48" s="28">
        <v>361000</v>
      </c>
      <c r="AK48" s="28">
        <v>361000</v>
      </c>
      <c r="AL48" s="28">
        <v>352000</v>
      </c>
      <c r="AM48" s="28">
        <v>319000</v>
      </c>
      <c r="AN48" s="28">
        <v>319000</v>
      </c>
      <c r="AO48" s="28">
        <v>352000</v>
      </c>
      <c r="AP48" s="28">
        <v>551000</v>
      </c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</row>
    <row r="49" spans="1:68" ht="15" x14ac:dyDescent="0.2">
      <c r="A49" s="26" t="s">
        <v>70</v>
      </c>
      <c r="B49" s="27">
        <v>755000</v>
      </c>
      <c r="C49" s="28">
        <v>1651000</v>
      </c>
      <c r="D49" s="28">
        <v>970000</v>
      </c>
      <c r="E49" s="25"/>
      <c r="F49" s="28">
        <v>1713000</v>
      </c>
      <c r="G49" s="25"/>
      <c r="H49" s="28">
        <v>978000</v>
      </c>
      <c r="I49" s="33"/>
      <c r="J49" s="28">
        <v>324000</v>
      </c>
      <c r="K49" s="28">
        <v>198000</v>
      </c>
      <c r="L49" s="28">
        <v>481000</v>
      </c>
      <c r="M49" s="28">
        <v>544000</v>
      </c>
      <c r="N49" s="28">
        <v>568000</v>
      </c>
      <c r="O49" s="28">
        <v>682000</v>
      </c>
      <c r="P49" s="28">
        <v>682000</v>
      </c>
      <c r="Q49" s="28">
        <v>539000</v>
      </c>
      <c r="R49" s="28">
        <v>754000</v>
      </c>
      <c r="S49" s="28">
        <v>337000</v>
      </c>
      <c r="T49" s="28">
        <v>677000</v>
      </c>
      <c r="U49" s="28">
        <v>763000</v>
      </c>
      <c r="V49" s="28">
        <v>677000</v>
      </c>
      <c r="W49" s="28">
        <v>705000</v>
      </c>
      <c r="X49" s="28">
        <v>683000</v>
      </c>
      <c r="Y49" s="28">
        <v>732000</v>
      </c>
      <c r="Z49" s="28">
        <v>413000</v>
      </c>
      <c r="AA49" s="28">
        <v>413000</v>
      </c>
      <c r="AB49" s="28">
        <v>413000</v>
      </c>
      <c r="AC49" s="28">
        <v>413000</v>
      </c>
      <c r="AD49" s="28">
        <v>407000</v>
      </c>
      <c r="AE49" s="28">
        <v>444000</v>
      </c>
      <c r="AF49" s="28">
        <v>444000</v>
      </c>
      <c r="AG49" s="28">
        <v>436000</v>
      </c>
      <c r="AH49" s="28">
        <v>413000</v>
      </c>
      <c r="AI49" s="28">
        <v>405000</v>
      </c>
      <c r="AJ49" s="28">
        <v>405000</v>
      </c>
      <c r="AK49" s="28">
        <v>405000</v>
      </c>
      <c r="AL49" s="28">
        <v>391000</v>
      </c>
      <c r="AM49" s="28">
        <v>354000</v>
      </c>
      <c r="AN49" s="28">
        <v>354000</v>
      </c>
      <c r="AO49" s="28">
        <v>391000</v>
      </c>
      <c r="AP49" s="28">
        <v>616000</v>
      </c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</row>
    <row r="50" spans="1:68" ht="15" x14ac:dyDescent="0.2">
      <c r="A50" s="26" t="s">
        <v>71</v>
      </c>
      <c r="B50" s="27">
        <v>815000</v>
      </c>
      <c r="C50" s="28">
        <v>1834000</v>
      </c>
      <c r="D50" s="28">
        <v>1078000</v>
      </c>
      <c r="E50" s="25"/>
      <c r="F50" s="28">
        <v>1904000</v>
      </c>
      <c r="G50" s="25"/>
      <c r="H50" s="28">
        <v>1073000</v>
      </c>
      <c r="I50" s="33"/>
      <c r="J50" s="28">
        <v>359000</v>
      </c>
      <c r="K50" s="28">
        <v>219000</v>
      </c>
      <c r="L50" s="28">
        <v>532000</v>
      </c>
      <c r="M50" s="28">
        <v>601000</v>
      </c>
      <c r="N50" s="28">
        <v>627000</v>
      </c>
      <c r="O50" s="28">
        <v>753000</v>
      </c>
      <c r="P50" s="28">
        <v>753000</v>
      </c>
      <c r="Q50" s="28">
        <v>596000</v>
      </c>
      <c r="R50" s="28">
        <v>835000</v>
      </c>
      <c r="S50" s="28">
        <v>372000</v>
      </c>
      <c r="T50" s="28">
        <v>749000</v>
      </c>
      <c r="U50" s="28">
        <v>845000</v>
      </c>
      <c r="V50" s="28">
        <v>749000</v>
      </c>
      <c r="W50" s="28">
        <v>780000</v>
      </c>
      <c r="X50" s="28">
        <v>756000</v>
      </c>
      <c r="Y50" s="28">
        <v>811000</v>
      </c>
      <c r="Z50" s="28">
        <v>458000</v>
      </c>
      <c r="AA50" s="28">
        <v>458000</v>
      </c>
      <c r="AB50" s="28">
        <v>458000</v>
      </c>
      <c r="AC50" s="28">
        <v>458000</v>
      </c>
      <c r="AD50" s="28">
        <v>451000</v>
      </c>
      <c r="AE50" s="28">
        <v>493000</v>
      </c>
      <c r="AF50" s="28">
        <v>493000</v>
      </c>
      <c r="AG50" s="28">
        <v>484000</v>
      </c>
      <c r="AH50" s="28">
        <v>458000</v>
      </c>
      <c r="AI50" s="28">
        <v>449000</v>
      </c>
      <c r="AJ50" s="28">
        <v>449000</v>
      </c>
      <c r="AK50" s="28">
        <v>449000</v>
      </c>
      <c r="AL50" s="28">
        <v>431000</v>
      </c>
      <c r="AM50" s="28">
        <v>389000</v>
      </c>
      <c r="AN50" s="28">
        <v>389000</v>
      </c>
      <c r="AO50" s="28">
        <v>431000</v>
      </c>
      <c r="AP50" s="28">
        <v>681000</v>
      </c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</row>
    <row r="51" spans="1:68" ht="15" x14ac:dyDescent="0.2">
      <c r="A51" s="26" t="s">
        <v>72</v>
      </c>
      <c r="B51" s="27">
        <v>875000</v>
      </c>
      <c r="C51" s="28">
        <v>2018000</v>
      </c>
      <c r="D51" s="28">
        <v>1186000</v>
      </c>
      <c r="E51" s="25"/>
      <c r="F51" s="28">
        <v>2095000</v>
      </c>
      <c r="G51" s="25"/>
      <c r="H51" s="28">
        <v>1168000</v>
      </c>
      <c r="I51" s="33"/>
      <c r="J51" s="28">
        <v>393000</v>
      </c>
      <c r="K51" s="28">
        <v>240000</v>
      </c>
      <c r="L51" s="28">
        <v>583000</v>
      </c>
      <c r="M51" s="28">
        <v>659000</v>
      </c>
      <c r="N51" s="28">
        <v>687000</v>
      </c>
      <c r="O51" s="28">
        <v>824000</v>
      </c>
      <c r="P51" s="28">
        <v>824000</v>
      </c>
      <c r="Q51" s="28">
        <v>653000</v>
      </c>
      <c r="R51" s="28">
        <v>916000</v>
      </c>
      <c r="S51" s="28">
        <v>407000</v>
      </c>
      <c r="T51" s="28">
        <v>821000</v>
      </c>
      <c r="U51" s="28">
        <v>926000</v>
      </c>
      <c r="V51" s="28">
        <v>821000</v>
      </c>
      <c r="W51" s="28">
        <v>856000</v>
      </c>
      <c r="X51" s="28">
        <v>829000</v>
      </c>
      <c r="Y51" s="28">
        <v>889000</v>
      </c>
      <c r="Z51" s="28">
        <v>503000</v>
      </c>
      <c r="AA51" s="28">
        <v>503000</v>
      </c>
      <c r="AB51" s="28">
        <v>503000</v>
      </c>
      <c r="AC51" s="28">
        <v>503000</v>
      </c>
      <c r="AD51" s="28">
        <v>496000</v>
      </c>
      <c r="AE51" s="28">
        <v>541000</v>
      </c>
      <c r="AF51" s="28">
        <v>541000</v>
      </c>
      <c r="AG51" s="28">
        <v>531000</v>
      </c>
      <c r="AH51" s="28">
        <v>503000</v>
      </c>
      <c r="AI51" s="28">
        <v>493000</v>
      </c>
      <c r="AJ51" s="28">
        <v>493000</v>
      </c>
      <c r="AK51" s="28">
        <v>493000</v>
      </c>
      <c r="AL51" s="28">
        <v>470000</v>
      </c>
      <c r="AM51" s="28">
        <v>424000</v>
      </c>
      <c r="AN51" s="28">
        <v>424000</v>
      </c>
      <c r="AO51" s="28">
        <v>470000</v>
      </c>
      <c r="AP51" s="28">
        <v>747000</v>
      </c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</row>
    <row r="52" spans="1:68" ht="15" x14ac:dyDescent="0.2">
      <c r="A52" s="26" t="s">
        <v>73</v>
      </c>
      <c r="B52" s="27">
        <v>935000</v>
      </c>
      <c r="C52" s="28">
        <v>2202000</v>
      </c>
      <c r="D52" s="28">
        <v>1295000</v>
      </c>
      <c r="E52" s="25"/>
      <c r="F52" s="28">
        <v>2286000</v>
      </c>
      <c r="G52" s="25"/>
      <c r="H52" s="28">
        <v>1263000</v>
      </c>
      <c r="I52" s="33"/>
      <c r="J52" s="28">
        <v>428000</v>
      </c>
      <c r="K52" s="28">
        <v>261000</v>
      </c>
      <c r="L52" s="28">
        <v>634000</v>
      </c>
      <c r="M52" s="28">
        <v>716000</v>
      </c>
      <c r="N52" s="28">
        <v>746000</v>
      </c>
      <c r="O52" s="28">
        <v>895000</v>
      </c>
      <c r="P52" s="28">
        <v>895000</v>
      </c>
      <c r="Q52" s="28">
        <v>710000</v>
      </c>
      <c r="R52" s="28">
        <v>997000</v>
      </c>
      <c r="S52" s="28">
        <v>442000</v>
      </c>
      <c r="T52" s="28">
        <v>893000</v>
      </c>
      <c r="U52" s="28">
        <v>1008000</v>
      </c>
      <c r="V52" s="28">
        <v>893000</v>
      </c>
      <c r="W52" s="28">
        <v>932000</v>
      </c>
      <c r="X52" s="28">
        <v>902000</v>
      </c>
      <c r="Y52" s="28">
        <v>968000</v>
      </c>
      <c r="Z52" s="28">
        <v>547000</v>
      </c>
      <c r="AA52" s="28">
        <v>547000</v>
      </c>
      <c r="AB52" s="28">
        <v>547000</v>
      </c>
      <c r="AC52" s="28">
        <v>547000</v>
      </c>
      <c r="AD52" s="28">
        <v>540000</v>
      </c>
      <c r="AE52" s="28">
        <v>589000</v>
      </c>
      <c r="AF52" s="28">
        <v>589000</v>
      </c>
      <c r="AG52" s="28">
        <v>579000</v>
      </c>
      <c r="AH52" s="28">
        <v>547000</v>
      </c>
      <c r="AI52" s="28">
        <v>537000</v>
      </c>
      <c r="AJ52" s="28">
        <v>537000</v>
      </c>
      <c r="AK52" s="28">
        <v>537000</v>
      </c>
      <c r="AL52" s="28">
        <v>509000</v>
      </c>
      <c r="AM52" s="28">
        <v>459000</v>
      </c>
      <c r="AN52" s="28">
        <v>459000</v>
      </c>
      <c r="AO52" s="28">
        <v>509000</v>
      </c>
      <c r="AP52" s="28">
        <v>812000</v>
      </c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18" x14ac:dyDescent="0.25">
      <c r="A53" s="30" t="s">
        <v>74</v>
      </c>
      <c r="B53" s="32"/>
      <c r="C53" s="28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</row>
    <row r="54" spans="1:68" ht="15" x14ac:dyDescent="0.2">
      <c r="A54" s="31" t="s">
        <v>58</v>
      </c>
      <c r="B54" s="28">
        <v>527000</v>
      </c>
      <c r="C54" s="28">
        <v>1292000</v>
      </c>
      <c r="D54" s="28">
        <v>891000</v>
      </c>
      <c r="E54" s="28">
        <v>1692000</v>
      </c>
      <c r="F54" s="28">
        <v>1329000</v>
      </c>
      <c r="G54" s="28">
        <v>2317000</v>
      </c>
      <c r="H54" s="28">
        <v>914000</v>
      </c>
      <c r="I54" s="28">
        <v>1455000</v>
      </c>
      <c r="J54" s="28">
        <v>513000</v>
      </c>
      <c r="K54" s="28">
        <v>439000</v>
      </c>
      <c r="L54" s="28">
        <v>610000</v>
      </c>
      <c r="M54" s="28">
        <v>650000</v>
      </c>
      <c r="N54" s="28">
        <v>667000</v>
      </c>
      <c r="O54" s="28">
        <v>737000</v>
      </c>
      <c r="P54" s="28">
        <v>737000</v>
      </c>
      <c r="Q54" s="28">
        <v>645000</v>
      </c>
      <c r="R54" s="28">
        <v>773000</v>
      </c>
      <c r="S54" s="28">
        <v>525000</v>
      </c>
      <c r="T54" s="28">
        <v>728000</v>
      </c>
      <c r="U54" s="28">
        <v>779000</v>
      </c>
      <c r="V54" s="28">
        <v>728000</v>
      </c>
      <c r="W54" s="28">
        <v>744000</v>
      </c>
      <c r="X54" s="28">
        <v>731000</v>
      </c>
      <c r="Y54" s="28">
        <v>760000</v>
      </c>
      <c r="Z54" s="28">
        <v>566000</v>
      </c>
      <c r="AA54" s="28">
        <v>566000</v>
      </c>
      <c r="AB54" s="28">
        <v>566000</v>
      </c>
      <c r="AC54" s="28">
        <v>566000</v>
      </c>
      <c r="AD54" s="28">
        <v>563000</v>
      </c>
      <c r="AE54" s="28">
        <v>584000</v>
      </c>
      <c r="AF54" s="28">
        <v>584000</v>
      </c>
      <c r="AG54" s="28">
        <v>580000</v>
      </c>
      <c r="AH54" s="28">
        <v>566000</v>
      </c>
      <c r="AI54" s="28">
        <v>561000</v>
      </c>
      <c r="AJ54" s="28">
        <v>561000</v>
      </c>
      <c r="AK54" s="28">
        <v>561000</v>
      </c>
      <c r="AL54" s="28">
        <v>564000</v>
      </c>
      <c r="AM54" s="28">
        <v>542000</v>
      </c>
      <c r="AN54" s="28">
        <v>542000</v>
      </c>
      <c r="AO54" s="28">
        <v>564000</v>
      </c>
      <c r="AP54" s="28">
        <v>694000</v>
      </c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</row>
    <row r="55" spans="1:68" ht="15" x14ac:dyDescent="0.2">
      <c r="A55" s="26" t="s">
        <v>59</v>
      </c>
      <c r="B55" s="27">
        <v>557000</v>
      </c>
      <c r="C55" s="28">
        <v>1415000</v>
      </c>
      <c r="D55" s="28">
        <v>963000</v>
      </c>
      <c r="E55" s="28">
        <v>1865000</v>
      </c>
      <c r="F55" s="28">
        <v>1456000</v>
      </c>
      <c r="G55" s="28">
        <v>2569000</v>
      </c>
      <c r="H55" s="28">
        <v>968000</v>
      </c>
      <c r="I55" s="28">
        <v>1620000</v>
      </c>
      <c r="J55" s="28">
        <v>536000</v>
      </c>
      <c r="K55" s="28">
        <v>452000</v>
      </c>
      <c r="L55" s="28">
        <v>643000</v>
      </c>
      <c r="M55" s="28">
        <v>687000</v>
      </c>
      <c r="N55" s="28">
        <v>705000</v>
      </c>
      <c r="O55" s="28">
        <v>782000</v>
      </c>
      <c r="P55" s="28">
        <v>782000</v>
      </c>
      <c r="Q55" s="28">
        <v>682000</v>
      </c>
      <c r="R55" s="28">
        <v>826000</v>
      </c>
      <c r="S55" s="28">
        <v>548000</v>
      </c>
      <c r="T55" s="28">
        <v>775000</v>
      </c>
      <c r="U55" s="28">
        <v>832000</v>
      </c>
      <c r="V55" s="28">
        <v>775000</v>
      </c>
      <c r="W55" s="28">
        <v>793000</v>
      </c>
      <c r="X55" s="28">
        <v>779000</v>
      </c>
      <c r="Y55" s="28">
        <v>812000</v>
      </c>
      <c r="Z55" s="28">
        <v>595000</v>
      </c>
      <c r="AA55" s="28">
        <v>595000</v>
      </c>
      <c r="AB55" s="28">
        <v>595000</v>
      </c>
      <c r="AC55" s="28">
        <v>595000</v>
      </c>
      <c r="AD55" s="28">
        <v>592000</v>
      </c>
      <c r="AE55" s="28">
        <v>616000</v>
      </c>
      <c r="AF55" s="28">
        <v>616000</v>
      </c>
      <c r="AG55" s="28">
        <v>611000</v>
      </c>
      <c r="AH55" s="28">
        <v>595000</v>
      </c>
      <c r="AI55" s="28">
        <v>590000</v>
      </c>
      <c r="AJ55" s="28">
        <v>590000</v>
      </c>
      <c r="AK55" s="28">
        <v>590000</v>
      </c>
      <c r="AL55" s="28">
        <v>588000</v>
      </c>
      <c r="AM55" s="28">
        <v>563000</v>
      </c>
      <c r="AN55" s="28">
        <v>563000</v>
      </c>
      <c r="AO55" s="28">
        <v>588000</v>
      </c>
      <c r="AP55" s="28">
        <v>736000</v>
      </c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</row>
    <row r="56" spans="1:68" ht="15" x14ac:dyDescent="0.2">
      <c r="A56" s="26" t="s">
        <v>60</v>
      </c>
      <c r="B56" s="27">
        <v>575000</v>
      </c>
      <c r="C56" s="28">
        <v>1488000</v>
      </c>
      <c r="D56" s="28">
        <v>1006000</v>
      </c>
      <c r="E56" s="28">
        <v>1969000</v>
      </c>
      <c r="F56" s="28">
        <v>1533000</v>
      </c>
      <c r="G56" s="28">
        <v>2720000</v>
      </c>
      <c r="H56" s="28">
        <v>1001000</v>
      </c>
      <c r="I56" s="28">
        <v>1718000</v>
      </c>
      <c r="J56" s="28">
        <v>549000</v>
      </c>
      <c r="K56" s="28">
        <v>460000</v>
      </c>
      <c r="L56" s="28">
        <v>663000</v>
      </c>
      <c r="M56" s="28">
        <v>709000</v>
      </c>
      <c r="N56" s="28">
        <v>728000</v>
      </c>
      <c r="O56" s="28">
        <v>809000</v>
      </c>
      <c r="P56" s="28">
        <v>809000</v>
      </c>
      <c r="Q56" s="28">
        <v>704000</v>
      </c>
      <c r="R56" s="28">
        <v>857000</v>
      </c>
      <c r="S56" s="28">
        <v>561000</v>
      </c>
      <c r="T56" s="28">
        <v>803000</v>
      </c>
      <c r="U56" s="28">
        <v>864000</v>
      </c>
      <c r="V56" s="28">
        <v>803000</v>
      </c>
      <c r="W56" s="28">
        <v>823000</v>
      </c>
      <c r="X56" s="28">
        <v>807000</v>
      </c>
      <c r="Y56" s="28">
        <v>842000</v>
      </c>
      <c r="Z56" s="28">
        <v>613000</v>
      </c>
      <c r="AA56" s="28">
        <v>613000</v>
      </c>
      <c r="AB56" s="28">
        <v>613000</v>
      </c>
      <c r="AC56" s="28">
        <v>613000</v>
      </c>
      <c r="AD56" s="28">
        <v>609000</v>
      </c>
      <c r="AE56" s="28">
        <v>635000</v>
      </c>
      <c r="AF56" s="28">
        <v>635000</v>
      </c>
      <c r="AG56" s="28">
        <v>630000</v>
      </c>
      <c r="AH56" s="28">
        <v>613000</v>
      </c>
      <c r="AI56" s="28">
        <v>607000</v>
      </c>
      <c r="AJ56" s="28">
        <v>607000</v>
      </c>
      <c r="AK56" s="28">
        <v>607000</v>
      </c>
      <c r="AL56" s="28">
        <v>603000</v>
      </c>
      <c r="AM56" s="28">
        <v>576000</v>
      </c>
      <c r="AN56" s="28">
        <v>576000</v>
      </c>
      <c r="AO56" s="28">
        <v>603000</v>
      </c>
      <c r="AP56" s="28">
        <v>761000</v>
      </c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</row>
    <row r="57" spans="1:68" ht="15" x14ac:dyDescent="0.2">
      <c r="A57" s="26" t="s">
        <v>61</v>
      </c>
      <c r="B57" s="27">
        <v>587000</v>
      </c>
      <c r="C57" s="28">
        <v>1537000</v>
      </c>
      <c r="D57" s="28">
        <v>1035000</v>
      </c>
      <c r="E57" s="28">
        <v>2038000</v>
      </c>
      <c r="F57" s="28">
        <v>1584000</v>
      </c>
      <c r="G57" s="28">
        <v>2821000</v>
      </c>
      <c r="H57" s="28">
        <v>1023000</v>
      </c>
      <c r="I57" s="28">
        <v>1784000</v>
      </c>
      <c r="J57" s="28">
        <v>559000</v>
      </c>
      <c r="K57" s="28">
        <v>466000</v>
      </c>
      <c r="L57" s="28">
        <v>676000</v>
      </c>
      <c r="M57" s="28">
        <v>724000</v>
      </c>
      <c r="N57" s="28">
        <v>743000</v>
      </c>
      <c r="O57" s="28">
        <v>827000</v>
      </c>
      <c r="P57" s="28">
        <v>827000</v>
      </c>
      <c r="Q57" s="28">
        <v>719000</v>
      </c>
      <c r="R57" s="28">
        <v>878000</v>
      </c>
      <c r="S57" s="28">
        <v>570000</v>
      </c>
      <c r="T57" s="28">
        <v>822000</v>
      </c>
      <c r="U57" s="28">
        <v>886000</v>
      </c>
      <c r="V57" s="28">
        <v>822000</v>
      </c>
      <c r="W57" s="28">
        <v>842000</v>
      </c>
      <c r="X57" s="28">
        <v>826000</v>
      </c>
      <c r="Y57" s="28">
        <v>863000</v>
      </c>
      <c r="Z57" s="28">
        <v>625000</v>
      </c>
      <c r="AA57" s="28">
        <v>625000</v>
      </c>
      <c r="AB57" s="28">
        <v>625000</v>
      </c>
      <c r="AC57" s="28">
        <v>625000</v>
      </c>
      <c r="AD57" s="28">
        <v>620000</v>
      </c>
      <c r="AE57" s="28">
        <v>648000</v>
      </c>
      <c r="AF57" s="28">
        <v>648000</v>
      </c>
      <c r="AG57" s="28">
        <v>642000</v>
      </c>
      <c r="AH57" s="28">
        <v>625000</v>
      </c>
      <c r="AI57" s="28">
        <v>619000</v>
      </c>
      <c r="AJ57" s="28">
        <v>619000</v>
      </c>
      <c r="AK57" s="28">
        <v>619000</v>
      </c>
      <c r="AL57" s="28">
        <v>612000</v>
      </c>
      <c r="AM57" s="28">
        <v>585000</v>
      </c>
      <c r="AN57" s="28">
        <v>585000</v>
      </c>
      <c r="AO57" s="28">
        <v>612000</v>
      </c>
      <c r="AP57" s="28">
        <v>778000</v>
      </c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</row>
    <row r="58" spans="1:68" ht="15" x14ac:dyDescent="0.2">
      <c r="A58" s="26" t="s">
        <v>62</v>
      </c>
      <c r="B58" s="27">
        <v>617000</v>
      </c>
      <c r="C58" s="28">
        <v>1660000</v>
      </c>
      <c r="D58" s="28">
        <v>1107000</v>
      </c>
      <c r="E58" s="28">
        <v>2211000</v>
      </c>
      <c r="F58" s="28">
        <v>1711000</v>
      </c>
      <c r="G58" s="28">
        <v>3073000</v>
      </c>
      <c r="H58" s="28">
        <v>1078000</v>
      </c>
      <c r="I58" s="28">
        <v>1948000</v>
      </c>
      <c r="J58" s="28">
        <v>581000</v>
      </c>
      <c r="K58" s="28">
        <v>479000</v>
      </c>
      <c r="L58" s="28">
        <v>709000</v>
      </c>
      <c r="M58" s="28">
        <v>761000</v>
      </c>
      <c r="N58" s="28">
        <v>780000</v>
      </c>
      <c r="O58" s="28">
        <v>873000</v>
      </c>
      <c r="P58" s="28">
        <v>873000</v>
      </c>
      <c r="Q58" s="28">
        <v>756000</v>
      </c>
      <c r="R58" s="28">
        <v>931000</v>
      </c>
      <c r="S58" s="28">
        <v>593000</v>
      </c>
      <c r="T58" s="28">
        <v>869000</v>
      </c>
      <c r="U58" s="28">
        <v>939000</v>
      </c>
      <c r="V58" s="28">
        <v>869000</v>
      </c>
      <c r="W58" s="28">
        <v>892000</v>
      </c>
      <c r="X58" s="28">
        <v>874000</v>
      </c>
      <c r="Y58" s="28">
        <v>914000</v>
      </c>
      <c r="Z58" s="28">
        <v>654000</v>
      </c>
      <c r="AA58" s="28">
        <v>654000</v>
      </c>
      <c r="AB58" s="28">
        <v>654000</v>
      </c>
      <c r="AC58" s="28">
        <v>654000</v>
      </c>
      <c r="AD58" s="28">
        <v>649000</v>
      </c>
      <c r="AE58" s="28">
        <v>680000</v>
      </c>
      <c r="AF58" s="28">
        <v>680000</v>
      </c>
      <c r="AG58" s="28">
        <v>673000</v>
      </c>
      <c r="AH58" s="28">
        <v>654000</v>
      </c>
      <c r="AI58" s="28">
        <v>648000</v>
      </c>
      <c r="AJ58" s="28">
        <v>648000</v>
      </c>
      <c r="AK58" s="28">
        <v>648000</v>
      </c>
      <c r="AL58" s="28">
        <v>637000</v>
      </c>
      <c r="AM58" s="28">
        <v>606000</v>
      </c>
      <c r="AN58" s="28">
        <v>606000</v>
      </c>
      <c r="AO58" s="28">
        <v>637000</v>
      </c>
      <c r="AP58" s="28">
        <v>820000</v>
      </c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</row>
    <row r="59" spans="1:68" ht="15" x14ac:dyDescent="0.2">
      <c r="A59" s="26" t="s">
        <v>63</v>
      </c>
      <c r="B59" s="27">
        <v>647000</v>
      </c>
      <c r="C59" s="28">
        <v>1783000</v>
      </c>
      <c r="D59" s="28">
        <v>1179000</v>
      </c>
      <c r="E59" s="28">
        <v>2384000</v>
      </c>
      <c r="F59" s="28">
        <v>1838000</v>
      </c>
      <c r="G59" s="28">
        <v>3325000</v>
      </c>
      <c r="H59" s="28">
        <v>1133000</v>
      </c>
      <c r="I59" s="28">
        <v>2113000</v>
      </c>
      <c r="J59" s="28">
        <v>604000</v>
      </c>
      <c r="K59" s="28">
        <v>493000</v>
      </c>
      <c r="L59" s="28">
        <v>742000</v>
      </c>
      <c r="M59" s="28">
        <v>798000</v>
      </c>
      <c r="N59" s="28">
        <v>818000</v>
      </c>
      <c r="O59" s="28">
        <v>918000</v>
      </c>
      <c r="P59" s="28">
        <v>918000</v>
      </c>
      <c r="Q59" s="28">
        <v>793000</v>
      </c>
      <c r="R59" s="28">
        <v>984000</v>
      </c>
      <c r="S59" s="28">
        <v>615000</v>
      </c>
      <c r="T59" s="28">
        <v>916000</v>
      </c>
      <c r="U59" s="28">
        <v>992000</v>
      </c>
      <c r="V59" s="28">
        <v>916000</v>
      </c>
      <c r="W59" s="28">
        <v>941000</v>
      </c>
      <c r="X59" s="28">
        <v>921000</v>
      </c>
      <c r="Y59" s="28">
        <v>965000</v>
      </c>
      <c r="Z59" s="28">
        <v>683000</v>
      </c>
      <c r="AA59" s="28">
        <v>683000</v>
      </c>
      <c r="AB59" s="28">
        <v>683000</v>
      </c>
      <c r="AC59" s="28">
        <v>683000</v>
      </c>
      <c r="AD59" s="28">
        <v>678000</v>
      </c>
      <c r="AE59" s="28">
        <v>711000</v>
      </c>
      <c r="AF59" s="28">
        <v>711000</v>
      </c>
      <c r="AG59" s="28">
        <v>704000</v>
      </c>
      <c r="AH59" s="28">
        <v>683000</v>
      </c>
      <c r="AI59" s="28">
        <v>677000</v>
      </c>
      <c r="AJ59" s="28">
        <v>677000</v>
      </c>
      <c r="AK59" s="28">
        <v>677000</v>
      </c>
      <c r="AL59" s="28">
        <v>661000</v>
      </c>
      <c r="AM59" s="28">
        <v>628000</v>
      </c>
      <c r="AN59" s="28">
        <v>628000</v>
      </c>
      <c r="AO59" s="28">
        <v>661000</v>
      </c>
      <c r="AP59" s="28">
        <v>862000</v>
      </c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</row>
    <row r="60" spans="1:68" ht="18" x14ac:dyDescent="0.25">
      <c r="A60" s="30" t="s">
        <v>75</v>
      </c>
      <c r="B60" s="32"/>
      <c r="C60" s="28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</row>
    <row r="61" spans="1:68" ht="15" x14ac:dyDescent="0.2">
      <c r="A61" s="31" t="s">
        <v>58</v>
      </c>
      <c r="B61" s="28">
        <v>599000</v>
      </c>
      <c r="C61" s="28">
        <v>1536000</v>
      </c>
      <c r="D61" s="28">
        <v>1034000</v>
      </c>
      <c r="E61" s="28">
        <v>2035000</v>
      </c>
      <c r="F61" s="28">
        <v>1582000</v>
      </c>
      <c r="G61" s="28">
        <v>2817000</v>
      </c>
      <c r="H61" s="28">
        <v>1005000</v>
      </c>
      <c r="I61" s="28">
        <v>1744000</v>
      </c>
      <c r="J61" s="28">
        <v>559000</v>
      </c>
      <c r="K61" s="28">
        <v>466000</v>
      </c>
      <c r="L61" s="28">
        <v>677000</v>
      </c>
      <c r="M61" s="28">
        <v>725000</v>
      </c>
      <c r="N61" s="28">
        <v>744000</v>
      </c>
      <c r="O61" s="28">
        <v>829000</v>
      </c>
      <c r="P61" s="28">
        <v>829000</v>
      </c>
      <c r="Q61" s="28">
        <v>720000</v>
      </c>
      <c r="R61" s="28">
        <v>879000</v>
      </c>
      <c r="S61" s="28">
        <v>571000</v>
      </c>
      <c r="T61" s="28">
        <v>823000</v>
      </c>
      <c r="U61" s="28">
        <v>886000</v>
      </c>
      <c r="V61" s="28">
        <v>823000</v>
      </c>
      <c r="W61" s="28">
        <v>843000</v>
      </c>
      <c r="X61" s="28">
        <v>827000</v>
      </c>
      <c r="Y61" s="28">
        <v>863000</v>
      </c>
      <c r="Z61" s="28">
        <v>625000</v>
      </c>
      <c r="AA61" s="28">
        <v>625000</v>
      </c>
      <c r="AB61" s="28">
        <v>625000</v>
      </c>
      <c r="AC61" s="28">
        <v>625000</v>
      </c>
      <c r="AD61" s="28">
        <v>621000</v>
      </c>
      <c r="AE61" s="28">
        <v>648000</v>
      </c>
      <c r="AF61" s="28">
        <v>648000</v>
      </c>
      <c r="AG61" s="28">
        <v>642000</v>
      </c>
      <c r="AH61" s="28">
        <v>625000</v>
      </c>
      <c r="AI61" s="28">
        <v>619000</v>
      </c>
      <c r="AJ61" s="28">
        <v>619000</v>
      </c>
      <c r="AK61" s="28">
        <v>619000</v>
      </c>
      <c r="AL61" s="28">
        <v>614000</v>
      </c>
      <c r="AM61" s="28">
        <v>587000</v>
      </c>
      <c r="AN61" s="28">
        <v>587000</v>
      </c>
      <c r="AO61" s="28">
        <v>614000</v>
      </c>
      <c r="AP61" s="28">
        <v>779000</v>
      </c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</row>
    <row r="62" spans="1:68" ht="15" x14ac:dyDescent="0.2">
      <c r="A62" s="26" t="s">
        <v>59</v>
      </c>
      <c r="B62" s="27">
        <v>629000</v>
      </c>
      <c r="C62" s="28">
        <v>1689000</v>
      </c>
      <c r="D62" s="28">
        <v>1124000</v>
      </c>
      <c r="E62" s="28">
        <v>2251000</v>
      </c>
      <c r="F62" s="28">
        <v>1741000</v>
      </c>
      <c r="G62" s="28">
        <v>3132000</v>
      </c>
      <c r="H62" s="28">
        <v>1068000</v>
      </c>
      <c r="I62" s="28">
        <v>1955000</v>
      </c>
      <c r="J62" s="28">
        <v>587000</v>
      </c>
      <c r="K62" s="28">
        <v>483000</v>
      </c>
      <c r="L62" s="28">
        <v>717000</v>
      </c>
      <c r="M62" s="28">
        <v>770000</v>
      </c>
      <c r="N62" s="28">
        <v>790000</v>
      </c>
      <c r="O62" s="28">
        <v>885000</v>
      </c>
      <c r="P62" s="28">
        <v>885000</v>
      </c>
      <c r="Q62" s="28">
        <v>766000</v>
      </c>
      <c r="R62" s="28">
        <v>944000</v>
      </c>
      <c r="S62" s="28">
        <v>598000</v>
      </c>
      <c r="T62" s="28">
        <v>880000</v>
      </c>
      <c r="U62" s="28">
        <v>952000</v>
      </c>
      <c r="V62" s="28">
        <v>880000</v>
      </c>
      <c r="W62" s="28">
        <v>904000</v>
      </c>
      <c r="X62" s="28">
        <v>886000</v>
      </c>
      <c r="Y62" s="28">
        <v>926000</v>
      </c>
      <c r="Z62" s="28">
        <v>661000</v>
      </c>
      <c r="AA62" s="28">
        <v>661000</v>
      </c>
      <c r="AB62" s="28">
        <v>661000</v>
      </c>
      <c r="AC62" s="28">
        <v>661000</v>
      </c>
      <c r="AD62" s="28">
        <v>656000</v>
      </c>
      <c r="AE62" s="28">
        <v>687000</v>
      </c>
      <c r="AF62" s="28">
        <v>687000</v>
      </c>
      <c r="AG62" s="28">
        <v>681000</v>
      </c>
      <c r="AH62" s="28">
        <v>661000</v>
      </c>
      <c r="AI62" s="28">
        <v>655000</v>
      </c>
      <c r="AJ62" s="28">
        <v>655000</v>
      </c>
      <c r="AK62" s="28">
        <v>655000</v>
      </c>
      <c r="AL62" s="28">
        <v>643000</v>
      </c>
      <c r="AM62" s="28">
        <v>612000</v>
      </c>
      <c r="AN62" s="28">
        <v>612000</v>
      </c>
      <c r="AO62" s="28">
        <v>643000</v>
      </c>
      <c r="AP62" s="28">
        <v>830000</v>
      </c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</row>
    <row r="63" spans="1:68" ht="15" x14ac:dyDescent="0.2">
      <c r="A63" s="26" t="s">
        <v>60</v>
      </c>
      <c r="B63" s="27">
        <v>647000</v>
      </c>
      <c r="C63" s="28">
        <v>1781000</v>
      </c>
      <c r="D63" s="28">
        <v>1178000</v>
      </c>
      <c r="E63" s="28">
        <v>2381000</v>
      </c>
      <c r="F63" s="28">
        <v>1836000</v>
      </c>
      <c r="G63" s="28">
        <v>3321000</v>
      </c>
      <c r="H63" s="28">
        <v>1105000</v>
      </c>
      <c r="I63" s="28">
        <v>2083000</v>
      </c>
      <c r="J63" s="28">
        <v>604000</v>
      </c>
      <c r="K63" s="28">
        <v>493000</v>
      </c>
      <c r="L63" s="28">
        <v>742000</v>
      </c>
      <c r="M63" s="28">
        <v>797000</v>
      </c>
      <c r="N63" s="28">
        <v>818000</v>
      </c>
      <c r="O63" s="28">
        <v>918000</v>
      </c>
      <c r="P63" s="28">
        <v>918000</v>
      </c>
      <c r="Q63" s="28">
        <v>793000</v>
      </c>
      <c r="R63" s="28">
        <v>983000</v>
      </c>
      <c r="S63" s="28">
        <v>615000</v>
      </c>
      <c r="T63" s="28">
        <v>915000</v>
      </c>
      <c r="U63" s="28">
        <v>991000</v>
      </c>
      <c r="V63" s="28">
        <v>915000</v>
      </c>
      <c r="W63" s="28">
        <v>940000</v>
      </c>
      <c r="X63" s="28">
        <v>921000</v>
      </c>
      <c r="Y63" s="28">
        <v>964000</v>
      </c>
      <c r="Z63" s="28">
        <v>683000</v>
      </c>
      <c r="AA63" s="28">
        <v>683000</v>
      </c>
      <c r="AB63" s="28">
        <v>683000</v>
      </c>
      <c r="AC63" s="28">
        <v>683000</v>
      </c>
      <c r="AD63" s="28">
        <v>678000</v>
      </c>
      <c r="AE63" s="28">
        <v>711000</v>
      </c>
      <c r="AF63" s="28">
        <v>711000</v>
      </c>
      <c r="AG63" s="28">
        <v>704000</v>
      </c>
      <c r="AH63" s="28">
        <v>683000</v>
      </c>
      <c r="AI63" s="28">
        <v>676000</v>
      </c>
      <c r="AJ63" s="28">
        <v>676000</v>
      </c>
      <c r="AK63" s="28">
        <v>676000</v>
      </c>
      <c r="AL63" s="28">
        <v>661000</v>
      </c>
      <c r="AM63" s="28">
        <v>628000</v>
      </c>
      <c r="AN63" s="28">
        <v>628000</v>
      </c>
      <c r="AO63" s="28">
        <v>661000</v>
      </c>
      <c r="AP63" s="28">
        <v>861000</v>
      </c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</row>
    <row r="64" spans="1:68" ht="15" x14ac:dyDescent="0.2">
      <c r="A64" s="26" t="s">
        <v>61</v>
      </c>
      <c r="B64" s="27">
        <v>659000</v>
      </c>
      <c r="C64" s="28">
        <v>1842000</v>
      </c>
      <c r="D64" s="28">
        <v>1214000</v>
      </c>
      <c r="E64" s="28">
        <v>2468000</v>
      </c>
      <c r="F64" s="28">
        <v>1900000</v>
      </c>
      <c r="G64" s="28">
        <v>3447000</v>
      </c>
      <c r="H64" s="28">
        <v>1130000</v>
      </c>
      <c r="I64" s="28">
        <v>2167000</v>
      </c>
      <c r="J64" s="28">
        <v>615000</v>
      </c>
      <c r="K64" s="28">
        <v>499000</v>
      </c>
      <c r="L64" s="28">
        <v>758000</v>
      </c>
      <c r="M64" s="28">
        <v>815000</v>
      </c>
      <c r="N64" s="28">
        <v>836000</v>
      </c>
      <c r="O64" s="28">
        <v>940000</v>
      </c>
      <c r="P64" s="28">
        <v>940000</v>
      </c>
      <c r="Q64" s="28">
        <v>811000</v>
      </c>
      <c r="R64" s="28">
        <v>1009000</v>
      </c>
      <c r="S64" s="28">
        <v>626000</v>
      </c>
      <c r="T64" s="28">
        <v>938000</v>
      </c>
      <c r="U64" s="28">
        <v>1017000</v>
      </c>
      <c r="V64" s="28">
        <v>938000</v>
      </c>
      <c r="W64" s="28">
        <v>964000</v>
      </c>
      <c r="X64" s="28">
        <v>944000</v>
      </c>
      <c r="Y64" s="28">
        <v>990000</v>
      </c>
      <c r="Z64" s="28">
        <v>698000</v>
      </c>
      <c r="AA64" s="28">
        <v>698000</v>
      </c>
      <c r="AB64" s="28">
        <v>698000</v>
      </c>
      <c r="AC64" s="28">
        <v>698000</v>
      </c>
      <c r="AD64" s="28">
        <v>692000</v>
      </c>
      <c r="AE64" s="28">
        <v>726000</v>
      </c>
      <c r="AF64" s="28">
        <v>726000</v>
      </c>
      <c r="AG64" s="28">
        <v>719000</v>
      </c>
      <c r="AH64" s="28">
        <v>698000</v>
      </c>
      <c r="AI64" s="28">
        <v>690000</v>
      </c>
      <c r="AJ64" s="28">
        <v>690000</v>
      </c>
      <c r="AK64" s="28">
        <v>690000</v>
      </c>
      <c r="AL64" s="28">
        <v>672000</v>
      </c>
      <c r="AM64" s="28">
        <v>638000</v>
      </c>
      <c r="AN64" s="28">
        <v>638000</v>
      </c>
      <c r="AO64" s="28">
        <v>672000</v>
      </c>
      <c r="AP64" s="28">
        <v>882000</v>
      </c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</row>
    <row r="65" spans="1:68" ht="15" x14ac:dyDescent="0.2">
      <c r="A65" s="26" t="s">
        <v>62</v>
      </c>
      <c r="B65" s="27">
        <v>689000</v>
      </c>
      <c r="C65" s="28">
        <v>1995000</v>
      </c>
      <c r="D65" s="28">
        <v>1304000</v>
      </c>
      <c r="E65" s="28">
        <v>2684000</v>
      </c>
      <c r="F65" s="28">
        <v>2059000</v>
      </c>
      <c r="G65" s="28">
        <v>3761000</v>
      </c>
      <c r="H65" s="28">
        <v>1192000</v>
      </c>
      <c r="I65" s="28">
        <v>2379000</v>
      </c>
      <c r="J65" s="28">
        <v>643000</v>
      </c>
      <c r="K65" s="28">
        <v>516000</v>
      </c>
      <c r="L65" s="28">
        <v>798000</v>
      </c>
      <c r="M65" s="28">
        <v>861000</v>
      </c>
      <c r="N65" s="28">
        <v>882000</v>
      </c>
      <c r="O65" s="28">
        <v>995000</v>
      </c>
      <c r="P65" s="28">
        <v>995000</v>
      </c>
      <c r="Q65" s="28">
        <v>857000</v>
      </c>
      <c r="R65" s="28">
        <v>1074000</v>
      </c>
      <c r="S65" s="28">
        <v>653000</v>
      </c>
      <c r="T65" s="28">
        <v>995000</v>
      </c>
      <c r="U65" s="28">
        <v>1083000</v>
      </c>
      <c r="V65" s="28">
        <v>995000</v>
      </c>
      <c r="W65" s="28">
        <v>1025000</v>
      </c>
      <c r="X65" s="28">
        <v>1003000</v>
      </c>
      <c r="Y65" s="28">
        <v>1053000</v>
      </c>
      <c r="Z65" s="28">
        <v>734000</v>
      </c>
      <c r="AA65" s="28">
        <v>734000</v>
      </c>
      <c r="AB65" s="28">
        <v>734000</v>
      </c>
      <c r="AC65" s="28">
        <v>734000</v>
      </c>
      <c r="AD65" s="28">
        <v>728000</v>
      </c>
      <c r="AE65" s="28">
        <v>766000</v>
      </c>
      <c r="AF65" s="28">
        <v>766000</v>
      </c>
      <c r="AG65" s="28">
        <v>758000</v>
      </c>
      <c r="AH65" s="28">
        <v>734000</v>
      </c>
      <c r="AI65" s="28">
        <v>726000</v>
      </c>
      <c r="AJ65" s="28">
        <v>726000</v>
      </c>
      <c r="AK65" s="28">
        <v>726000</v>
      </c>
      <c r="AL65" s="28">
        <v>701000</v>
      </c>
      <c r="AM65" s="28">
        <v>663000</v>
      </c>
      <c r="AN65" s="28">
        <v>663000</v>
      </c>
      <c r="AO65" s="28">
        <v>701000</v>
      </c>
      <c r="AP65" s="28">
        <v>933000</v>
      </c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</row>
    <row r="66" spans="1:68" ht="15" x14ac:dyDescent="0.2">
      <c r="A66" s="26" t="s">
        <v>63</v>
      </c>
      <c r="B66" s="27">
        <v>719000</v>
      </c>
      <c r="C66" s="28">
        <v>2149000</v>
      </c>
      <c r="D66" s="28">
        <v>1394000</v>
      </c>
      <c r="E66" s="28">
        <v>2900000</v>
      </c>
      <c r="F66" s="28">
        <v>2218000</v>
      </c>
      <c r="G66" s="28">
        <v>4076000</v>
      </c>
      <c r="H66" s="28">
        <v>1254000</v>
      </c>
      <c r="I66" s="28">
        <v>2591000</v>
      </c>
      <c r="J66" s="28">
        <v>671000</v>
      </c>
      <c r="K66" s="28">
        <v>532000</v>
      </c>
      <c r="L66" s="28">
        <v>839000</v>
      </c>
      <c r="M66" s="28">
        <v>906000</v>
      </c>
      <c r="N66" s="28">
        <v>928000</v>
      </c>
      <c r="O66" s="28">
        <v>1050000</v>
      </c>
      <c r="P66" s="28">
        <v>1050000</v>
      </c>
      <c r="Q66" s="28">
        <v>902000</v>
      </c>
      <c r="R66" s="28">
        <v>1140000</v>
      </c>
      <c r="S66" s="28">
        <v>680000</v>
      </c>
      <c r="T66" s="28">
        <v>1053000</v>
      </c>
      <c r="U66" s="28">
        <v>1148000</v>
      </c>
      <c r="V66" s="28">
        <v>1053000</v>
      </c>
      <c r="W66" s="28">
        <v>1085000</v>
      </c>
      <c r="X66" s="28">
        <v>1061000</v>
      </c>
      <c r="Y66" s="28">
        <v>1116000</v>
      </c>
      <c r="Z66" s="28">
        <v>770000</v>
      </c>
      <c r="AA66" s="28">
        <v>770000</v>
      </c>
      <c r="AB66" s="28">
        <v>770000</v>
      </c>
      <c r="AC66" s="28">
        <v>770000</v>
      </c>
      <c r="AD66" s="28">
        <v>764000</v>
      </c>
      <c r="AE66" s="28">
        <v>805000</v>
      </c>
      <c r="AF66" s="28">
        <v>805000</v>
      </c>
      <c r="AG66" s="28">
        <v>796000</v>
      </c>
      <c r="AH66" s="28">
        <v>770000</v>
      </c>
      <c r="AI66" s="28">
        <v>762000</v>
      </c>
      <c r="AJ66" s="28">
        <v>762000</v>
      </c>
      <c r="AK66" s="28">
        <v>762000</v>
      </c>
      <c r="AL66" s="28">
        <v>731000</v>
      </c>
      <c r="AM66" s="28">
        <v>689000</v>
      </c>
      <c r="AN66" s="28">
        <v>689000</v>
      </c>
      <c r="AO66" s="28">
        <v>731000</v>
      </c>
      <c r="AP66" s="28">
        <v>984000</v>
      </c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</row>
    <row r="67" spans="1:68" ht="18" x14ac:dyDescent="0.25">
      <c r="A67" s="30" t="s">
        <v>76</v>
      </c>
      <c r="B67" s="32"/>
      <c r="C67" s="28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</row>
    <row r="68" spans="1:68" ht="15" x14ac:dyDescent="0.2">
      <c r="A68" s="31" t="s">
        <v>58</v>
      </c>
      <c r="B68" s="28">
        <v>719000</v>
      </c>
      <c r="C68" s="28">
        <v>2100000</v>
      </c>
      <c r="D68" s="28">
        <v>1431000</v>
      </c>
      <c r="E68" s="28">
        <v>2766000</v>
      </c>
      <c r="F68" s="28">
        <v>2162000</v>
      </c>
      <c r="G68" s="28">
        <v>3809000</v>
      </c>
      <c r="H68" s="28">
        <v>1317000</v>
      </c>
      <c r="I68" s="28">
        <v>2384000</v>
      </c>
      <c r="J68" s="28">
        <v>794000</v>
      </c>
      <c r="K68" s="28">
        <v>671000</v>
      </c>
      <c r="L68" s="28">
        <v>947000</v>
      </c>
      <c r="M68" s="28">
        <v>1009000</v>
      </c>
      <c r="N68" s="28">
        <v>1032000</v>
      </c>
      <c r="O68" s="28">
        <v>1143000</v>
      </c>
      <c r="P68" s="28">
        <v>1143000</v>
      </c>
      <c r="Q68" s="28">
        <v>1004000</v>
      </c>
      <c r="R68" s="28">
        <v>1215000</v>
      </c>
      <c r="S68" s="28">
        <v>806000</v>
      </c>
      <c r="T68" s="28">
        <v>1140000</v>
      </c>
      <c r="U68" s="28">
        <v>1224000</v>
      </c>
      <c r="V68" s="28">
        <v>1140000</v>
      </c>
      <c r="W68" s="28">
        <v>1167000</v>
      </c>
      <c r="X68" s="28">
        <v>1146000</v>
      </c>
      <c r="Y68" s="28">
        <v>1194000</v>
      </c>
      <c r="Z68" s="28">
        <v>882000</v>
      </c>
      <c r="AA68" s="28">
        <v>882000</v>
      </c>
      <c r="AB68" s="28">
        <v>882000</v>
      </c>
      <c r="AC68" s="28">
        <v>882000</v>
      </c>
      <c r="AD68" s="28">
        <v>876000</v>
      </c>
      <c r="AE68" s="28">
        <v>913000</v>
      </c>
      <c r="AF68" s="28">
        <v>913000</v>
      </c>
      <c r="AG68" s="28">
        <v>905000</v>
      </c>
      <c r="AH68" s="28">
        <v>882000</v>
      </c>
      <c r="AI68" s="28">
        <v>874000</v>
      </c>
      <c r="AJ68" s="28">
        <v>874000</v>
      </c>
      <c r="AK68" s="28">
        <v>874000</v>
      </c>
      <c r="AL68" s="28">
        <v>858000</v>
      </c>
      <c r="AM68" s="28">
        <v>821000</v>
      </c>
      <c r="AN68" s="28">
        <v>821000</v>
      </c>
      <c r="AO68" s="28">
        <v>858000</v>
      </c>
      <c r="AP68" s="28">
        <v>1080000</v>
      </c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</row>
    <row r="69" spans="1:68" ht="15" x14ac:dyDescent="0.2">
      <c r="A69" s="26" t="s">
        <v>59</v>
      </c>
      <c r="B69" s="27">
        <v>749000</v>
      </c>
      <c r="C69" s="28">
        <v>2305000</v>
      </c>
      <c r="D69" s="28">
        <v>1551000</v>
      </c>
      <c r="E69" s="28">
        <v>3055000</v>
      </c>
      <c r="F69" s="28">
        <v>2374000</v>
      </c>
      <c r="G69" s="28">
        <v>4229000</v>
      </c>
      <c r="H69" s="28">
        <v>1392000</v>
      </c>
      <c r="I69" s="28">
        <v>2674000</v>
      </c>
      <c r="J69" s="28">
        <v>831000</v>
      </c>
      <c r="K69" s="28">
        <v>692000</v>
      </c>
      <c r="L69" s="28">
        <v>1000000</v>
      </c>
      <c r="M69" s="28">
        <v>1068000</v>
      </c>
      <c r="N69" s="28">
        <v>1091000</v>
      </c>
      <c r="O69" s="28">
        <v>1214000</v>
      </c>
      <c r="P69" s="28">
        <v>1214000</v>
      </c>
      <c r="Q69" s="28">
        <v>1064000</v>
      </c>
      <c r="R69" s="28">
        <v>1301000</v>
      </c>
      <c r="S69" s="28">
        <v>842000</v>
      </c>
      <c r="T69" s="28">
        <v>1215000</v>
      </c>
      <c r="U69" s="28">
        <v>1310000</v>
      </c>
      <c r="V69" s="28">
        <v>1215000</v>
      </c>
      <c r="W69" s="28">
        <v>1247000</v>
      </c>
      <c r="X69" s="28">
        <v>1223000</v>
      </c>
      <c r="Y69" s="28">
        <v>1277000</v>
      </c>
      <c r="Z69" s="28">
        <v>930000</v>
      </c>
      <c r="AA69" s="28">
        <v>930000</v>
      </c>
      <c r="AB69" s="28">
        <v>930000</v>
      </c>
      <c r="AC69" s="28">
        <v>930000</v>
      </c>
      <c r="AD69" s="28">
        <v>924000</v>
      </c>
      <c r="AE69" s="28">
        <v>965000</v>
      </c>
      <c r="AF69" s="28">
        <v>965000</v>
      </c>
      <c r="AG69" s="28">
        <v>956000</v>
      </c>
      <c r="AH69" s="28">
        <v>930000</v>
      </c>
      <c r="AI69" s="28">
        <v>921000</v>
      </c>
      <c r="AJ69" s="28">
        <v>921000</v>
      </c>
      <c r="AK69" s="28">
        <v>921000</v>
      </c>
      <c r="AL69" s="28">
        <v>894000</v>
      </c>
      <c r="AM69" s="28">
        <v>853000</v>
      </c>
      <c r="AN69" s="28">
        <v>853000</v>
      </c>
      <c r="AO69" s="28">
        <v>894000</v>
      </c>
      <c r="AP69" s="28">
        <v>1147000</v>
      </c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</row>
    <row r="70" spans="1:68" ht="15" x14ac:dyDescent="0.2">
      <c r="A70" s="26" t="s">
        <v>60</v>
      </c>
      <c r="B70" s="27">
        <v>767000</v>
      </c>
      <c r="C70" s="28">
        <v>2427000</v>
      </c>
      <c r="D70" s="28">
        <v>1623000</v>
      </c>
      <c r="E70" s="28">
        <v>3228000</v>
      </c>
      <c r="F70" s="28">
        <v>2501000</v>
      </c>
      <c r="G70" s="28">
        <v>4480000</v>
      </c>
      <c r="H70" s="28">
        <v>1437000</v>
      </c>
      <c r="I70" s="28">
        <v>2849000</v>
      </c>
      <c r="J70" s="28">
        <v>854000</v>
      </c>
      <c r="K70" s="28">
        <v>705000</v>
      </c>
      <c r="L70" s="28">
        <v>1032000</v>
      </c>
      <c r="M70" s="28">
        <v>1103000</v>
      </c>
      <c r="N70" s="28">
        <v>1127000</v>
      </c>
      <c r="O70" s="28">
        <v>1257000</v>
      </c>
      <c r="P70" s="28">
        <v>1257000</v>
      </c>
      <c r="Q70" s="28">
        <v>1099000</v>
      </c>
      <c r="R70" s="28">
        <v>1352000</v>
      </c>
      <c r="S70" s="28">
        <v>863000</v>
      </c>
      <c r="T70" s="28">
        <v>1260000</v>
      </c>
      <c r="U70" s="28">
        <v>1362000</v>
      </c>
      <c r="V70" s="28">
        <v>1260000</v>
      </c>
      <c r="W70" s="28">
        <v>1294000</v>
      </c>
      <c r="X70" s="28">
        <v>1269000</v>
      </c>
      <c r="Y70" s="28">
        <v>1327000</v>
      </c>
      <c r="Z70" s="28">
        <v>959000</v>
      </c>
      <c r="AA70" s="28">
        <v>959000</v>
      </c>
      <c r="AB70" s="28">
        <v>959000</v>
      </c>
      <c r="AC70" s="28">
        <v>959000</v>
      </c>
      <c r="AD70" s="28">
        <v>952000</v>
      </c>
      <c r="AE70" s="28">
        <v>996000</v>
      </c>
      <c r="AF70" s="28">
        <v>996000</v>
      </c>
      <c r="AG70" s="28">
        <v>986000</v>
      </c>
      <c r="AH70" s="28">
        <v>959000</v>
      </c>
      <c r="AI70" s="28">
        <v>950000</v>
      </c>
      <c r="AJ70" s="28">
        <v>950000</v>
      </c>
      <c r="AK70" s="28">
        <v>950000</v>
      </c>
      <c r="AL70" s="28">
        <v>917000</v>
      </c>
      <c r="AM70" s="28">
        <v>872000</v>
      </c>
      <c r="AN70" s="28">
        <v>872000</v>
      </c>
      <c r="AO70" s="28">
        <v>917000</v>
      </c>
      <c r="AP70" s="28">
        <v>1187000</v>
      </c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</row>
    <row r="71" spans="1:68" ht="15" x14ac:dyDescent="0.2">
      <c r="A71" s="26" t="s">
        <v>61</v>
      </c>
      <c r="B71" s="27">
        <v>779000</v>
      </c>
      <c r="C71" s="28">
        <v>2509000</v>
      </c>
      <c r="D71" s="28">
        <v>1671000</v>
      </c>
      <c r="E71" s="28">
        <v>3343000</v>
      </c>
      <c r="F71" s="28">
        <v>2586000</v>
      </c>
      <c r="G71" s="28">
        <v>4648000</v>
      </c>
      <c r="H71" s="28">
        <v>1466000</v>
      </c>
      <c r="I71" s="28">
        <v>2965000</v>
      </c>
      <c r="J71" s="28">
        <v>868000</v>
      </c>
      <c r="K71" s="28">
        <v>714000</v>
      </c>
      <c r="L71" s="28">
        <v>1053000</v>
      </c>
      <c r="M71" s="28">
        <v>1127000</v>
      </c>
      <c r="N71" s="28">
        <v>1151000</v>
      </c>
      <c r="O71" s="28">
        <v>1286000</v>
      </c>
      <c r="P71" s="28">
        <v>1286000</v>
      </c>
      <c r="Q71" s="28">
        <v>1123000</v>
      </c>
      <c r="R71" s="28">
        <v>1387000</v>
      </c>
      <c r="S71" s="28">
        <v>877000</v>
      </c>
      <c r="T71" s="28">
        <v>1290000</v>
      </c>
      <c r="U71" s="28">
        <v>1396000</v>
      </c>
      <c r="V71" s="28">
        <v>1290000</v>
      </c>
      <c r="W71" s="28">
        <v>1326000</v>
      </c>
      <c r="X71" s="28">
        <v>1299000</v>
      </c>
      <c r="Y71" s="28">
        <v>1360000</v>
      </c>
      <c r="Z71" s="28">
        <v>978000</v>
      </c>
      <c r="AA71" s="28">
        <v>978000</v>
      </c>
      <c r="AB71" s="28">
        <v>978000</v>
      </c>
      <c r="AC71" s="28">
        <v>978000</v>
      </c>
      <c r="AD71" s="28">
        <v>971000</v>
      </c>
      <c r="AE71" s="28">
        <v>1016000</v>
      </c>
      <c r="AF71" s="28">
        <v>1016000</v>
      </c>
      <c r="AG71" s="28">
        <v>1007000</v>
      </c>
      <c r="AH71" s="28">
        <v>978000</v>
      </c>
      <c r="AI71" s="28">
        <v>968000</v>
      </c>
      <c r="AJ71" s="28">
        <v>968000</v>
      </c>
      <c r="AK71" s="28">
        <v>968000</v>
      </c>
      <c r="AL71" s="28">
        <v>931000</v>
      </c>
      <c r="AM71" s="28">
        <v>885000</v>
      </c>
      <c r="AN71" s="28">
        <v>885000</v>
      </c>
      <c r="AO71" s="28">
        <v>931000</v>
      </c>
      <c r="AP71" s="28">
        <v>1214000</v>
      </c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</row>
    <row r="72" spans="1:68" ht="15" x14ac:dyDescent="0.2">
      <c r="A72" s="26" t="s">
        <v>62</v>
      </c>
      <c r="B72" s="27">
        <v>809000</v>
      </c>
      <c r="C72" s="28">
        <v>2713000</v>
      </c>
      <c r="D72" s="28">
        <v>1792000</v>
      </c>
      <c r="E72" s="28">
        <v>3631000</v>
      </c>
      <c r="F72" s="28">
        <v>2798000</v>
      </c>
      <c r="G72" s="28">
        <v>5068000</v>
      </c>
      <c r="H72" s="28">
        <v>1541000</v>
      </c>
      <c r="I72" s="28">
        <v>3255000</v>
      </c>
      <c r="J72" s="28">
        <v>906000</v>
      </c>
      <c r="K72" s="28">
        <v>736000</v>
      </c>
      <c r="L72" s="28">
        <v>1106000</v>
      </c>
      <c r="M72" s="28">
        <v>1186000</v>
      </c>
      <c r="N72" s="28">
        <v>1211000</v>
      </c>
      <c r="O72" s="28">
        <v>1358000</v>
      </c>
      <c r="P72" s="28">
        <v>1358000</v>
      </c>
      <c r="Q72" s="28">
        <v>1183000</v>
      </c>
      <c r="R72" s="28">
        <v>1472000</v>
      </c>
      <c r="S72" s="28">
        <v>912000</v>
      </c>
      <c r="T72" s="28">
        <v>1365000</v>
      </c>
      <c r="U72" s="28">
        <v>1482000</v>
      </c>
      <c r="V72" s="28">
        <v>1365000</v>
      </c>
      <c r="W72" s="28">
        <v>1406000</v>
      </c>
      <c r="X72" s="28">
        <v>1376000</v>
      </c>
      <c r="Y72" s="28">
        <v>1443000</v>
      </c>
      <c r="Z72" s="28">
        <v>1026000</v>
      </c>
      <c r="AA72" s="28">
        <v>1026000</v>
      </c>
      <c r="AB72" s="28">
        <v>1026000</v>
      </c>
      <c r="AC72" s="28">
        <v>1026000</v>
      </c>
      <c r="AD72" s="28">
        <v>1018000</v>
      </c>
      <c r="AE72" s="28">
        <v>1068000</v>
      </c>
      <c r="AF72" s="28">
        <v>1068000</v>
      </c>
      <c r="AG72" s="28">
        <v>1058000</v>
      </c>
      <c r="AH72" s="28">
        <v>1026000</v>
      </c>
      <c r="AI72" s="28">
        <v>1015000</v>
      </c>
      <c r="AJ72" s="28">
        <v>1015000</v>
      </c>
      <c r="AK72" s="28">
        <v>1015000</v>
      </c>
      <c r="AL72" s="28">
        <v>968000</v>
      </c>
      <c r="AM72" s="28">
        <v>917000</v>
      </c>
      <c r="AN72" s="28">
        <v>917000</v>
      </c>
      <c r="AO72" s="28">
        <v>968000</v>
      </c>
      <c r="AP72" s="28">
        <v>1281000</v>
      </c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</row>
    <row r="73" spans="1:68" ht="15" x14ac:dyDescent="0.2">
      <c r="A73" s="26" t="s">
        <v>63</v>
      </c>
      <c r="B73" s="27">
        <v>839000</v>
      </c>
      <c r="C73" s="28">
        <v>2918000</v>
      </c>
      <c r="D73" s="28">
        <v>1912000</v>
      </c>
      <c r="E73" s="28">
        <v>3920000</v>
      </c>
      <c r="F73" s="28">
        <v>3010000</v>
      </c>
      <c r="G73" s="28">
        <v>5488000</v>
      </c>
      <c r="H73" s="28">
        <v>1616000</v>
      </c>
      <c r="I73" s="28">
        <v>3546000</v>
      </c>
      <c r="J73" s="28">
        <v>943000</v>
      </c>
      <c r="K73" s="28">
        <v>757000</v>
      </c>
      <c r="L73" s="28">
        <v>1159000</v>
      </c>
      <c r="M73" s="28">
        <v>1245000</v>
      </c>
      <c r="N73" s="28">
        <v>1270000</v>
      </c>
      <c r="O73" s="28">
        <v>1429000</v>
      </c>
      <c r="P73" s="28">
        <v>1429000</v>
      </c>
      <c r="Q73" s="28">
        <v>1242000</v>
      </c>
      <c r="R73" s="28">
        <v>1558000</v>
      </c>
      <c r="S73" s="28">
        <v>947000</v>
      </c>
      <c r="T73" s="28">
        <v>1441000</v>
      </c>
      <c r="U73" s="28">
        <v>1568000</v>
      </c>
      <c r="V73" s="28">
        <v>1441000</v>
      </c>
      <c r="W73" s="28">
        <v>1485000</v>
      </c>
      <c r="X73" s="28">
        <v>1453000</v>
      </c>
      <c r="Y73" s="28">
        <v>1526000</v>
      </c>
      <c r="Z73" s="28">
        <v>1074000</v>
      </c>
      <c r="AA73" s="28">
        <v>1074000</v>
      </c>
      <c r="AB73" s="28">
        <v>1074000</v>
      </c>
      <c r="AC73" s="28">
        <v>1074000</v>
      </c>
      <c r="AD73" s="28">
        <v>1065000</v>
      </c>
      <c r="AE73" s="28">
        <v>1120000</v>
      </c>
      <c r="AF73" s="28">
        <v>1120000</v>
      </c>
      <c r="AG73" s="28">
        <v>1108000</v>
      </c>
      <c r="AH73" s="28">
        <v>1074000</v>
      </c>
      <c r="AI73" s="28">
        <v>1062000</v>
      </c>
      <c r="AJ73" s="28">
        <v>1062000</v>
      </c>
      <c r="AK73" s="28">
        <v>1062000</v>
      </c>
      <c r="AL73" s="28">
        <v>1005000</v>
      </c>
      <c r="AM73" s="28">
        <v>950000</v>
      </c>
      <c r="AN73" s="28">
        <v>950000</v>
      </c>
      <c r="AO73" s="28">
        <v>1005000</v>
      </c>
      <c r="AP73" s="28">
        <v>1348000</v>
      </c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</row>
    <row r="74" spans="1:68" ht="18" x14ac:dyDescent="0.25">
      <c r="A74" s="30" t="s">
        <v>77</v>
      </c>
      <c r="B74" s="32"/>
      <c r="C74" s="28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</row>
    <row r="75" spans="1:68" ht="15" x14ac:dyDescent="0.2">
      <c r="A75" s="31" t="s">
        <v>58</v>
      </c>
      <c r="B75" s="28">
        <v>839000</v>
      </c>
      <c r="C75" s="28">
        <v>2506000</v>
      </c>
      <c r="D75" s="28">
        <v>1670000</v>
      </c>
      <c r="E75" s="28">
        <v>3339000</v>
      </c>
      <c r="F75" s="28">
        <v>2583000</v>
      </c>
      <c r="G75" s="28">
        <v>4642000</v>
      </c>
      <c r="H75" s="28">
        <v>1470000</v>
      </c>
      <c r="I75" s="28">
        <v>2865000</v>
      </c>
      <c r="J75" s="28">
        <v>871000</v>
      </c>
      <c r="K75" s="28">
        <v>716000</v>
      </c>
      <c r="L75" s="28">
        <v>1058000</v>
      </c>
      <c r="M75" s="28">
        <v>1134000</v>
      </c>
      <c r="N75" s="28">
        <v>1160000</v>
      </c>
      <c r="O75" s="28">
        <v>1297000</v>
      </c>
      <c r="P75" s="28">
        <v>1297000</v>
      </c>
      <c r="Q75" s="28">
        <v>1129000</v>
      </c>
      <c r="R75" s="28">
        <v>1393000</v>
      </c>
      <c r="S75" s="28">
        <v>882000</v>
      </c>
      <c r="T75" s="28">
        <v>1297000</v>
      </c>
      <c r="U75" s="28">
        <v>1403000</v>
      </c>
      <c r="V75" s="28">
        <v>1297000</v>
      </c>
      <c r="W75" s="28">
        <v>1332000</v>
      </c>
      <c r="X75" s="28">
        <v>1306000</v>
      </c>
      <c r="Y75" s="28">
        <v>1366000</v>
      </c>
      <c r="Z75" s="28">
        <v>980000</v>
      </c>
      <c r="AA75" s="28">
        <v>980000</v>
      </c>
      <c r="AB75" s="28">
        <v>980000</v>
      </c>
      <c r="AC75" s="28">
        <v>980000</v>
      </c>
      <c r="AD75" s="28">
        <v>973000</v>
      </c>
      <c r="AE75" s="28">
        <v>1019000</v>
      </c>
      <c r="AF75" s="28">
        <v>1019000</v>
      </c>
      <c r="AG75" s="28">
        <v>1009000</v>
      </c>
      <c r="AH75" s="28">
        <v>980000</v>
      </c>
      <c r="AI75" s="28">
        <v>971000</v>
      </c>
      <c r="AJ75" s="28">
        <v>971000</v>
      </c>
      <c r="AK75" s="28">
        <v>971000</v>
      </c>
      <c r="AL75" s="28">
        <v>942000</v>
      </c>
      <c r="AM75" s="28">
        <v>896000</v>
      </c>
      <c r="AN75" s="28">
        <v>896000</v>
      </c>
      <c r="AO75" s="28">
        <v>942000</v>
      </c>
      <c r="AP75" s="28">
        <v>1222000</v>
      </c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</row>
    <row r="76" spans="1:68" ht="15" x14ac:dyDescent="0.2">
      <c r="A76" s="26" t="s">
        <v>59</v>
      </c>
      <c r="B76" s="27">
        <v>869000</v>
      </c>
      <c r="C76" s="28">
        <v>2762000</v>
      </c>
      <c r="D76" s="28">
        <v>1820000</v>
      </c>
      <c r="E76" s="28">
        <v>3699000</v>
      </c>
      <c r="F76" s="28">
        <v>2848000</v>
      </c>
      <c r="G76" s="28">
        <v>5167000</v>
      </c>
      <c r="H76" s="28">
        <v>1557000</v>
      </c>
      <c r="I76" s="28">
        <v>3234000</v>
      </c>
      <c r="J76" s="28">
        <v>917000</v>
      </c>
      <c r="K76" s="28">
        <v>743000</v>
      </c>
      <c r="L76" s="28">
        <v>1124000</v>
      </c>
      <c r="M76" s="28">
        <v>1207000</v>
      </c>
      <c r="N76" s="28">
        <v>1234000</v>
      </c>
      <c r="O76" s="28">
        <v>1385000</v>
      </c>
      <c r="P76" s="28">
        <v>1385000</v>
      </c>
      <c r="Q76" s="28">
        <v>1203000</v>
      </c>
      <c r="R76" s="28">
        <v>1499000</v>
      </c>
      <c r="S76" s="28">
        <v>926000</v>
      </c>
      <c r="T76" s="28">
        <v>1390000</v>
      </c>
      <c r="U76" s="28">
        <v>1509000</v>
      </c>
      <c r="V76" s="28">
        <v>1390000</v>
      </c>
      <c r="W76" s="28">
        <v>1431000</v>
      </c>
      <c r="X76" s="28">
        <v>1401000</v>
      </c>
      <c r="Y76" s="28">
        <v>1469000</v>
      </c>
      <c r="Z76" s="28">
        <v>1040000</v>
      </c>
      <c r="AA76" s="28">
        <v>1040000</v>
      </c>
      <c r="AB76" s="28">
        <v>1040000</v>
      </c>
      <c r="AC76" s="28">
        <v>1040000</v>
      </c>
      <c r="AD76" s="28">
        <v>1032000</v>
      </c>
      <c r="AE76" s="28">
        <v>1083000</v>
      </c>
      <c r="AF76" s="28">
        <v>1083000</v>
      </c>
      <c r="AG76" s="28">
        <v>1072000</v>
      </c>
      <c r="AH76" s="28">
        <v>1040000</v>
      </c>
      <c r="AI76" s="28">
        <v>1029000</v>
      </c>
      <c r="AJ76" s="28">
        <v>1029000</v>
      </c>
      <c r="AK76" s="28">
        <v>1029000</v>
      </c>
      <c r="AL76" s="28">
        <v>987000</v>
      </c>
      <c r="AM76" s="28">
        <v>935000</v>
      </c>
      <c r="AN76" s="28">
        <v>935000</v>
      </c>
      <c r="AO76" s="28">
        <v>987000</v>
      </c>
      <c r="AP76" s="28">
        <v>1304000</v>
      </c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</row>
    <row r="77" spans="1:68" ht="15" x14ac:dyDescent="0.2">
      <c r="A77" s="26" t="s">
        <v>60</v>
      </c>
      <c r="B77" s="27">
        <v>887000</v>
      </c>
      <c r="C77" s="28">
        <v>2915000</v>
      </c>
      <c r="D77" s="28">
        <v>1910000</v>
      </c>
      <c r="E77" s="28">
        <v>3915000</v>
      </c>
      <c r="F77" s="28">
        <v>3007000</v>
      </c>
      <c r="G77" s="28">
        <v>5481000</v>
      </c>
      <c r="H77" s="28">
        <v>1609000</v>
      </c>
      <c r="I77" s="28">
        <v>3456000</v>
      </c>
      <c r="J77" s="28">
        <v>944000</v>
      </c>
      <c r="K77" s="28">
        <v>759000</v>
      </c>
      <c r="L77" s="28">
        <v>1163000</v>
      </c>
      <c r="M77" s="28">
        <v>1251000</v>
      </c>
      <c r="N77" s="28">
        <v>1278000</v>
      </c>
      <c r="O77" s="28">
        <v>1438000</v>
      </c>
      <c r="P77" s="28">
        <v>1438000</v>
      </c>
      <c r="Q77" s="28">
        <v>1247000</v>
      </c>
      <c r="R77" s="28">
        <v>1562000</v>
      </c>
      <c r="S77" s="28">
        <v>952000</v>
      </c>
      <c r="T77" s="28">
        <v>1446000</v>
      </c>
      <c r="U77" s="28">
        <v>1573000</v>
      </c>
      <c r="V77" s="28">
        <v>1446000</v>
      </c>
      <c r="W77" s="28">
        <v>1490000</v>
      </c>
      <c r="X77" s="28">
        <v>1458000</v>
      </c>
      <c r="Y77" s="28">
        <v>1530000</v>
      </c>
      <c r="Z77" s="28">
        <v>1075000</v>
      </c>
      <c r="AA77" s="28">
        <v>1075000</v>
      </c>
      <c r="AB77" s="28">
        <v>1075000</v>
      </c>
      <c r="AC77" s="28">
        <v>1075000</v>
      </c>
      <c r="AD77" s="28">
        <v>1067000</v>
      </c>
      <c r="AE77" s="28">
        <v>1122000</v>
      </c>
      <c r="AF77" s="28">
        <v>1122000</v>
      </c>
      <c r="AG77" s="28">
        <v>1110000</v>
      </c>
      <c r="AH77" s="28">
        <v>1075000</v>
      </c>
      <c r="AI77" s="28">
        <v>1064000</v>
      </c>
      <c r="AJ77" s="28">
        <v>1064000</v>
      </c>
      <c r="AK77" s="28">
        <v>1064000</v>
      </c>
      <c r="AL77" s="28">
        <v>1013000</v>
      </c>
      <c r="AM77" s="28">
        <v>958000</v>
      </c>
      <c r="AN77" s="28">
        <v>958000</v>
      </c>
      <c r="AO77" s="28">
        <v>1013000</v>
      </c>
      <c r="AP77" s="28">
        <v>1354000</v>
      </c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</row>
    <row r="78" spans="1:68" ht="15" x14ac:dyDescent="0.2">
      <c r="A78" s="26" t="s">
        <v>61</v>
      </c>
      <c r="B78" s="27">
        <v>899000</v>
      </c>
      <c r="C78" s="28">
        <v>3017000</v>
      </c>
      <c r="D78" s="28">
        <v>1970000</v>
      </c>
      <c r="E78" s="28">
        <v>4059000</v>
      </c>
      <c r="F78" s="28">
        <v>3113000</v>
      </c>
      <c r="G78" s="28">
        <v>5691000</v>
      </c>
      <c r="H78" s="28">
        <v>1644000</v>
      </c>
      <c r="I78" s="28">
        <v>3604000</v>
      </c>
      <c r="J78" s="28">
        <v>963000</v>
      </c>
      <c r="K78" s="28">
        <v>770000</v>
      </c>
      <c r="L78" s="28">
        <v>1189000</v>
      </c>
      <c r="M78" s="28">
        <v>1280000</v>
      </c>
      <c r="N78" s="28">
        <v>1307000</v>
      </c>
      <c r="O78" s="28">
        <v>1473000</v>
      </c>
      <c r="P78" s="28">
        <v>1473000</v>
      </c>
      <c r="Q78" s="28">
        <v>1276000</v>
      </c>
      <c r="R78" s="28">
        <v>1605000</v>
      </c>
      <c r="S78" s="28">
        <v>969000</v>
      </c>
      <c r="T78" s="28">
        <v>1483000</v>
      </c>
      <c r="U78" s="28">
        <v>1616000</v>
      </c>
      <c r="V78" s="28">
        <v>1483000</v>
      </c>
      <c r="W78" s="28">
        <v>1529000</v>
      </c>
      <c r="X78" s="28">
        <v>1496000</v>
      </c>
      <c r="Y78" s="28">
        <v>1571000</v>
      </c>
      <c r="Z78" s="28">
        <v>1099000</v>
      </c>
      <c r="AA78" s="28">
        <v>1099000</v>
      </c>
      <c r="AB78" s="28">
        <v>1099000</v>
      </c>
      <c r="AC78" s="28">
        <v>1099000</v>
      </c>
      <c r="AD78" s="28">
        <v>1090000</v>
      </c>
      <c r="AE78" s="28">
        <v>1147000</v>
      </c>
      <c r="AF78" s="28">
        <v>1147000</v>
      </c>
      <c r="AG78" s="28">
        <v>1135000</v>
      </c>
      <c r="AH78" s="28">
        <v>1099000</v>
      </c>
      <c r="AI78" s="28">
        <v>1087000</v>
      </c>
      <c r="AJ78" s="28">
        <v>1087000</v>
      </c>
      <c r="AK78" s="28">
        <v>1087000</v>
      </c>
      <c r="AL78" s="28">
        <v>1031000</v>
      </c>
      <c r="AM78" s="28">
        <v>974000</v>
      </c>
      <c r="AN78" s="28">
        <v>974000</v>
      </c>
      <c r="AO78" s="28">
        <v>1031000</v>
      </c>
      <c r="AP78" s="28">
        <v>1387000</v>
      </c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</row>
    <row r="79" spans="1:68" ht="15" x14ac:dyDescent="0.2">
      <c r="A79" s="26" t="s">
        <v>62</v>
      </c>
      <c r="B79" s="27">
        <v>929000</v>
      </c>
      <c r="C79" s="28">
        <v>3272000</v>
      </c>
      <c r="D79" s="28">
        <v>2120000</v>
      </c>
      <c r="E79" s="28">
        <v>4420000</v>
      </c>
      <c r="F79" s="28">
        <v>3378000</v>
      </c>
      <c r="G79" s="28">
        <v>6216000</v>
      </c>
      <c r="H79" s="28">
        <v>1731000</v>
      </c>
      <c r="I79" s="28">
        <v>3973000</v>
      </c>
      <c r="J79" s="28">
        <v>1009000</v>
      </c>
      <c r="K79" s="28">
        <v>796000</v>
      </c>
      <c r="L79" s="28">
        <v>1254000</v>
      </c>
      <c r="M79" s="28">
        <v>1353000</v>
      </c>
      <c r="N79" s="28">
        <v>1380000</v>
      </c>
      <c r="O79" s="28">
        <v>1561000</v>
      </c>
      <c r="P79" s="28">
        <v>1561000</v>
      </c>
      <c r="Q79" s="28">
        <v>1350000</v>
      </c>
      <c r="R79" s="28">
        <v>1711000</v>
      </c>
      <c r="S79" s="28">
        <v>1012000</v>
      </c>
      <c r="T79" s="28">
        <v>1576000</v>
      </c>
      <c r="U79" s="28">
        <v>1722000</v>
      </c>
      <c r="V79" s="28">
        <v>1576000</v>
      </c>
      <c r="W79" s="28">
        <v>1627000</v>
      </c>
      <c r="X79" s="28">
        <v>1591000</v>
      </c>
      <c r="Y79" s="28">
        <v>1674000</v>
      </c>
      <c r="Z79" s="28">
        <v>1159000</v>
      </c>
      <c r="AA79" s="28">
        <v>1159000</v>
      </c>
      <c r="AB79" s="28">
        <v>1159000</v>
      </c>
      <c r="AC79" s="28">
        <v>1159000</v>
      </c>
      <c r="AD79" s="28">
        <v>1149000</v>
      </c>
      <c r="AE79" s="28">
        <v>1212000</v>
      </c>
      <c r="AF79" s="28">
        <v>1212000</v>
      </c>
      <c r="AG79" s="28">
        <v>1198000</v>
      </c>
      <c r="AH79" s="28">
        <v>1159000</v>
      </c>
      <c r="AI79" s="28">
        <v>1146000</v>
      </c>
      <c r="AJ79" s="28">
        <v>1146000</v>
      </c>
      <c r="AK79" s="28">
        <v>1146000</v>
      </c>
      <c r="AL79" s="28">
        <v>1076000</v>
      </c>
      <c r="AM79" s="28">
        <v>1013000</v>
      </c>
      <c r="AN79" s="28">
        <v>1013000</v>
      </c>
      <c r="AO79" s="28">
        <v>1076000</v>
      </c>
      <c r="AP79" s="28">
        <v>1469000</v>
      </c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</row>
    <row r="80" spans="1:68" ht="15" x14ac:dyDescent="0.2">
      <c r="A80" s="26" t="s">
        <v>63</v>
      </c>
      <c r="B80" s="27">
        <v>959000</v>
      </c>
      <c r="C80" s="28">
        <v>3528000</v>
      </c>
      <c r="D80" s="28">
        <v>2270000</v>
      </c>
      <c r="E80" s="28">
        <v>4780000</v>
      </c>
      <c r="F80" s="28">
        <v>3643000</v>
      </c>
      <c r="G80" s="28">
        <v>6740000</v>
      </c>
      <c r="H80" s="28">
        <v>1818000</v>
      </c>
      <c r="I80" s="28">
        <v>4342000</v>
      </c>
      <c r="J80" s="28">
        <v>1055000</v>
      </c>
      <c r="K80" s="28">
        <v>823000</v>
      </c>
      <c r="L80" s="28">
        <v>1320000</v>
      </c>
      <c r="M80" s="28">
        <v>1426000</v>
      </c>
      <c r="N80" s="28">
        <v>1454000</v>
      </c>
      <c r="O80" s="28">
        <v>1649000</v>
      </c>
      <c r="P80" s="28">
        <v>1649000</v>
      </c>
      <c r="Q80" s="28">
        <v>1423000</v>
      </c>
      <c r="R80" s="28">
        <v>1817000</v>
      </c>
      <c r="S80" s="28">
        <v>1056000</v>
      </c>
      <c r="T80" s="28">
        <v>1669000</v>
      </c>
      <c r="U80" s="28">
        <v>1828000</v>
      </c>
      <c r="V80" s="28">
        <v>1669000</v>
      </c>
      <c r="W80" s="28">
        <v>1726000</v>
      </c>
      <c r="X80" s="28">
        <v>1685000</v>
      </c>
      <c r="Y80" s="28">
        <v>1776000</v>
      </c>
      <c r="Z80" s="28">
        <v>1218000</v>
      </c>
      <c r="AA80" s="28">
        <v>1218000</v>
      </c>
      <c r="AB80" s="28">
        <v>1218000</v>
      </c>
      <c r="AC80" s="28">
        <v>1218000</v>
      </c>
      <c r="AD80" s="28">
        <v>1208000</v>
      </c>
      <c r="AE80" s="28">
        <v>1276000</v>
      </c>
      <c r="AF80" s="28">
        <v>1276000</v>
      </c>
      <c r="AG80" s="28">
        <v>1262000</v>
      </c>
      <c r="AH80" s="28">
        <v>1218000</v>
      </c>
      <c r="AI80" s="28">
        <v>1204000</v>
      </c>
      <c r="AJ80" s="28">
        <v>1204000</v>
      </c>
      <c r="AK80" s="28">
        <v>1204000</v>
      </c>
      <c r="AL80" s="28">
        <v>1121000</v>
      </c>
      <c r="AM80" s="28">
        <v>1051000</v>
      </c>
      <c r="AN80" s="28">
        <v>1051000</v>
      </c>
      <c r="AO80" s="28">
        <v>1121000</v>
      </c>
      <c r="AP80" s="28">
        <v>1552000</v>
      </c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</row>
    <row r="81" spans="1:68" ht="18" x14ac:dyDescent="0.25">
      <c r="A81" s="30" t="s">
        <v>78</v>
      </c>
      <c r="B81" s="32"/>
      <c r="C81" s="28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</row>
    <row r="82" spans="1:68" ht="15" x14ac:dyDescent="0.2">
      <c r="A82" s="31" t="s">
        <v>58</v>
      </c>
      <c r="B82" s="28">
        <v>959000</v>
      </c>
      <c r="C82" s="28">
        <v>2912000</v>
      </c>
      <c r="D82" s="28">
        <v>1908000</v>
      </c>
      <c r="E82" s="28">
        <v>3911000</v>
      </c>
      <c r="F82" s="28">
        <v>3004000</v>
      </c>
      <c r="G82" s="28">
        <v>5475000</v>
      </c>
      <c r="H82" s="28">
        <v>1623000</v>
      </c>
      <c r="I82" s="28">
        <v>3346000</v>
      </c>
      <c r="J82" s="28">
        <v>947000</v>
      </c>
      <c r="K82" s="28">
        <v>762000</v>
      </c>
      <c r="L82" s="28">
        <v>1170000</v>
      </c>
      <c r="M82" s="28">
        <v>1259000</v>
      </c>
      <c r="N82" s="28">
        <v>1289000</v>
      </c>
      <c r="O82" s="28">
        <v>1451000</v>
      </c>
      <c r="P82" s="28">
        <v>1451000</v>
      </c>
      <c r="Q82" s="28">
        <v>1254000</v>
      </c>
      <c r="R82" s="28">
        <v>1570000</v>
      </c>
      <c r="S82" s="28">
        <v>959000</v>
      </c>
      <c r="T82" s="28">
        <v>1455000</v>
      </c>
      <c r="U82" s="28">
        <v>1581000</v>
      </c>
      <c r="V82" s="28">
        <v>1455000</v>
      </c>
      <c r="W82" s="28">
        <v>1498000</v>
      </c>
      <c r="X82" s="28">
        <v>1465000</v>
      </c>
      <c r="Y82" s="28">
        <v>1538000</v>
      </c>
      <c r="Z82" s="28">
        <v>1078000</v>
      </c>
      <c r="AA82" s="28">
        <v>1078000</v>
      </c>
      <c r="AB82" s="28">
        <v>1078000</v>
      </c>
      <c r="AC82" s="28">
        <v>1078000</v>
      </c>
      <c r="AD82" s="28">
        <v>1070000</v>
      </c>
      <c r="AE82" s="28">
        <v>1124000</v>
      </c>
      <c r="AF82" s="28">
        <v>1124000</v>
      </c>
      <c r="AG82" s="28">
        <v>1113000</v>
      </c>
      <c r="AH82" s="28">
        <v>1078000</v>
      </c>
      <c r="AI82" s="28">
        <v>1067000</v>
      </c>
      <c r="AJ82" s="28">
        <v>1067000</v>
      </c>
      <c r="AK82" s="28">
        <v>1067000</v>
      </c>
      <c r="AL82" s="28">
        <v>1026000</v>
      </c>
      <c r="AM82" s="28">
        <v>971000</v>
      </c>
      <c r="AN82" s="28">
        <v>971000</v>
      </c>
      <c r="AO82" s="28">
        <v>1026000</v>
      </c>
      <c r="AP82" s="28">
        <v>1363000</v>
      </c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</row>
    <row r="83" spans="1:68" ht="15" x14ac:dyDescent="0.2">
      <c r="A83" s="26" t="s">
        <v>59</v>
      </c>
      <c r="B83" s="27">
        <v>989000</v>
      </c>
      <c r="C83" s="28">
        <v>3218000</v>
      </c>
      <c r="D83" s="28">
        <v>2088000</v>
      </c>
      <c r="E83" s="28">
        <v>4343000</v>
      </c>
      <c r="F83" s="28">
        <v>3322000</v>
      </c>
      <c r="G83" s="28">
        <v>6104000</v>
      </c>
      <c r="H83" s="28">
        <v>1722000</v>
      </c>
      <c r="I83" s="28">
        <v>3794000</v>
      </c>
      <c r="J83" s="28">
        <v>1002000</v>
      </c>
      <c r="K83" s="28">
        <v>794000</v>
      </c>
      <c r="L83" s="28">
        <v>1247000</v>
      </c>
      <c r="M83" s="28">
        <v>1346000</v>
      </c>
      <c r="N83" s="28">
        <v>1376000</v>
      </c>
      <c r="O83" s="28">
        <v>1556000</v>
      </c>
      <c r="P83" s="28">
        <v>1556000</v>
      </c>
      <c r="Q83" s="28">
        <v>1342000</v>
      </c>
      <c r="R83" s="28">
        <v>1696000</v>
      </c>
      <c r="S83" s="28">
        <v>1010000</v>
      </c>
      <c r="T83" s="28">
        <v>1565000</v>
      </c>
      <c r="U83" s="28">
        <v>1708000</v>
      </c>
      <c r="V83" s="28">
        <v>1565000</v>
      </c>
      <c r="W83" s="28">
        <v>1615000</v>
      </c>
      <c r="X83" s="28">
        <v>1579000</v>
      </c>
      <c r="Y83" s="28">
        <v>1660000</v>
      </c>
      <c r="Z83" s="28">
        <v>1150000</v>
      </c>
      <c r="AA83" s="28">
        <v>1150000</v>
      </c>
      <c r="AB83" s="28">
        <v>1150000</v>
      </c>
      <c r="AC83" s="28">
        <v>1150000</v>
      </c>
      <c r="AD83" s="28">
        <v>1140000</v>
      </c>
      <c r="AE83" s="28">
        <v>1201000</v>
      </c>
      <c r="AF83" s="28">
        <v>1201000</v>
      </c>
      <c r="AG83" s="28">
        <v>1188000</v>
      </c>
      <c r="AH83" s="28">
        <v>1150000</v>
      </c>
      <c r="AI83" s="28">
        <v>1137000</v>
      </c>
      <c r="AJ83" s="28">
        <v>1137000</v>
      </c>
      <c r="AK83" s="28">
        <v>1137000</v>
      </c>
      <c r="AL83" s="28">
        <v>1079000</v>
      </c>
      <c r="AM83" s="28">
        <v>1016000</v>
      </c>
      <c r="AN83" s="28">
        <v>1016000</v>
      </c>
      <c r="AO83" s="28">
        <v>1079000</v>
      </c>
      <c r="AP83" s="28">
        <v>1462000</v>
      </c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</row>
    <row r="84" spans="1:68" ht="15" x14ac:dyDescent="0.2">
      <c r="A84" s="26" t="s">
        <v>60</v>
      </c>
      <c r="B84" s="27">
        <v>1007000</v>
      </c>
      <c r="C84" s="28">
        <v>3402000</v>
      </c>
      <c r="D84" s="28">
        <v>2196000</v>
      </c>
      <c r="E84" s="28">
        <v>4603000</v>
      </c>
      <c r="F84" s="28">
        <v>3513000</v>
      </c>
      <c r="G84" s="28">
        <v>6482000</v>
      </c>
      <c r="H84" s="28">
        <v>1782000</v>
      </c>
      <c r="I84" s="28">
        <v>4063000</v>
      </c>
      <c r="J84" s="28">
        <v>1035000</v>
      </c>
      <c r="K84" s="28">
        <v>813000</v>
      </c>
      <c r="L84" s="28">
        <v>1294000</v>
      </c>
      <c r="M84" s="28">
        <v>1398000</v>
      </c>
      <c r="N84" s="28">
        <v>1428000</v>
      </c>
      <c r="O84" s="28">
        <v>1618000</v>
      </c>
      <c r="P84" s="28">
        <v>1618000</v>
      </c>
      <c r="Q84" s="28">
        <v>1394000</v>
      </c>
      <c r="R84" s="28">
        <v>1772000</v>
      </c>
      <c r="S84" s="28">
        <v>1041000</v>
      </c>
      <c r="T84" s="28">
        <v>1632000</v>
      </c>
      <c r="U84" s="28">
        <v>1784000</v>
      </c>
      <c r="V84" s="28">
        <v>1632000</v>
      </c>
      <c r="W84" s="28">
        <v>1685000</v>
      </c>
      <c r="X84" s="28">
        <v>1647000</v>
      </c>
      <c r="Y84" s="28">
        <v>1734000</v>
      </c>
      <c r="Z84" s="28">
        <v>1192000</v>
      </c>
      <c r="AA84" s="28">
        <v>1192000</v>
      </c>
      <c r="AB84" s="28">
        <v>1192000</v>
      </c>
      <c r="AC84" s="28">
        <v>1192000</v>
      </c>
      <c r="AD84" s="28">
        <v>1182000</v>
      </c>
      <c r="AE84" s="28">
        <v>1248000</v>
      </c>
      <c r="AF84" s="28">
        <v>1248000</v>
      </c>
      <c r="AG84" s="28">
        <v>1234000</v>
      </c>
      <c r="AH84" s="28">
        <v>1192000</v>
      </c>
      <c r="AI84" s="28">
        <v>1178000</v>
      </c>
      <c r="AJ84" s="28">
        <v>1178000</v>
      </c>
      <c r="AK84" s="28">
        <v>1178000</v>
      </c>
      <c r="AL84" s="28">
        <v>1110000</v>
      </c>
      <c r="AM84" s="28">
        <v>1044000</v>
      </c>
      <c r="AN84" s="28">
        <v>1044000</v>
      </c>
      <c r="AO84" s="28">
        <v>1110000</v>
      </c>
      <c r="AP84" s="28">
        <v>1521000</v>
      </c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</row>
    <row r="85" spans="1:68" ht="15" x14ac:dyDescent="0.2">
      <c r="A85" s="26" t="s">
        <v>61</v>
      </c>
      <c r="B85" s="27">
        <v>1019000</v>
      </c>
      <c r="C85" s="28">
        <v>3525000</v>
      </c>
      <c r="D85" s="28">
        <v>2268000</v>
      </c>
      <c r="E85" s="28">
        <v>4776000</v>
      </c>
      <c r="F85" s="28">
        <v>3640000</v>
      </c>
      <c r="G85" s="28">
        <v>6734000</v>
      </c>
      <c r="H85" s="28">
        <v>1822000</v>
      </c>
      <c r="I85" s="28">
        <v>4242000</v>
      </c>
      <c r="J85" s="28">
        <v>1057000</v>
      </c>
      <c r="K85" s="28">
        <v>825000</v>
      </c>
      <c r="L85" s="28">
        <v>1325000</v>
      </c>
      <c r="M85" s="28">
        <v>1432000</v>
      </c>
      <c r="N85" s="28">
        <v>1463000</v>
      </c>
      <c r="O85" s="28">
        <v>1660000</v>
      </c>
      <c r="P85" s="28">
        <v>1660000</v>
      </c>
      <c r="Q85" s="28">
        <v>1429000</v>
      </c>
      <c r="R85" s="28">
        <v>1823000</v>
      </c>
      <c r="S85" s="28">
        <v>1061000</v>
      </c>
      <c r="T85" s="28">
        <v>1676000</v>
      </c>
      <c r="U85" s="28">
        <v>1835000</v>
      </c>
      <c r="V85" s="28">
        <v>1676000</v>
      </c>
      <c r="W85" s="28">
        <v>1732000</v>
      </c>
      <c r="X85" s="28">
        <v>1692000</v>
      </c>
      <c r="Y85" s="28">
        <v>1783000</v>
      </c>
      <c r="Z85" s="28">
        <v>1221000</v>
      </c>
      <c r="AA85" s="28">
        <v>1221000</v>
      </c>
      <c r="AB85" s="28">
        <v>1221000</v>
      </c>
      <c r="AC85" s="28">
        <v>1221000</v>
      </c>
      <c r="AD85" s="28">
        <v>1210000</v>
      </c>
      <c r="AE85" s="28">
        <v>1278000</v>
      </c>
      <c r="AF85" s="28">
        <v>1278000</v>
      </c>
      <c r="AG85" s="28">
        <v>1264000</v>
      </c>
      <c r="AH85" s="28">
        <v>1221000</v>
      </c>
      <c r="AI85" s="28">
        <v>1206000</v>
      </c>
      <c r="AJ85" s="28">
        <v>1206000</v>
      </c>
      <c r="AK85" s="28">
        <v>1206000</v>
      </c>
      <c r="AL85" s="28">
        <v>1131000</v>
      </c>
      <c r="AM85" s="28">
        <v>1062000</v>
      </c>
      <c r="AN85" s="28">
        <v>1062000</v>
      </c>
      <c r="AO85" s="28">
        <v>1131000</v>
      </c>
      <c r="AP85" s="28">
        <v>1560000</v>
      </c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</row>
    <row r="86" spans="1:68" ht="15" x14ac:dyDescent="0.2">
      <c r="A86" s="26" t="s">
        <v>62</v>
      </c>
      <c r="B86" s="27">
        <v>1049000</v>
      </c>
      <c r="C86" s="28">
        <v>3831000</v>
      </c>
      <c r="D86" s="28">
        <v>2449000</v>
      </c>
      <c r="E86" s="28">
        <v>5208000</v>
      </c>
      <c r="F86" s="28">
        <v>3958000</v>
      </c>
      <c r="G86" s="28">
        <v>7363000</v>
      </c>
      <c r="H86" s="28">
        <v>1921000</v>
      </c>
      <c r="I86" s="28">
        <v>4690000</v>
      </c>
      <c r="J86" s="28">
        <v>1112000</v>
      </c>
      <c r="K86" s="28">
        <v>857000</v>
      </c>
      <c r="L86" s="28">
        <v>1403000</v>
      </c>
      <c r="M86" s="28">
        <v>1519000</v>
      </c>
      <c r="N86" s="28">
        <v>1550000</v>
      </c>
      <c r="O86" s="28">
        <v>1765000</v>
      </c>
      <c r="P86" s="28">
        <v>1765000</v>
      </c>
      <c r="Q86" s="28">
        <v>1517000</v>
      </c>
      <c r="R86" s="28">
        <v>1950000</v>
      </c>
      <c r="S86" s="28">
        <v>1113000</v>
      </c>
      <c r="T86" s="28">
        <v>1787000</v>
      </c>
      <c r="U86" s="28">
        <v>1962000</v>
      </c>
      <c r="V86" s="28">
        <v>1787000</v>
      </c>
      <c r="W86" s="28">
        <v>1849000</v>
      </c>
      <c r="X86" s="28">
        <v>1805000</v>
      </c>
      <c r="Y86" s="28">
        <v>1905000</v>
      </c>
      <c r="Z86" s="28">
        <v>1292000</v>
      </c>
      <c r="AA86" s="28">
        <v>1292000</v>
      </c>
      <c r="AB86" s="28">
        <v>1292000</v>
      </c>
      <c r="AC86" s="28">
        <v>1292000</v>
      </c>
      <c r="AD86" s="28">
        <v>1280000</v>
      </c>
      <c r="AE86" s="28">
        <v>1355000</v>
      </c>
      <c r="AF86" s="28">
        <v>1355000</v>
      </c>
      <c r="AG86" s="28">
        <v>1339000</v>
      </c>
      <c r="AH86" s="28">
        <v>1292000</v>
      </c>
      <c r="AI86" s="28">
        <v>1276000</v>
      </c>
      <c r="AJ86" s="28">
        <v>1276000</v>
      </c>
      <c r="AK86" s="28">
        <v>1276000</v>
      </c>
      <c r="AL86" s="28">
        <v>1184000</v>
      </c>
      <c r="AM86" s="28">
        <v>1108000</v>
      </c>
      <c r="AN86" s="28">
        <v>1108000</v>
      </c>
      <c r="AO86" s="28">
        <v>1184000</v>
      </c>
      <c r="AP86" s="28">
        <v>1658000</v>
      </c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</row>
    <row r="87" spans="1:68" ht="15" x14ac:dyDescent="0.2">
      <c r="A87" s="26" t="s">
        <v>63</v>
      </c>
      <c r="B87" s="27">
        <v>1079000</v>
      </c>
      <c r="C87" s="28">
        <v>4138000</v>
      </c>
      <c r="D87" s="28">
        <v>2629000</v>
      </c>
      <c r="E87" s="28">
        <v>5641000</v>
      </c>
      <c r="F87" s="28">
        <v>4277000</v>
      </c>
      <c r="G87" s="28">
        <v>7993000</v>
      </c>
      <c r="H87" s="28">
        <v>2020000</v>
      </c>
      <c r="I87" s="28">
        <v>5139000</v>
      </c>
      <c r="J87" s="28">
        <v>1167000</v>
      </c>
      <c r="K87" s="28">
        <v>889000</v>
      </c>
      <c r="L87" s="28">
        <v>1481000</v>
      </c>
      <c r="M87" s="28">
        <v>1606000</v>
      </c>
      <c r="N87" s="28">
        <v>1637000</v>
      </c>
      <c r="O87" s="28">
        <v>1869000</v>
      </c>
      <c r="P87" s="28">
        <v>1869000</v>
      </c>
      <c r="Q87" s="28">
        <v>1605000</v>
      </c>
      <c r="R87" s="28">
        <v>2076000</v>
      </c>
      <c r="S87" s="28">
        <v>1164000</v>
      </c>
      <c r="T87" s="28">
        <v>1898000</v>
      </c>
      <c r="U87" s="28">
        <v>2089000</v>
      </c>
      <c r="V87" s="28">
        <v>1898000</v>
      </c>
      <c r="W87" s="28">
        <v>1967000</v>
      </c>
      <c r="X87" s="28">
        <v>1918000</v>
      </c>
      <c r="Y87" s="28">
        <v>2027000</v>
      </c>
      <c r="Z87" s="28">
        <v>1363000</v>
      </c>
      <c r="AA87" s="28">
        <v>1363000</v>
      </c>
      <c r="AB87" s="28">
        <v>1363000</v>
      </c>
      <c r="AC87" s="28">
        <v>1363000</v>
      </c>
      <c r="AD87" s="28">
        <v>1350000</v>
      </c>
      <c r="AE87" s="28">
        <v>1432000</v>
      </c>
      <c r="AF87" s="28">
        <v>1432000</v>
      </c>
      <c r="AG87" s="28">
        <v>1415000</v>
      </c>
      <c r="AH87" s="28">
        <v>1363000</v>
      </c>
      <c r="AI87" s="28">
        <v>1346000</v>
      </c>
      <c r="AJ87" s="28">
        <v>1346000</v>
      </c>
      <c r="AK87" s="28">
        <v>1346000</v>
      </c>
      <c r="AL87" s="28">
        <v>1237000</v>
      </c>
      <c r="AM87" s="28">
        <v>1153000</v>
      </c>
      <c r="AN87" s="28">
        <v>1153000</v>
      </c>
      <c r="AO87" s="28">
        <v>1237000</v>
      </c>
      <c r="AP87" s="28">
        <v>1756000</v>
      </c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</row>
    <row r="88" spans="1:68" ht="18" x14ac:dyDescent="0.25">
      <c r="A88" s="34" t="s">
        <v>79</v>
      </c>
      <c r="B88" s="35"/>
      <c r="C88" s="28"/>
      <c r="D88" s="25"/>
      <c r="E88" s="33"/>
      <c r="F88" s="25"/>
      <c r="G88" s="33"/>
      <c r="H88" s="25"/>
      <c r="I88" s="33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</row>
    <row r="89" spans="1:68" ht="18" x14ac:dyDescent="0.25">
      <c r="A89" s="30" t="s">
        <v>80</v>
      </c>
      <c r="B89" s="32"/>
      <c r="C89" s="28"/>
      <c r="D89" s="25"/>
      <c r="E89" s="33"/>
      <c r="F89" s="25"/>
      <c r="G89" s="33"/>
      <c r="H89" s="25"/>
      <c r="I89" s="33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</row>
    <row r="90" spans="1:68" ht="15" x14ac:dyDescent="0.2">
      <c r="A90" s="31" t="s">
        <v>81</v>
      </c>
      <c r="B90" s="28">
        <v>364000</v>
      </c>
      <c r="C90" s="28">
        <v>359000</v>
      </c>
      <c r="D90" s="28">
        <v>211000</v>
      </c>
      <c r="E90" s="33"/>
      <c r="F90" s="28">
        <v>373000</v>
      </c>
      <c r="G90" s="33"/>
      <c r="H90" s="28">
        <v>383000</v>
      </c>
      <c r="I90" s="33"/>
      <c r="J90" s="28">
        <v>80000</v>
      </c>
      <c r="K90" s="28">
        <v>53000</v>
      </c>
      <c r="L90" s="28">
        <v>125000</v>
      </c>
      <c r="M90" s="28">
        <v>144000</v>
      </c>
      <c r="N90" s="28">
        <v>157000</v>
      </c>
      <c r="O90" s="28">
        <v>188000</v>
      </c>
      <c r="P90" s="28">
        <v>188000</v>
      </c>
      <c r="Q90" s="28">
        <v>140000</v>
      </c>
      <c r="R90" s="28">
        <v>188000</v>
      </c>
      <c r="S90" s="28">
        <v>94000</v>
      </c>
      <c r="T90" s="28">
        <v>174000</v>
      </c>
      <c r="U90" s="28">
        <v>193000</v>
      </c>
      <c r="V90" s="28">
        <v>174000</v>
      </c>
      <c r="W90" s="28">
        <v>178000</v>
      </c>
      <c r="X90" s="28">
        <v>173000</v>
      </c>
      <c r="Y90" s="28">
        <v>184000</v>
      </c>
      <c r="Z90" s="28">
        <v>100000</v>
      </c>
      <c r="AA90" s="28">
        <v>100000</v>
      </c>
      <c r="AB90" s="28">
        <v>100000</v>
      </c>
      <c r="AC90" s="28">
        <v>100000</v>
      </c>
      <c r="AD90" s="28">
        <v>99000</v>
      </c>
      <c r="AE90" s="28">
        <v>107000</v>
      </c>
      <c r="AF90" s="28">
        <v>107000</v>
      </c>
      <c r="AG90" s="28">
        <v>105000</v>
      </c>
      <c r="AH90" s="28">
        <v>100000</v>
      </c>
      <c r="AI90" s="28">
        <v>98000</v>
      </c>
      <c r="AJ90" s="28">
        <v>98000</v>
      </c>
      <c r="AK90" s="28">
        <v>98000</v>
      </c>
      <c r="AL90" s="28">
        <v>121000</v>
      </c>
      <c r="AM90" s="28">
        <v>113000</v>
      </c>
      <c r="AN90" s="28">
        <v>113000</v>
      </c>
      <c r="AO90" s="28">
        <v>121000</v>
      </c>
      <c r="AP90" s="28">
        <v>163000</v>
      </c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</row>
    <row r="91" spans="1:68" ht="15" x14ac:dyDescent="0.2">
      <c r="A91" s="26" t="s">
        <v>82</v>
      </c>
      <c r="B91" s="27">
        <v>382000</v>
      </c>
      <c r="C91" s="28">
        <v>383000</v>
      </c>
      <c r="D91" s="28">
        <v>225000</v>
      </c>
      <c r="E91" s="33"/>
      <c r="F91" s="28">
        <v>398000</v>
      </c>
      <c r="G91" s="33"/>
      <c r="H91" s="28">
        <v>404000</v>
      </c>
      <c r="I91" s="33"/>
      <c r="J91" s="28">
        <v>85000</v>
      </c>
      <c r="K91" s="28">
        <v>56000</v>
      </c>
      <c r="L91" s="28">
        <v>133000</v>
      </c>
      <c r="M91" s="28">
        <v>153000</v>
      </c>
      <c r="N91" s="28">
        <v>167000</v>
      </c>
      <c r="O91" s="28">
        <v>200000</v>
      </c>
      <c r="P91" s="28">
        <v>200000</v>
      </c>
      <c r="Q91" s="28">
        <v>148000</v>
      </c>
      <c r="R91" s="28">
        <v>200000</v>
      </c>
      <c r="S91" s="28">
        <v>99000</v>
      </c>
      <c r="T91" s="28">
        <v>185000</v>
      </c>
      <c r="U91" s="28">
        <v>205000</v>
      </c>
      <c r="V91" s="28">
        <v>185000</v>
      </c>
      <c r="W91" s="28">
        <v>189000</v>
      </c>
      <c r="X91" s="28">
        <v>184000</v>
      </c>
      <c r="Y91" s="28">
        <v>196000</v>
      </c>
      <c r="Z91" s="28">
        <v>107000</v>
      </c>
      <c r="AA91" s="28">
        <v>107000</v>
      </c>
      <c r="AB91" s="28">
        <v>107000</v>
      </c>
      <c r="AC91" s="28">
        <v>107000</v>
      </c>
      <c r="AD91" s="28">
        <v>105000</v>
      </c>
      <c r="AE91" s="28">
        <v>114000</v>
      </c>
      <c r="AF91" s="28">
        <v>114000</v>
      </c>
      <c r="AG91" s="28">
        <v>112000</v>
      </c>
      <c r="AH91" s="28">
        <v>107000</v>
      </c>
      <c r="AI91" s="28">
        <v>105000</v>
      </c>
      <c r="AJ91" s="28">
        <v>105000</v>
      </c>
      <c r="AK91" s="28">
        <v>105000</v>
      </c>
      <c r="AL91" s="28">
        <v>128000</v>
      </c>
      <c r="AM91" s="28">
        <v>120000</v>
      </c>
      <c r="AN91" s="28">
        <v>120000</v>
      </c>
      <c r="AO91" s="28">
        <v>128000</v>
      </c>
      <c r="AP91" s="28">
        <v>173000</v>
      </c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</row>
    <row r="92" spans="1:68" ht="15" x14ac:dyDescent="0.2">
      <c r="A92" s="26" t="s">
        <v>83</v>
      </c>
      <c r="B92" s="27">
        <v>394000</v>
      </c>
      <c r="C92" s="28">
        <v>399000</v>
      </c>
      <c r="D92" s="28">
        <v>235000</v>
      </c>
      <c r="E92" s="33"/>
      <c r="F92" s="28">
        <v>414000</v>
      </c>
      <c r="G92" s="33"/>
      <c r="H92" s="28">
        <v>418000</v>
      </c>
      <c r="I92" s="33"/>
      <c r="J92" s="28">
        <v>88000</v>
      </c>
      <c r="K92" s="28">
        <v>58000</v>
      </c>
      <c r="L92" s="28">
        <v>138000</v>
      </c>
      <c r="M92" s="28">
        <v>159000</v>
      </c>
      <c r="N92" s="28">
        <v>173000</v>
      </c>
      <c r="O92" s="28">
        <v>207000</v>
      </c>
      <c r="P92" s="28">
        <v>207000</v>
      </c>
      <c r="Q92" s="28">
        <v>154000</v>
      </c>
      <c r="R92" s="28">
        <v>208000</v>
      </c>
      <c r="S92" s="28">
        <v>103000</v>
      </c>
      <c r="T92" s="28">
        <v>192000</v>
      </c>
      <c r="U92" s="28">
        <v>213000</v>
      </c>
      <c r="V92" s="28">
        <v>192000</v>
      </c>
      <c r="W92" s="28">
        <v>197000</v>
      </c>
      <c r="X92" s="28">
        <v>191000</v>
      </c>
      <c r="Y92" s="28">
        <v>203000</v>
      </c>
      <c r="Z92" s="28">
        <v>111000</v>
      </c>
      <c r="AA92" s="28">
        <v>111000</v>
      </c>
      <c r="AB92" s="28">
        <v>111000</v>
      </c>
      <c r="AC92" s="28">
        <v>111000</v>
      </c>
      <c r="AD92" s="28">
        <v>109000</v>
      </c>
      <c r="AE92" s="28">
        <v>118000</v>
      </c>
      <c r="AF92" s="28">
        <v>118000</v>
      </c>
      <c r="AG92" s="28">
        <v>116000</v>
      </c>
      <c r="AH92" s="28">
        <v>111000</v>
      </c>
      <c r="AI92" s="28">
        <v>109000</v>
      </c>
      <c r="AJ92" s="28">
        <v>109000</v>
      </c>
      <c r="AK92" s="28">
        <v>109000</v>
      </c>
      <c r="AL92" s="28">
        <v>133000</v>
      </c>
      <c r="AM92" s="28">
        <v>124000</v>
      </c>
      <c r="AN92" s="28">
        <v>124000</v>
      </c>
      <c r="AO92" s="28">
        <v>133000</v>
      </c>
      <c r="AP92" s="28">
        <v>180000</v>
      </c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</row>
    <row r="93" spans="1:68" ht="15" x14ac:dyDescent="0.2">
      <c r="A93" s="26" t="s">
        <v>84</v>
      </c>
      <c r="B93" s="27">
        <v>454000</v>
      </c>
      <c r="C93" s="28">
        <v>479000</v>
      </c>
      <c r="D93" s="28">
        <v>282000</v>
      </c>
      <c r="E93" s="33"/>
      <c r="F93" s="28">
        <v>498000</v>
      </c>
      <c r="G93" s="33"/>
      <c r="H93" s="28">
        <v>488000</v>
      </c>
      <c r="I93" s="33"/>
      <c r="J93" s="28">
        <v>105000</v>
      </c>
      <c r="K93" s="28">
        <v>69000</v>
      </c>
      <c r="L93" s="28">
        <v>164000</v>
      </c>
      <c r="M93" s="28">
        <v>188000</v>
      </c>
      <c r="N93" s="28">
        <v>204000</v>
      </c>
      <c r="O93" s="28">
        <v>245000</v>
      </c>
      <c r="P93" s="28">
        <v>245000</v>
      </c>
      <c r="Q93" s="28">
        <v>183000</v>
      </c>
      <c r="R93" s="28">
        <v>247000</v>
      </c>
      <c r="S93" s="28">
        <v>122000</v>
      </c>
      <c r="T93" s="28">
        <v>228000</v>
      </c>
      <c r="U93" s="28">
        <v>253000</v>
      </c>
      <c r="V93" s="28">
        <v>228000</v>
      </c>
      <c r="W93" s="28">
        <v>234000</v>
      </c>
      <c r="X93" s="28">
        <v>227000</v>
      </c>
      <c r="Y93" s="28">
        <v>242000</v>
      </c>
      <c r="Z93" s="28">
        <v>132000</v>
      </c>
      <c r="AA93" s="28">
        <v>132000</v>
      </c>
      <c r="AB93" s="28">
        <v>132000</v>
      </c>
      <c r="AC93" s="28">
        <v>132000</v>
      </c>
      <c r="AD93" s="28">
        <v>130000</v>
      </c>
      <c r="AE93" s="28">
        <v>141000</v>
      </c>
      <c r="AF93" s="28">
        <v>141000</v>
      </c>
      <c r="AG93" s="28">
        <v>139000</v>
      </c>
      <c r="AH93" s="28">
        <v>132000</v>
      </c>
      <c r="AI93" s="28">
        <v>130000</v>
      </c>
      <c r="AJ93" s="28">
        <v>130000</v>
      </c>
      <c r="AK93" s="28">
        <v>130000</v>
      </c>
      <c r="AL93" s="28">
        <v>156000</v>
      </c>
      <c r="AM93" s="28">
        <v>145000</v>
      </c>
      <c r="AN93" s="28">
        <v>145000</v>
      </c>
      <c r="AO93" s="28">
        <v>156000</v>
      </c>
      <c r="AP93" s="28">
        <v>213000</v>
      </c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</row>
    <row r="94" spans="1:68" ht="15" x14ac:dyDescent="0.2">
      <c r="A94" s="26" t="s">
        <v>85</v>
      </c>
      <c r="B94" s="27">
        <v>634000</v>
      </c>
      <c r="C94" s="28">
        <v>720000</v>
      </c>
      <c r="D94" s="28">
        <v>423000</v>
      </c>
      <c r="E94" s="33"/>
      <c r="F94" s="28">
        <v>747000</v>
      </c>
      <c r="G94" s="33"/>
      <c r="H94" s="28">
        <v>698000</v>
      </c>
      <c r="I94" s="33"/>
      <c r="J94" s="28">
        <v>155000</v>
      </c>
      <c r="K94" s="28">
        <v>101000</v>
      </c>
      <c r="L94" s="28">
        <v>241000</v>
      </c>
      <c r="M94" s="28">
        <v>277000</v>
      </c>
      <c r="N94" s="28">
        <v>299000</v>
      </c>
      <c r="O94" s="28">
        <v>358000</v>
      </c>
      <c r="P94" s="28">
        <v>358000</v>
      </c>
      <c r="Q94" s="28">
        <v>269000</v>
      </c>
      <c r="R94" s="28">
        <v>366000</v>
      </c>
      <c r="S94" s="28">
        <v>178000</v>
      </c>
      <c r="T94" s="28">
        <v>336000</v>
      </c>
      <c r="U94" s="28">
        <v>374000</v>
      </c>
      <c r="V94" s="28">
        <v>336000</v>
      </c>
      <c r="W94" s="28">
        <v>345000</v>
      </c>
      <c r="X94" s="28">
        <v>336000</v>
      </c>
      <c r="Y94" s="28">
        <v>357000</v>
      </c>
      <c r="Z94" s="28">
        <v>196000</v>
      </c>
      <c r="AA94" s="28">
        <v>196000</v>
      </c>
      <c r="AB94" s="28">
        <v>196000</v>
      </c>
      <c r="AC94" s="28">
        <v>196000</v>
      </c>
      <c r="AD94" s="28">
        <v>193000</v>
      </c>
      <c r="AE94" s="28">
        <v>209000</v>
      </c>
      <c r="AF94" s="28">
        <v>209000</v>
      </c>
      <c r="AG94" s="28">
        <v>206000</v>
      </c>
      <c r="AH94" s="28">
        <v>196000</v>
      </c>
      <c r="AI94" s="28">
        <v>192000</v>
      </c>
      <c r="AJ94" s="28">
        <v>192000</v>
      </c>
      <c r="AK94" s="28">
        <v>192000</v>
      </c>
      <c r="AL94" s="28">
        <v>226000</v>
      </c>
      <c r="AM94" s="28">
        <v>210000</v>
      </c>
      <c r="AN94" s="28">
        <v>210000</v>
      </c>
      <c r="AO94" s="28">
        <v>226000</v>
      </c>
      <c r="AP94" s="28">
        <v>314000</v>
      </c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</row>
    <row r="95" spans="1:68" ht="15" x14ac:dyDescent="0.2">
      <c r="A95" s="26" t="s">
        <v>86</v>
      </c>
      <c r="B95" s="27">
        <v>669000</v>
      </c>
      <c r="C95" s="28">
        <v>768000</v>
      </c>
      <c r="D95" s="28">
        <v>452000</v>
      </c>
      <c r="E95" s="33"/>
      <c r="F95" s="28">
        <v>797000</v>
      </c>
      <c r="G95" s="33"/>
      <c r="H95" s="28">
        <v>739000</v>
      </c>
      <c r="I95" s="33"/>
      <c r="J95" s="28">
        <v>165000</v>
      </c>
      <c r="K95" s="28">
        <v>107000</v>
      </c>
      <c r="L95" s="28">
        <v>257000</v>
      </c>
      <c r="M95" s="28">
        <v>294000</v>
      </c>
      <c r="N95" s="28">
        <v>318000</v>
      </c>
      <c r="O95" s="28">
        <v>381000</v>
      </c>
      <c r="P95" s="28">
        <v>381000</v>
      </c>
      <c r="Q95" s="28">
        <v>286000</v>
      </c>
      <c r="R95" s="28">
        <v>389000</v>
      </c>
      <c r="S95" s="28">
        <v>189000</v>
      </c>
      <c r="T95" s="28">
        <v>358000</v>
      </c>
      <c r="U95" s="28">
        <v>398000</v>
      </c>
      <c r="V95" s="28">
        <v>358000</v>
      </c>
      <c r="W95" s="28">
        <v>368000</v>
      </c>
      <c r="X95" s="28">
        <v>357000</v>
      </c>
      <c r="Y95" s="28">
        <v>380000</v>
      </c>
      <c r="Z95" s="28">
        <v>208000</v>
      </c>
      <c r="AA95" s="28">
        <v>208000</v>
      </c>
      <c r="AB95" s="28">
        <v>208000</v>
      </c>
      <c r="AC95" s="28">
        <v>208000</v>
      </c>
      <c r="AD95" s="28">
        <v>206000</v>
      </c>
      <c r="AE95" s="28">
        <v>223000</v>
      </c>
      <c r="AF95" s="28">
        <v>223000</v>
      </c>
      <c r="AG95" s="28">
        <v>219000</v>
      </c>
      <c r="AH95" s="28">
        <v>208000</v>
      </c>
      <c r="AI95" s="28">
        <v>205000</v>
      </c>
      <c r="AJ95" s="28">
        <v>205000</v>
      </c>
      <c r="AK95" s="28">
        <v>205000</v>
      </c>
      <c r="AL95" s="28">
        <v>240000</v>
      </c>
      <c r="AM95" s="28">
        <v>222000</v>
      </c>
      <c r="AN95" s="28">
        <v>222000</v>
      </c>
      <c r="AO95" s="28">
        <v>240000</v>
      </c>
      <c r="AP95" s="28">
        <v>334000</v>
      </c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</row>
    <row r="96" spans="1:68" ht="15" x14ac:dyDescent="0.2">
      <c r="A96" s="26" t="s">
        <v>87</v>
      </c>
      <c r="B96" s="27">
        <v>694000</v>
      </c>
      <c r="C96" s="28">
        <v>800000</v>
      </c>
      <c r="D96" s="28">
        <v>471000</v>
      </c>
      <c r="E96" s="33"/>
      <c r="F96" s="28">
        <v>831000</v>
      </c>
      <c r="G96" s="33"/>
      <c r="H96" s="28">
        <v>767000</v>
      </c>
      <c r="I96" s="33"/>
      <c r="J96" s="28">
        <v>172000</v>
      </c>
      <c r="K96" s="28">
        <v>111000</v>
      </c>
      <c r="L96" s="28">
        <v>267000</v>
      </c>
      <c r="M96" s="28">
        <v>306000</v>
      </c>
      <c r="N96" s="28">
        <v>330000</v>
      </c>
      <c r="O96" s="28">
        <v>396000</v>
      </c>
      <c r="P96" s="28">
        <v>396000</v>
      </c>
      <c r="Q96" s="28">
        <v>298000</v>
      </c>
      <c r="R96" s="28">
        <v>405000</v>
      </c>
      <c r="S96" s="28">
        <v>197000</v>
      </c>
      <c r="T96" s="28">
        <v>372000</v>
      </c>
      <c r="U96" s="28">
        <v>414000</v>
      </c>
      <c r="V96" s="28">
        <v>372000</v>
      </c>
      <c r="W96" s="28">
        <v>382000</v>
      </c>
      <c r="X96" s="28">
        <v>372000</v>
      </c>
      <c r="Y96" s="28">
        <v>396000</v>
      </c>
      <c r="Z96" s="28">
        <v>217000</v>
      </c>
      <c r="AA96" s="28">
        <v>217000</v>
      </c>
      <c r="AB96" s="28">
        <v>217000</v>
      </c>
      <c r="AC96" s="28">
        <v>217000</v>
      </c>
      <c r="AD96" s="28">
        <v>214000</v>
      </c>
      <c r="AE96" s="28">
        <v>232000</v>
      </c>
      <c r="AF96" s="28">
        <v>232000</v>
      </c>
      <c r="AG96" s="28">
        <v>228000</v>
      </c>
      <c r="AH96" s="28">
        <v>217000</v>
      </c>
      <c r="AI96" s="28">
        <v>213000</v>
      </c>
      <c r="AJ96" s="28">
        <v>213000</v>
      </c>
      <c r="AK96" s="28">
        <v>213000</v>
      </c>
      <c r="AL96" s="28">
        <v>249000</v>
      </c>
      <c r="AM96" s="28">
        <v>231000</v>
      </c>
      <c r="AN96" s="28">
        <v>231000</v>
      </c>
      <c r="AO96" s="28">
        <v>249000</v>
      </c>
      <c r="AP96" s="28">
        <v>347000</v>
      </c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</row>
    <row r="97" spans="1:68" ht="15" x14ac:dyDescent="0.2">
      <c r="A97" s="26" t="s">
        <v>88</v>
      </c>
      <c r="B97" s="27">
        <v>814000</v>
      </c>
      <c r="C97" s="28">
        <v>961000</v>
      </c>
      <c r="D97" s="28">
        <v>565000</v>
      </c>
      <c r="E97" s="33"/>
      <c r="F97" s="28">
        <v>997000</v>
      </c>
      <c r="G97" s="33"/>
      <c r="H97" s="28">
        <v>907000</v>
      </c>
      <c r="I97" s="33"/>
      <c r="J97" s="28">
        <v>206000</v>
      </c>
      <c r="K97" s="28">
        <v>133000</v>
      </c>
      <c r="L97" s="28">
        <v>318000</v>
      </c>
      <c r="M97" s="28">
        <v>365000</v>
      </c>
      <c r="N97" s="28">
        <v>393000</v>
      </c>
      <c r="O97" s="28">
        <v>472000</v>
      </c>
      <c r="P97" s="28">
        <v>472000</v>
      </c>
      <c r="Q97" s="28">
        <v>355000</v>
      </c>
      <c r="R97" s="28">
        <v>484000</v>
      </c>
      <c r="S97" s="28">
        <v>234000</v>
      </c>
      <c r="T97" s="28">
        <v>444000</v>
      </c>
      <c r="U97" s="28">
        <v>494000</v>
      </c>
      <c r="V97" s="28">
        <v>444000</v>
      </c>
      <c r="W97" s="28">
        <v>457000</v>
      </c>
      <c r="X97" s="28">
        <v>444000</v>
      </c>
      <c r="Y97" s="28">
        <v>473000</v>
      </c>
      <c r="Z97" s="28">
        <v>259000</v>
      </c>
      <c r="AA97" s="28">
        <v>259000</v>
      </c>
      <c r="AB97" s="28">
        <v>259000</v>
      </c>
      <c r="AC97" s="28">
        <v>259000</v>
      </c>
      <c r="AD97" s="28">
        <v>256000</v>
      </c>
      <c r="AE97" s="28">
        <v>278000</v>
      </c>
      <c r="AF97" s="28">
        <v>278000</v>
      </c>
      <c r="AG97" s="28">
        <v>273000</v>
      </c>
      <c r="AH97" s="28">
        <v>259000</v>
      </c>
      <c r="AI97" s="28">
        <v>255000</v>
      </c>
      <c r="AJ97" s="28">
        <v>255000</v>
      </c>
      <c r="AK97" s="28">
        <v>255000</v>
      </c>
      <c r="AL97" s="28">
        <v>296000</v>
      </c>
      <c r="AM97" s="28">
        <v>274000</v>
      </c>
      <c r="AN97" s="28">
        <v>274000</v>
      </c>
      <c r="AO97" s="28">
        <v>296000</v>
      </c>
      <c r="AP97" s="28">
        <v>414000</v>
      </c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</row>
    <row r="98" spans="1:68" ht="18" x14ac:dyDescent="0.25">
      <c r="A98" s="30" t="s">
        <v>89</v>
      </c>
      <c r="B98" s="32"/>
      <c r="C98" s="28"/>
      <c r="D98" s="25"/>
      <c r="E98" s="33"/>
      <c r="F98" s="25"/>
      <c r="G98" s="33"/>
      <c r="H98" s="25"/>
      <c r="I98" s="33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</row>
    <row r="99" spans="1:68" ht="15" x14ac:dyDescent="0.2">
      <c r="A99" s="31" t="s">
        <v>81</v>
      </c>
      <c r="B99" s="28">
        <v>375000</v>
      </c>
      <c r="C99" s="28">
        <v>405000</v>
      </c>
      <c r="D99" s="28">
        <v>238000</v>
      </c>
      <c r="E99" s="33"/>
      <c r="F99" s="28">
        <v>420000</v>
      </c>
      <c r="G99" s="33"/>
      <c r="H99" s="28">
        <v>400000</v>
      </c>
      <c r="I99" s="33"/>
      <c r="J99" s="28">
        <v>88000</v>
      </c>
      <c r="K99" s="28">
        <v>58000</v>
      </c>
      <c r="L99" s="28">
        <v>138000</v>
      </c>
      <c r="M99" s="28">
        <v>158000</v>
      </c>
      <c r="N99" s="28">
        <v>171000</v>
      </c>
      <c r="O99" s="28">
        <v>205000</v>
      </c>
      <c r="P99" s="28">
        <v>205000</v>
      </c>
      <c r="Q99" s="28">
        <v>153000</v>
      </c>
      <c r="R99" s="28">
        <v>208000</v>
      </c>
      <c r="S99" s="28">
        <v>102000</v>
      </c>
      <c r="T99" s="28">
        <v>192000</v>
      </c>
      <c r="U99" s="28">
        <v>213000</v>
      </c>
      <c r="V99" s="28">
        <v>192000</v>
      </c>
      <c r="W99" s="28">
        <v>197000</v>
      </c>
      <c r="X99" s="28">
        <v>191000</v>
      </c>
      <c r="Y99" s="28">
        <v>203000</v>
      </c>
      <c r="Z99" s="28">
        <v>111000</v>
      </c>
      <c r="AA99" s="28">
        <v>111000</v>
      </c>
      <c r="AB99" s="28">
        <v>111000</v>
      </c>
      <c r="AC99" s="28">
        <v>111000</v>
      </c>
      <c r="AD99" s="28">
        <v>110000</v>
      </c>
      <c r="AE99" s="28">
        <v>119000</v>
      </c>
      <c r="AF99" s="28">
        <v>119000</v>
      </c>
      <c r="AG99" s="28">
        <v>117000</v>
      </c>
      <c r="AH99" s="28">
        <v>111000</v>
      </c>
      <c r="AI99" s="28">
        <v>109000</v>
      </c>
      <c r="AJ99" s="28">
        <v>109000</v>
      </c>
      <c r="AK99" s="28">
        <v>109000</v>
      </c>
      <c r="AL99" s="28">
        <v>131000</v>
      </c>
      <c r="AM99" s="28">
        <v>121000</v>
      </c>
      <c r="AN99" s="28">
        <v>121000</v>
      </c>
      <c r="AO99" s="28">
        <v>131000</v>
      </c>
      <c r="AP99" s="28">
        <v>179000</v>
      </c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</row>
    <row r="100" spans="1:68" ht="15" x14ac:dyDescent="0.2">
      <c r="A100" s="26" t="s">
        <v>82</v>
      </c>
      <c r="B100" s="27">
        <v>394000</v>
      </c>
      <c r="C100" s="28">
        <v>432000</v>
      </c>
      <c r="D100" s="28">
        <v>254000</v>
      </c>
      <c r="E100" s="33"/>
      <c r="F100" s="28">
        <v>448000</v>
      </c>
      <c r="G100" s="33"/>
      <c r="H100" s="28">
        <v>422000</v>
      </c>
      <c r="I100" s="33"/>
      <c r="J100" s="28">
        <v>94000</v>
      </c>
      <c r="K100" s="28">
        <v>61000</v>
      </c>
      <c r="L100" s="28">
        <v>146000</v>
      </c>
      <c r="M100" s="28">
        <v>168000</v>
      </c>
      <c r="N100" s="28">
        <v>182000</v>
      </c>
      <c r="O100" s="28">
        <v>218000</v>
      </c>
      <c r="P100" s="28">
        <v>218000</v>
      </c>
      <c r="Q100" s="28">
        <v>163000</v>
      </c>
      <c r="R100" s="28">
        <v>221000</v>
      </c>
      <c r="S100" s="28">
        <v>108000</v>
      </c>
      <c r="T100" s="28">
        <v>203000</v>
      </c>
      <c r="U100" s="28">
        <v>226000</v>
      </c>
      <c r="V100" s="28">
        <v>203000</v>
      </c>
      <c r="W100" s="28">
        <v>209000</v>
      </c>
      <c r="X100" s="28">
        <v>203000</v>
      </c>
      <c r="Y100" s="28">
        <v>216000</v>
      </c>
      <c r="Z100" s="28">
        <v>118000</v>
      </c>
      <c r="AA100" s="28">
        <v>118000</v>
      </c>
      <c r="AB100" s="28">
        <v>118000</v>
      </c>
      <c r="AC100" s="28">
        <v>118000</v>
      </c>
      <c r="AD100" s="28">
        <v>117000</v>
      </c>
      <c r="AE100" s="28">
        <v>126000</v>
      </c>
      <c r="AF100" s="28">
        <v>126000</v>
      </c>
      <c r="AG100" s="28">
        <v>124000</v>
      </c>
      <c r="AH100" s="28">
        <v>118000</v>
      </c>
      <c r="AI100" s="28">
        <v>116000</v>
      </c>
      <c r="AJ100" s="28">
        <v>116000</v>
      </c>
      <c r="AK100" s="28">
        <v>116000</v>
      </c>
      <c r="AL100" s="28">
        <v>138000</v>
      </c>
      <c r="AM100" s="28">
        <v>128000</v>
      </c>
      <c r="AN100" s="28">
        <v>128000</v>
      </c>
      <c r="AO100" s="28">
        <v>138000</v>
      </c>
      <c r="AP100" s="28">
        <v>190000</v>
      </c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</row>
    <row r="101" spans="1:68" ht="15" x14ac:dyDescent="0.2">
      <c r="A101" s="26" t="s">
        <v>83</v>
      </c>
      <c r="B101" s="27">
        <v>405000</v>
      </c>
      <c r="C101" s="28">
        <v>450000</v>
      </c>
      <c r="D101" s="28">
        <v>265000</v>
      </c>
      <c r="E101" s="33"/>
      <c r="F101" s="28">
        <v>467000</v>
      </c>
      <c r="G101" s="33"/>
      <c r="H101" s="28">
        <v>436000</v>
      </c>
      <c r="I101" s="33"/>
      <c r="J101" s="28">
        <v>98000</v>
      </c>
      <c r="K101" s="28">
        <v>64000</v>
      </c>
      <c r="L101" s="28">
        <v>152000</v>
      </c>
      <c r="M101" s="28">
        <v>174000</v>
      </c>
      <c r="N101" s="28">
        <v>188000</v>
      </c>
      <c r="O101" s="28">
        <v>226000</v>
      </c>
      <c r="P101" s="28">
        <v>226000</v>
      </c>
      <c r="Q101" s="28">
        <v>169000</v>
      </c>
      <c r="R101" s="28">
        <v>230000</v>
      </c>
      <c r="S101" s="28">
        <v>112000</v>
      </c>
      <c r="T101" s="28">
        <v>211000</v>
      </c>
      <c r="U101" s="28">
        <v>235000</v>
      </c>
      <c r="V101" s="28">
        <v>211000</v>
      </c>
      <c r="W101" s="28">
        <v>217000</v>
      </c>
      <c r="X101" s="28">
        <v>211000</v>
      </c>
      <c r="Y101" s="28">
        <v>224000</v>
      </c>
      <c r="Z101" s="28">
        <v>123000</v>
      </c>
      <c r="AA101" s="28">
        <v>123000</v>
      </c>
      <c r="AB101" s="28">
        <v>123000</v>
      </c>
      <c r="AC101" s="28">
        <v>123000</v>
      </c>
      <c r="AD101" s="28">
        <v>121000</v>
      </c>
      <c r="AE101" s="28">
        <v>131000</v>
      </c>
      <c r="AF101" s="28">
        <v>131000</v>
      </c>
      <c r="AG101" s="28">
        <v>129000</v>
      </c>
      <c r="AH101" s="28">
        <v>123000</v>
      </c>
      <c r="AI101" s="28">
        <v>121000</v>
      </c>
      <c r="AJ101" s="28">
        <v>121000</v>
      </c>
      <c r="AK101" s="28">
        <v>121000</v>
      </c>
      <c r="AL101" s="28">
        <v>143000</v>
      </c>
      <c r="AM101" s="28">
        <v>133000</v>
      </c>
      <c r="AN101" s="28">
        <v>133000</v>
      </c>
      <c r="AO101" s="28">
        <v>143000</v>
      </c>
      <c r="AP101" s="28">
        <v>197000</v>
      </c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</row>
    <row r="102" spans="1:68" ht="15" x14ac:dyDescent="0.2">
      <c r="A102" s="26" t="s">
        <v>84</v>
      </c>
      <c r="B102" s="27">
        <v>465000</v>
      </c>
      <c r="C102" s="28">
        <v>540000</v>
      </c>
      <c r="D102" s="28">
        <v>318000</v>
      </c>
      <c r="E102" s="33"/>
      <c r="F102" s="28">
        <v>561000</v>
      </c>
      <c r="G102" s="33"/>
      <c r="H102" s="28">
        <v>508000</v>
      </c>
      <c r="I102" s="33"/>
      <c r="J102" s="28">
        <v>116000</v>
      </c>
      <c r="K102" s="28">
        <v>75000</v>
      </c>
      <c r="L102" s="28">
        <v>180000</v>
      </c>
      <c r="M102" s="28">
        <v>206000</v>
      </c>
      <c r="N102" s="28">
        <v>223000</v>
      </c>
      <c r="O102" s="28">
        <v>267000</v>
      </c>
      <c r="P102" s="28">
        <v>267000</v>
      </c>
      <c r="Q102" s="28">
        <v>201000</v>
      </c>
      <c r="R102" s="28">
        <v>273000</v>
      </c>
      <c r="S102" s="28">
        <v>133000</v>
      </c>
      <c r="T102" s="28">
        <v>251000</v>
      </c>
      <c r="U102" s="28">
        <v>279000</v>
      </c>
      <c r="V102" s="28">
        <v>251000</v>
      </c>
      <c r="W102" s="28">
        <v>258000</v>
      </c>
      <c r="X102" s="28">
        <v>251000</v>
      </c>
      <c r="Y102" s="28">
        <v>267000</v>
      </c>
      <c r="Z102" s="28">
        <v>146000</v>
      </c>
      <c r="AA102" s="28">
        <v>146000</v>
      </c>
      <c r="AB102" s="28">
        <v>146000</v>
      </c>
      <c r="AC102" s="28">
        <v>146000</v>
      </c>
      <c r="AD102" s="28">
        <v>145000</v>
      </c>
      <c r="AE102" s="28">
        <v>157000</v>
      </c>
      <c r="AF102" s="28">
        <v>157000</v>
      </c>
      <c r="AG102" s="28">
        <v>154000</v>
      </c>
      <c r="AH102" s="28">
        <v>146000</v>
      </c>
      <c r="AI102" s="28">
        <v>144000</v>
      </c>
      <c r="AJ102" s="28">
        <v>144000</v>
      </c>
      <c r="AK102" s="28">
        <v>144000</v>
      </c>
      <c r="AL102" s="28">
        <v>168000</v>
      </c>
      <c r="AM102" s="28">
        <v>156000</v>
      </c>
      <c r="AN102" s="28">
        <v>156000</v>
      </c>
      <c r="AO102" s="28">
        <v>168000</v>
      </c>
      <c r="AP102" s="28">
        <v>234000</v>
      </c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</row>
    <row r="103" spans="1:68" ht="15" x14ac:dyDescent="0.2">
      <c r="A103" s="26" t="s">
        <v>85</v>
      </c>
      <c r="B103" s="27">
        <v>645000</v>
      </c>
      <c r="C103" s="28">
        <v>812000</v>
      </c>
      <c r="D103" s="28">
        <v>477000</v>
      </c>
      <c r="E103" s="33"/>
      <c r="F103" s="28">
        <v>842000</v>
      </c>
      <c r="G103" s="33"/>
      <c r="H103" s="28">
        <v>725000</v>
      </c>
      <c r="I103" s="33"/>
      <c r="J103" s="28">
        <v>172000</v>
      </c>
      <c r="K103" s="28">
        <v>110000</v>
      </c>
      <c r="L103" s="28">
        <v>265000</v>
      </c>
      <c r="M103" s="28">
        <v>303000</v>
      </c>
      <c r="N103" s="28">
        <v>325000</v>
      </c>
      <c r="O103" s="28">
        <v>390000</v>
      </c>
      <c r="P103" s="28">
        <v>390000</v>
      </c>
      <c r="Q103" s="28">
        <v>296000</v>
      </c>
      <c r="R103" s="28">
        <v>404000</v>
      </c>
      <c r="S103" s="28">
        <v>194000</v>
      </c>
      <c r="T103" s="28">
        <v>370000</v>
      </c>
      <c r="U103" s="28">
        <v>412000</v>
      </c>
      <c r="V103" s="28">
        <v>370000</v>
      </c>
      <c r="W103" s="28">
        <v>381000</v>
      </c>
      <c r="X103" s="28">
        <v>370000</v>
      </c>
      <c r="Y103" s="28">
        <v>394000</v>
      </c>
      <c r="Z103" s="28">
        <v>217000</v>
      </c>
      <c r="AA103" s="28">
        <v>217000</v>
      </c>
      <c r="AB103" s="28">
        <v>217000</v>
      </c>
      <c r="AC103" s="28">
        <v>217000</v>
      </c>
      <c r="AD103" s="28">
        <v>214000</v>
      </c>
      <c r="AE103" s="28">
        <v>232000</v>
      </c>
      <c r="AF103" s="28">
        <v>232000</v>
      </c>
      <c r="AG103" s="28">
        <v>229000</v>
      </c>
      <c r="AH103" s="28">
        <v>217000</v>
      </c>
      <c r="AI103" s="28">
        <v>213000</v>
      </c>
      <c r="AJ103" s="28">
        <v>213000</v>
      </c>
      <c r="AK103" s="28">
        <v>213000</v>
      </c>
      <c r="AL103" s="28">
        <v>242000</v>
      </c>
      <c r="AM103" s="28">
        <v>224000</v>
      </c>
      <c r="AN103" s="28">
        <v>224000</v>
      </c>
      <c r="AO103" s="28">
        <v>242000</v>
      </c>
      <c r="AP103" s="28">
        <v>343000</v>
      </c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</row>
    <row r="104" spans="1:68" ht="15" x14ac:dyDescent="0.2">
      <c r="A104" s="26" t="s">
        <v>86</v>
      </c>
      <c r="B104" s="27">
        <v>682000</v>
      </c>
      <c r="C104" s="28">
        <v>866000</v>
      </c>
      <c r="D104" s="28">
        <v>509000</v>
      </c>
      <c r="E104" s="33"/>
      <c r="F104" s="28">
        <v>899000</v>
      </c>
      <c r="G104" s="33"/>
      <c r="H104" s="28">
        <v>769000</v>
      </c>
      <c r="I104" s="33"/>
      <c r="J104" s="28">
        <v>183000</v>
      </c>
      <c r="K104" s="28">
        <v>117000</v>
      </c>
      <c r="L104" s="28">
        <v>282000</v>
      </c>
      <c r="M104" s="28">
        <v>322000</v>
      </c>
      <c r="N104" s="28">
        <v>346000</v>
      </c>
      <c r="O104" s="28">
        <v>415000</v>
      </c>
      <c r="P104" s="28">
        <v>415000</v>
      </c>
      <c r="Q104" s="28">
        <v>315000</v>
      </c>
      <c r="R104" s="28">
        <v>430000</v>
      </c>
      <c r="S104" s="28">
        <v>206000</v>
      </c>
      <c r="T104" s="28">
        <v>393000</v>
      </c>
      <c r="U104" s="28">
        <v>439000</v>
      </c>
      <c r="V104" s="28">
        <v>393000</v>
      </c>
      <c r="W104" s="28">
        <v>405000</v>
      </c>
      <c r="X104" s="28">
        <v>394000</v>
      </c>
      <c r="Y104" s="28">
        <v>420000</v>
      </c>
      <c r="Z104" s="28">
        <v>231000</v>
      </c>
      <c r="AA104" s="28">
        <v>231000</v>
      </c>
      <c r="AB104" s="28">
        <v>231000</v>
      </c>
      <c r="AC104" s="28">
        <v>231000</v>
      </c>
      <c r="AD104" s="28">
        <v>228000</v>
      </c>
      <c r="AE104" s="28">
        <v>248000</v>
      </c>
      <c r="AF104" s="28">
        <v>248000</v>
      </c>
      <c r="AG104" s="28">
        <v>244000</v>
      </c>
      <c r="AH104" s="28">
        <v>231000</v>
      </c>
      <c r="AI104" s="28">
        <v>227000</v>
      </c>
      <c r="AJ104" s="28">
        <v>227000</v>
      </c>
      <c r="AK104" s="28">
        <v>227000</v>
      </c>
      <c r="AL104" s="28">
        <v>257000</v>
      </c>
      <c r="AM104" s="28">
        <v>237000</v>
      </c>
      <c r="AN104" s="28">
        <v>237000</v>
      </c>
      <c r="AO104" s="28">
        <v>257000</v>
      </c>
      <c r="AP104" s="28">
        <v>365000</v>
      </c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</row>
    <row r="105" spans="1:68" ht="15" x14ac:dyDescent="0.2">
      <c r="A105" s="26" t="s">
        <v>87</v>
      </c>
      <c r="B105" s="27">
        <v>705000</v>
      </c>
      <c r="C105" s="28">
        <v>902000</v>
      </c>
      <c r="D105" s="28">
        <v>530000</v>
      </c>
      <c r="E105" s="33"/>
      <c r="F105" s="28">
        <v>936000</v>
      </c>
      <c r="G105" s="33"/>
      <c r="H105" s="28">
        <v>798000</v>
      </c>
      <c r="I105" s="33"/>
      <c r="J105" s="28">
        <v>191000</v>
      </c>
      <c r="K105" s="28">
        <v>122000</v>
      </c>
      <c r="L105" s="28">
        <v>293000</v>
      </c>
      <c r="M105" s="28">
        <v>335000</v>
      </c>
      <c r="N105" s="28">
        <v>360000</v>
      </c>
      <c r="O105" s="28">
        <v>431000</v>
      </c>
      <c r="P105" s="28">
        <v>431000</v>
      </c>
      <c r="Q105" s="28">
        <v>327000</v>
      </c>
      <c r="R105" s="28">
        <v>448000</v>
      </c>
      <c r="S105" s="28">
        <v>214000</v>
      </c>
      <c r="T105" s="28">
        <v>409000</v>
      </c>
      <c r="U105" s="28">
        <v>456000</v>
      </c>
      <c r="V105" s="28">
        <v>409000</v>
      </c>
      <c r="W105" s="28">
        <v>422000</v>
      </c>
      <c r="X105" s="28">
        <v>410000</v>
      </c>
      <c r="Y105" s="28">
        <v>437000</v>
      </c>
      <c r="Z105" s="28">
        <v>241000</v>
      </c>
      <c r="AA105" s="28">
        <v>241000</v>
      </c>
      <c r="AB105" s="28">
        <v>241000</v>
      </c>
      <c r="AC105" s="28">
        <v>241000</v>
      </c>
      <c r="AD105" s="28">
        <v>237000</v>
      </c>
      <c r="AE105" s="28">
        <v>258000</v>
      </c>
      <c r="AF105" s="28">
        <v>258000</v>
      </c>
      <c r="AG105" s="28">
        <v>253000</v>
      </c>
      <c r="AH105" s="28">
        <v>241000</v>
      </c>
      <c r="AI105" s="28">
        <v>236000</v>
      </c>
      <c r="AJ105" s="28">
        <v>236000</v>
      </c>
      <c r="AK105" s="28">
        <v>236000</v>
      </c>
      <c r="AL105" s="28">
        <v>267000</v>
      </c>
      <c r="AM105" s="28">
        <v>247000</v>
      </c>
      <c r="AN105" s="28">
        <v>247000</v>
      </c>
      <c r="AO105" s="28">
        <v>267000</v>
      </c>
      <c r="AP105" s="28">
        <v>380000</v>
      </c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</row>
    <row r="106" spans="1:68" ht="15" x14ac:dyDescent="0.2">
      <c r="A106" s="26" t="s">
        <v>88</v>
      </c>
      <c r="B106" s="27">
        <v>825000</v>
      </c>
      <c r="C106" s="28">
        <v>1083000</v>
      </c>
      <c r="D106" s="28">
        <v>637000</v>
      </c>
      <c r="E106" s="33"/>
      <c r="F106" s="28">
        <v>1124000</v>
      </c>
      <c r="G106" s="33"/>
      <c r="H106" s="28">
        <v>942000</v>
      </c>
      <c r="I106" s="33"/>
      <c r="J106" s="28">
        <v>228000</v>
      </c>
      <c r="K106" s="28">
        <v>145000</v>
      </c>
      <c r="L106" s="28">
        <v>349000</v>
      </c>
      <c r="M106" s="28">
        <v>399000</v>
      </c>
      <c r="N106" s="28">
        <v>428000</v>
      </c>
      <c r="O106" s="28">
        <v>514000</v>
      </c>
      <c r="P106" s="28">
        <v>514000</v>
      </c>
      <c r="Q106" s="28">
        <v>390000</v>
      </c>
      <c r="R106" s="28">
        <v>535000</v>
      </c>
      <c r="S106" s="28">
        <v>255000</v>
      </c>
      <c r="T106" s="28">
        <v>488000</v>
      </c>
      <c r="U106" s="28">
        <v>545000</v>
      </c>
      <c r="V106" s="28">
        <v>488000</v>
      </c>
      <c r="W106" s="28">
        <v>503000</v>
      </c>
      <c r="X106" s="28">
        <v>489000</v>
      </c>
      <c r="Y106" s="28">
        <v>521000</v>
      </c>
      <c r="Z106" s="28">
        <v>288000</v>
      </c>
      <c r="AA106" s="28">
        <v>288000</v>
      </c>
      <c r="AB106" s="28">
        <v>288000</v>
      </c>
      <c r="AC106" s="28">
        <v>288000</v>
      </c>
      <c r="AD106" s="28">
        <v>284000</v>
      </c>
      <c r="AE106" s="28">
        <v>308000</v>
      </c>
      <c r="AF106" s="28">
        <v>308000</v>
      </c>
      <c r="AG106" s="28">
        <v>303000</v>
      </c>
      <c r="AH106" s="28">
        <v>288000</v>
      </c>
      <c r="AI106" s="28">
        <v>283000</v>
      </c>
      <c r="AJ106" s="28">
        <v>283000</v>
      </c>
      <c r="AK106" s="28">
        <v>283000</v>
      </c>
      <c r="AL106" s="28">
        <v>317000</v>
      </c>
      <c r="AM106" s="28">
        <v>292000</v>
      </c>
      <c r="AN106" s="28">
        <v>292000</v>
      </c>
      <c r="AO106" s="28">
        <v>317000</v>
      </c>
      <c r="AP106" s="28">
        <v>453000</v>
      </c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</row>
    <row r="107" spans="1:68" ht="18" x14ac:dyDescent="0.25">
      <c r="A107" s="30" t="s">
        <v>90</v>
      </c>
      <c r="B107" s="32"/>
      <c r="C107" s="28"/>
      <c r="D107" s="25"/>
      <c r="E107" s="33"/>
      <c r="F107" s="25"/>
      <c r="G107" s="33"/>
      <c r="H107" s="25"/>
      <c r="I107" s="33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</row>
    <row r="108" spans="1:68" ht="15" x14ac:dyDescent="0.2">
      <c r="A108" s="31" t="s">
        <v>81</v>
      </c>
      <c r="B108" s="28">
        <v>339000</v>
      </c>
      <c r="C108" s="28">
        <v>268000</v>
      </c>
      <c r="D108" s="28">
        <v>158000</v>
      </c>
      <c r="E108" s="33"/>
      <c r="F108" s="28">
        <v>278000</v>
      </c>
      <c r="G108" s="33"/>
      <c r="H108" s="28">
        <v>350000</v>
      </c>
      <c r="I108" s="33"/>
      <c r="J108" s="28">
        <v>63000</v>
      </c>
      <c r="K108" s="28">
        <v>42000</v>
      </c>
      <c r="L108" s="28">
        <v>101000</v>
      </c>
      <c r="M108" s="28">
        <v>116000</v>
      </c>
      <c r="N108" s="28">
        <v>129000</v>
      </c>
      <c r="O108" s="28">
        <v>154000</v>
      </c>
      <c r="P108" s="28">
        <v>154000</v>
      </c>
      <c r="Q108" s="28">
        <v>112000</v>
      </c>
      <c r="R108" s="28">
        <v>149000</v>
      </c>
      <c r="S108" s="28">
        <v>77000</v>
      </c>
      <c r="T108" s="28">
        <v>139000</v>
      </c>
      <c r="U108" s="28">
        <v>153000</v>
      </c>
      <c r="V108" s="28">
        <v>139000</v>
      </c>
      <c r="W108" s="28">
        <v>141000</v>
      </c>
      <c r="X108" s="28">
        <v>138000</v>
      </c>
      <c r="Y108" s="28">
        <v>146000</v>
      </c>
      <c r="Z108" s="28">
        <v>78000</v>
      </c>
      <c r="AA108" s="28">
        <v>78000</v>
      </c>
      <c r="AB108" s="28">
        <v>78000</v>
      </c>
      <c r="AC108" s="28">
        <v>78000</v>
      </c>
      <c r="AD108" s="28">
        <v>77000</v>
      </c>
      <c r="AE108" s="28">
        <v>83000</v>
      </c>
      <c r="AF108" s="28">
        <v>83000</v>
      </c>
      <c r="AG108" s="28">
        <v>82000</v>
      </c>
      <c r="AH108" s="28">
        <v>78000</v>
      </c>
      <c r="AI108" s="28">
        <v>77000</v>
      </c>
      <c r="AJ108" s="28">
        <v>77000</v>
      </c>
      <c r="AK108" s="28">
        <v>77000</v>
      </c>
      <c r="AL108" s="28">
        <v>103000</v>
      </c>
      <c r="AM108" s="28">
        <v>97000</v>
      </c>
      <c r="AN108" s="28">
        <v>97000</v>
      </c>
      <c r="AO108" s="28">
        <v>103000</v>
      </c>
      <c r="AP108" s="28">
        <v>132000</v>
      </c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</row>
    <row r="109" spans="1:68" ht="15" x14ac:dyDescent="0.2">
      <c r="A109" s="26" t="s">
        <v>82</v>
      </c>
      <c r="B109" s="27">
        <v>357000</v>
      </c>
      <c r="C109" s="28">
        <v>286000</v>
      </c>
      <c r="D109" s="28">
        <v>168000</v>
      </c>
      <c r="E109" s="33"/>
      <c r="F109" s="28">
        <v>296000</v>
      </c>
      <c r="G109" s="33"/>
      <c r="H109" s="28">
        <v>370000</v>
      </c>
      <c r="I109" s="33"/>
      <c r="J109" s="28">
        <v>67000</v>
      </c>
      <c r="K109" s="28">
        <v>45000</v>
      </c>
      <c r="L109" s="28">
        <v>107000</v>
      </c>
      <c r="M109" s="28">
        <v>124000</v>
      </c>
      <c r="N109" s="28">
        <v>136000</v>
      </c>
      <c r="O109" s="28">
        <v>164000</v>
      </c>
      <c r="P109" s="28">
        <v>164000</v>
      </c>
      <c r="Q109" s="28">
        <v>119000</v>
      </c>
      <c r="R109" s="28">
        <v>158000</v>
      </c>
      <c r="S109" s="28">
        <v>82000</v>
      </c>
      <c r="T109" s="28">
        <v>148000</v>
      </c>
      <c r="U109" s="28">
        <v>163000</v>
      </c>
      <c r="V109" s="28">
        <v>148000</v>
      </c>
      <c r="W109" s="28">
        <v>150000</v>
      </c>
      <c r="X109" s="28">
        <v>146000</v>
      </c>
      <c r="Y109" s="28">
        <v>155000</v>
      </c>
      <c r="Z109" s="28">
        <v>83000</v>
      </c>
      <c r="AA109" s="28">
        <v>83000</v>
      </c>
      <c r="AB109" s="28">
        <v>83000</v>
      </c>
      <c r="AC109" s="28">
        <v>83000</v>
      </c>
      <c r="AD109" s="28">
        <v>82000</v>
      </c>
      <c r="AE109" s="28">
        <v>89000</v>
      </c>
      <c r="AF109" s="28">
        <v>89000</v>
      </c>
      <c r="AG109" s="28">
        <v>87000</v>
      </c>
      <c r="AH109" s="28">
        <v>83000</v>
      </c>
      <c r="AI109" s="28">
        <v>82000</v>
      </c>
      <c r="AJ109" s="28">
        <v>82000</v>
      </c>
      <c r="AK109" s="28">
        <v>82000</v>
      </c>
      <c r="AL109" s="28">
        <v>109000</v>
      </c>
      <c r="AM109" s="28">
        <v>103000</v>
      </c>
      <c r="AN109" s="28">
        <v>103000</v>
      </c>
      <c r="AO109" s="28">
        <v>109000</v>
      </c>
      <c r="AP109" s="28">
        <v>140000</v>
      </c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</row>
    <row r="110" spans="1:68" ht="15" x14ac:dyDescent="0.2">
      <c r="A110" s="26" t="s">
        <v>83</v>
      </c>
      <c r="B110" s="27">
        <v>369000</v>
      </c>
      <c r="C110" s="28">
        <v>298000</v>
      </c>
      <c r="D110" s="28">
        <v>175000</v>
      </c>
      <c r="E110" s="33"/>
      <c r="F110" s="28">
        <v>309000</v>
      </c>
      <c r="G110" s="33"/>
      <c r="H110" s="28">
        <v>383000</v>
      </c>
      <c r="I110" s="33"/>
      <c r="J110" s="28">
        <v>69000</v>
      </c>
      <c r="K110" s="28">
        <v>47000</v>
      </c>
      <c r="L110" s="28">
        <v>111000</v>
      </c>
      <c r="M110" s="28">
        <v>128000</v>
      </c>
      <c r="N110" s="28">
        <v>142000</v>
      </c>
      <c r="O110" s="28">
        <v>170000</v>
      </c>
      <c r="P110" s="28">
        <v>170000</v>
      </c>
      <c r="Q110" s="28">
        <v>123000</v>
      </c>
      <c r="R110" s="28">
        <v>164000</v>
      </c>
      <c r="S110" s="28">
        <v>85000</v>
      </c>
      <c r="T110" s="28">
        <v>153000</v>
      </c>
      <c r="U110" s="28">
        <v>169000</v>
      </c>
      <c r="V110" s="28">
        <v>153000</v>
      </c>
      <c r="W110" s="28">
        <v>156000</v>
      </c>
      <c r="X110" s="28">
        <v>152000</v>
      </c>
      <c r="Y110" s="28">
        <v>161000</v>
      </c>
      <c r="Z110" s="28">
        <v>87000</v>
      </c>
      <c r="AA110" s="28">
        <v>87000</v>
      </c>
      <c r="AB110" s="28">
        <v>87000</v>
      </c>
      <c r="AC110" s="28">
        <v>87000</v>
      </c>
      <c r="AD110" s="28">
        <v>85000</v>
      </c>
      <c r="AE110" s="28">
        <v>92000</v>
      </c>
      <c r="AF110" s="28">
        <v>92000</v>
      </c>
      <c r="AG110" s="28">
        <v>91000</v>
      </c>
      <c r="AH110" s="28">
        <v>87000</v>
      </c>
      <c r="AI110" s="28">
        <v>85000</v>
      </c>
      <c r="AJ110" s="28">
        <v>85000</v>
      </c>
      <c r="AK110" s="28">
        <v>85000</v>
      </c>
      <c r="AL110" s="28">
        <v>113000</v>
      </c>
      <c r="AM110" s="28">
        <v>106000</v>
      </c>
      <c r="AN110" s="28">
        <v>106000</v>
      </c>
      <c r="AO110" s="28">
        <v>113000</v>
      </c>
      <c r="AP110" s="28">
        <v>146000</v>
      </c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</row>
    <row r="111" spans="1:68" ht="15" x14ac:dyDescent="0.2">
      <c r="A111" s="26" t="s">
        <v>84</v>
      </c>
      <c r="B111" s="27">
        <v>429000</v>
      </c>
      <c r="C111" s="28">
        <v>357000</v>
      </c>
      <c r="D111" s="28">
        <v>210000</v>
      </c>
      <c r="E111" s="33"/>
      <c r="F111" s="28">
        <v>371000</v>
      </c>
      <c r="G111" s="33"/>
      <c r="H111" s="28">
        <v>448000</v>
      </c>
      <c r="I111" s="33"/>
      <c r="J111" s="28">
        <v>83000</v>
      </c>
      <c r="K111" s="28">
        <v>55000</v>
      </c>
      <c r="L111" s="28">
        <v>132000</v>
      </c>
      <c r="M111" s="28">
        <v>152000</v>
      </c>
      <c r="N111" s="28">
        <v>168000</v>
      </c>
      <c r="O111" s="28">
        <v>201000</v>
      </c>
      <c r="P111" s="28">
        <v>201000</v>
      </c>
      <c r="Q111" s="28">
        <v>146000</v>
      </c>
      <c r="R111" s="28">
        <v>196000</v>
      </c>
      <c r="S111" s="28">
        <v>100000</v>
      </c>
      <c r="T111" s="28">
        <v>182000</v>
      </c>
      <c r="U111" s="28">
        <v>201000</v>
      </c>
      <c r="V111" s="28">
        <v>182000</v>
      </c>
      <c r="W111" s="28">
        <v>186000</v>
      </c>
      <c r="X111" s="28">
        <v>181000</v>
      </c>
      <c r="Y111" s="28">
        <v>192000</v>
      </c>
      <c r="Z111" s="28">
        <v>103000</v>
      </c>
      <c r="AA111" s="28">
        <v>103000</v>
      </c>
      <c r="AB111" s="28">
        <v>103000</v>
      </c>
      <c r="AC111" s="28">
        <v>103000</v>
      </c>
      <c r="AD111" s="28">
        <v>102000</v>
      </c>
      <c r="AE111" s="28">
        <v>110000</v>
      </c>
      <c r="AF111" s="28">
        <v>110000</v>
      </c>
      <c r="AG111" s="28">
        <v>108000</v>
      </c>
      <c r="AH111" s="28">
        <v>103000</v>
      </c>
      <c r="AI111" s="28">
        <v>101000</v>
      </c>
      <c r="AJ111" s="28">
        <v>101000</v>
      </c>
      <c r="AK111" s="28">
        <v>101000</v>
      </c>
      <c r="AL111" s="28">
        <v>133000</v>
      </c>
      <c r="AM111" s="28">
        <v>125000</v>
      </c>
      <c r="AN111" s="28">
        <v>125000</v>
      </c>
      <c r="AO111" s="28">
        <v>133000</v>
      </c>
      <c r="AP111" s="28">
        <v>173000</v>
      </c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</row>
    <row r="112" spans="1:68" ht="15" x14ac:dyDescent="0.2">
      <c r="A112" s="26" t="s">
        <v>85</v>
      </c>
      <c r="B112" s="27">
        <v>609000</v>
      </c>
      <c r="C112" s="28">
        <v>537000</v>
      </c>
      <c r="D112" s="28">
        <v>316000</v>
      </c>
      <c r="E112" s="33"/>
      <c r="F112" s="28">
        <v>557000</v>
      </c>
      <c r="G112" s="33"/>
      <c r="H112" s="28">
        <v>642000</v>
      </c>
      <c r="I112" s="33"/>
      <c r="J112" s="28">
        <v>122000</v>
      </c>
      <c r="K112" s="28">
        <v>81000</v>
      </c>
      <c r="L112" s="28">
        <v>194000</v>
      </c>
      <c r="M112" s="28">
        <v>224000</v>
      </c>
      <c r="N112" s="28">
        <v>246000</v>
      </c>
      <c r="O112" s="28">
        <v>295000</v>
      </c>
      <c r="P112" s="28">
        <v>295000</v>
      </c>
      <c r="Q112" s="28">
        <v>216000</v>
      </c>
      <c r="R112" s="28">
        <v>289000</v>
      </c>
      <c r="S112" s="28">
        <v>147000</v>
      </c>
      <c r="T112" s="28">
        <v>269000</v>
      </c>
      <c r="U112" s="28">
        <v>297000</v>
      </c>
      <c r="V112" s="28">
        <v>269000</v>
      </c>
      <c r="W112" s="28">
        <v>274000</v>
      </c>
      <c r="X112" s="28">
        <v>267000</v>
      </c>
      <c r="Y112" s="28">
        <v>283000</v>
      </c>
      <c r="Z112" s="28">
        <v>153000</v>
      </c>
      <c r="AA112" s="28">
        <v>153000</v>
      </c>
      <c r="AB112" s="28">
        <v>153000</v>
      </c>
      <c r="AC112" s="28">
        <v>153000</v>
      </c>
      <c r="AD112" s="28">
        <v>151000</v>
      </c>
      <c r="AE112" s="28">
        <v>163000</v>
      </c>
      <c r="AF112" s="28">
        <v>163000</v>
      </c>
      <c r="AG112" s="28">
        <v>160000</v>
      </c>
      <c r="AH112" s="28">
        <v>153000</v>
      </c>
      <c r="AI112" s="28">
        <v>150000</v>
      </c>
      <c r="AJ112" s="28">
        <v>150000</v>
      </c>
      <c r="AK112" s="28">
        <v>150000</v>
      </c>
      <c r="AL112" s="28">
        <v>193000</v>
      </c>
      <c r="AM112" s="28">
        <v>181000</v>
      </c>
      <c r="AN112" s="28">
        <v>181000</v>
      </c>
      <c r="AO112" s="28">
        <v>193000</v>
      </c>
      <c r="AP112" s="28">
        <v>254000</v>
      </c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</row>
    <row r="113" spans="1:68" ht="15" x14ac:dyDescent="0.2">
      <c r="A113" s="26" t="s">
        <v>86</v>
      </c>
      <c r="B113" s="27">
        <v>645000</v>
      </c>
      <c r="C113" s="28">
        <v>573000</v>
      </c>
      <c r="D113" s="28">
        <v>337000</v>
      </c>
      <c r="E113" s="33"/>
      <c r="F113" s="28">
        <v>594000</v>
      </c>
      <c r="G113" s="33"/>
      <c r="H113" s="28">
        <v>681000</v>
      </c>
      <c r="I113" s="33"/>
      <c r="J113" s="28">
        <v>130000</v>
      </c>
      <c r="K113" s="28">
        <v>87000</v>
      </c>
      <c r="L113" s="28">
        <v>207000</v>
      </c>
      <c r="M113" s="28">
        <v>238000</v>
      </c>
      <c r="N113" s="28">
        <v>261000</v>
      </c>
      <c r="O113" s="28">
        <v>313000</v>
      </c>
      <c r="P113" s="28">
        <v>313000</v>
      </c>
      <c r="Q113" s="28">
        <v>230000</v>
      </c>
      <c r="R113" s="28">
        <v>308000</v>
      </c>
      <c r="S113" s="28">
        <v>156000</v>
      </c>
      <c r="T113" s="28">
        <v>286000</v>
      </c>
      <c r="U113" s="28">
        <v>316000</v>
      </c>
      <c r="V113" s="28">
        <v>286000</v>
      </c>
      <c r="W113" s="28">
        <v>292000</v>
      </c>
      <c r="X113" s="28">
        <v>285000</v>
      </c>
      <c r="Y113" s="28">
        <v>302000</v>
      </c>
      <c r="Z113" s="28">
        <v>163000</v>
      </c>
      <c r="AA113" s="28">
        <v>163000</v>
      </c>
      <c r="AB113" s="28">
        <v>163000</v>
      </c>
      <c r="AC113" s="28">
        <v>163000</v>
      </c>
      <c r="AD113" s="28">
        <v>161000</v>
      </c>
      <c r="AE113" s="28">
        <v>174000</v>
      </c>
      <c r="AF113" s="28">
        <v>174000</v>
      </c>
      <c r="AG113" s="28">
        <v>171000</v>
      </c>
      <c r="AH113" s="28">
        <v>163000</v>
      </c>
      <c r="AI113" s="28">
        <v>160000</v>
      </c>
      <c r="AJ113" s="28">
        <v>160000</v>
      </c>
      <c r="AK113" s="28">
        <v>160000</v>
      </c>
      <c r="AL113" s="28">
        <v>205000</v>
      </c>
      <c r="AM113" s="28">
        <v>192000</v>
      </c>
      <c r="AN113" s="28">
        <v>192000</v>
      </c>
      <c r="AO113" s="28">
        <v>205000</v>
      </c>
      <c r="AP113" s="28">
        <v>270000</v>
      </c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</row>
    <row r="114" spans="1:68" ht="18" x14ac:dyDescent="0.25">
      <c r="A114" s="34" t="s">
        <v>91</v>
      </c>
      <c r="B114" s="35"/>
      <c r="C114" s="28"/>
      <c r="D114" s="25"/>
      <c r="E114" s="33"/>
      <c r="F114" s="25"/>
      <c r="G114" s="33"/>
      <c r="H114" s="25"/>
      <c r="I114" s="33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</row>
    <row r="115" spans="1:68" ht="18" x14ac:dyDescent="0.25">
      <c r="A115" s="30" t="s">
        <v>92</v>
      </c>
      <c r="B115" s="32"/>
      <c r="C115" s="28"/>
      <c r="D115" s="25"/>
      <c r="E115" s="33"/>
      <c r="F115" s="25"/>
      <c r="G115" s="33"/>
      <c r="H115" s="25"/>
      <c r="I115" s="33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</row>
    <row r="116" spans="1:68" ht="15" x14ac:dyDescent="0.2">
      <c r="A116" s="36" t="s">
        <v>93</v>
      </c>
      <c r="B116" s="37">
        <v>1890000</v>
      </c>
      <c r="C116" s="28">
        <v>10348000</v>
      </c>
      <c r="D116" s="28">
        <v>6082000</v>
      </c>
      <c r="E116" s="33"/>
      <c r="F116" s="28">
        <v>10739000</v>
      </c>
      <c r="G116" s="33"/>
      <c r="H116" s="28">
        <v>3648000</v>
      </c>
      <c r="I116" s="33"/>
      <c r="J116" s="28">
        <v>1904000</v>
      </c>
      <c r="K116" s="28">
        <v>1118000</v>
      </c>
      <c r="L116" s="28">
        <v>2736000</v>
      </c>
      <c r="M116" s="28">
        <v>3064000</v>
      </c>
      <c r="N116" s="28">
        <v>3114000</v>
      </c>
      <c r="O116" s="28">
        <v>3738000</v>
      </c>
      <c r="P116" s="28">
        <v>3738000</v>
      </c>
      <c r="Q116" s="28">
        <v>3077000</v>
      </c>
      <c r="R116" s="28">
        <v>4400000</v>
      </c>
      <c r="S116" s="28">
        <v>1843000</v>
      </c>
      <c r="T116" s="28">
        <v>3885000</v>
      </c>
      <c r="U116" s="28">
        <v>4424000</v>
      </c>
      <c r="V116" s="28">
        <v>3885000</v>
      </c>
      <c r="W116" s="28">
        <v>4089000</v>
      </c>
      <c r="X116" s="28">
        <v>3952000</v>
      </c>
      <c r="Y116" s="28">
        <v>4261000</v>
      </c>
      <c r="Z116" s="28">
        <v>2454000</v>
      </c>
      <c r="AA116" s="28">
        <v>2454000</v>
      </c>
      <c r="AB116" s="28">
        <v>2454000</v>
      </c>
      <c r="AC116" s="28">
        <v>2454000</v>
      </c>
      <c r="AD116" s="28">
        <v>2417000</v>
      </c>
      <c r="AE116" s="28">
        <v>2650000</v>
      </c>
      <c r="AF116" s="28">
        <v>2650000</v>
      </c>
      <c r="AG116" s="28">
        <v>2601000</v>
      </c>
      <c r="AH116" s="28">
        <v>2454000</v>
      </c>
      <c r="AI116" s="28">
        <v>2405000</v>
      </c>
      <c r="AJ116" s="28">
        <v>2405000</v>
      </c>
      <c r="AK116" s="28">
        <v>2405000</v>
      </c>
      <c r="AL116" s="28">
        <v>1969000</v>
      </c>
      <c r="AM116" s="28">
        <v>1733000</v>
      </c>
      <c r="AN116" s="28">
        <v>1733000</v>
      </c>
      <c r="AO116" s="28">
        <v>1969000</v>
      </c>
      <c r="AP116" s="28">
        <v>3472000</v>
      </c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</row>
    <row r="117" spans="1:68" ht="15" x14ac:dyDescent="0.2">
      <c r="A117" s="38" t="s">
        <v>94</v>
      </c>
      <c r="B117" s="37">
        <v>1987000</v>
      </c>
      <c r="C117" s="28">
        <v>10594000</v>
      </c>
      <c r="D117" s="28">
        <v>5766000</v>
      </c>
      <c r="E117" s="33"/>
      <c r="F117" s="28">
        <v>10182000</v>
      </c>
      <c r="G117" s="33"/>
      <c r="H117" s="28">
        <v>3480000</v>
      </c>
      <c r="I117" s="33"/>
      <c r="J117" s="28">
        <v>1807000</v>
      </c>
      <c r="K117" s="28">
        <v>1061000</v>
      </c>
      <c r="L117" s="28">
        <v>2596000</v>
      </c>
      <c r="M117" s="28">
        <v>2908000</v>
      </c>
      <c r="N117" s="28">
        <v>2957000</v>
      </c>
      <c r="O117" s="28">
        <v>3549000</v>
      </c>
      <c r="P117" s="28">
        <v>3549000</v>
      </c>
      <c r="Q117" s="28">
        <v>2920000</v>
      </c>
      <c r="R117" s="28">
        <v>4175000</v>
      </c>
      <c r="S117" s="28">
        <v>1750000</v>
      </c>
      <c r="T117" s="28">
        <v>3687000</v>
      </c>
      <c r="U117" s="28">
        <v>4198000</v>
      </c>
      <c r="V117" s="28">
        <v>3687000</v>
      </c>
      <c r="W117" s="28">
        <v>3880000</v>
      </c>
      <c r="X117" s="28">
        <v>3750000</v>
      </c>
      <c r="Y117" s="28">
        <v>4043000</v>
      </c>
      <c r="Z117" s="28">
        <v>2328000</v>
      </c>
      <c r="AA117" s="28">
        <v>2328000</v>
      </c>
      <c r="AB117" s="28">
        <v>2328000</v>
      </c>
      <c r="AC117" s="28">
        <v>2328000</v>
      </c>
      <c r="AD117" s="28"/>
      <c r="AE117" s="28">
        <v>2514000</v>
      </c>
      <c r="AF117" s="28">
        <v>2514000</v>
      </c>
      <c r="AG117" s="28">
        <v>2467000</v>
      </c>
      <c r="AH117" s="28">
        <v>2328000</v>
      </c>
      <c r="AI117" s="28">
        <v>2282000</v>
      </c>
      <c r="AJ117" s="28">
        <v>2282000</v>
      </c>
      <c r="AK117" s="28">
        <v>2282000</v>
      </c>
      <c r="AL117" s="25"/>
      <c r="AM117" s="25"/>
      <c r="AN117" s="25"/>
      <c r="AO117" s="25"/>
      <c r="AP117" s="25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</row>
    <row r="118" spans="1:68" ht="15" x14ac:dyDescent="0.2">
      <c r="A118" s="38" t="s">
        <v>95</v>
      </c>
      <c r="B118" s="37">
        <v>2083000</v>
      </c>
      <c r="C118" s="28">
        <v>11256000</v>
      </c>
      <c r="D118" s="28">
        <v>6127000</v>
      </c>
      <c r="E118" s="33"/>
      <c r="F118" s="28">
        <v>10819000</v>
      </c>
      <c r="G118" s="33"/>
      <c r="H118" s="28">
        <v>3672000</v>
      </c>
      <c r="I118" s="33"/>
      <c r="J118" s="28">
        <v>1918000</v>
      </c>
      <c r="K118" s="28">
        <v>1126000</v>
      </c>
      <c r="L118" s="28">
        <v>2756000</v>
      </c>
      <c r="M118" s="28">
        <v>3086000</v>
      </c>
      <c r="N118" s="28">
        <v>3137000</v>
      </c>
      <c r="O118" s="28">
        <v>3765000</v>
      </c>
      <c r="P118" s="28">
        <v>3765000</v>
      </c>
      <c r="Q118" s="28">
        <v>3100000</v>
      </c>
      <c r="R118" s="28">
        <v>4433000</v>
      </c>
      <c r="S118" s="28">
        <v>1856000</v>
      </c>
      <c r="T118" s="28">
        <v>3914000</v>
      </c>
      <c r="U118" s="28">
        <v>4457000</v>
      </c>
      <c r="V118" s="28">
        <v>3914000</v>
      </c>
      <c r="W118" s="28">
        <v>4119000</v>
      </c>
      <c r="X118" s="28">
        <v>3981000</v>
      </c>
      <c r="Y118" s="28">
        <v>4292000</v>
      </c>
      <c r="Z118" s="28">
        <v>2472000</v>
      </c>
      <c r="AA118" s="28">
        <v>2472000</v>
      </c>
      <c r="AB118" s="28">
        <v>2472000</v>
      </c>
      <c r="AC118" s="28">
        <v>2472000</v>
      </c>
      <c r="AD118" s="28"/>
      <c r="AE118" s="28">
        <v>2669000</v>
      </c>
      <c r="AF118" s="28">
        <v>2669000</v>
      </c>
      <c r="AG118" s="28">
        <v>2620000</v>
      </c>
      <c r="AH118" s="28">
        <v>2472000</v>
      </c>
      <c r="AI118" s="28">
        <v>2423000</v>
      </c>
      <c r="AJ118" s="28">
        <v>2423000</v>
      </c>
      <c r="AK118" s="28">
        <v>2423000</v>
      </c>
      <c r="AL118" s="25"/>
      <c r="AM118" s="25"/>
      <c r="AN118" s="25"/>
      <c r="AO118" s="25"/>
      <c r="AP118" s="25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</row>
    <row r="119" spans="1:68" ht="15" x14ac:dyDescent="0.2">
      <c r="A119" s="38" t="s">
        <v>96</v>
      </c>
      <c r="B119" s="39">
        <v>1819000</v>
      </c>
      <c r="C119" s="28">
        <v>8738000</v>
      </c>
      <c r="D119" s="28">
        <v>5136000</v>
      </c>
      <c r="E119" s="33"/>
      <c r="F119" s="28">
        <v>9069000</v>
      </c>
      <c r="G119" s="33"/>
      <c r="H119" s="28">
        <v>3144000</v>
      </c>
      <c r="I119" s="33"/>
      <c r="J119" s="28">
        <v>1611000</v>
      </c>
      <c r="K119" s="28">
        <v>947000</v>
      </c>
      <c r="L119" s="28">
        <v>2317000</v>
      </c>
      <c r="M119" s="28">
        <v>2597000</v>
      </c>
      <c r="N119" s="28">
        <v>2642000</v>
      </c>
      <c r="O119" s="28">
        <v>3171000</v>
      </c>
      <c r="P119" s="28">
        <v>3171000</v>
      </c>
      <c r="Q119" s="28">
        <v>2607000</v>
      </c>
      <c r="R119" s="28">
        <v>3725000</v>
      </c>
      <c r="S119" s="28">
        <v>1563000</v>
      </c>
      <c r="T119" s="28">
        <v>3290000</v>
      </c>
      <c r="U119" s="28">
        <v>3746000</v>
      </c>
      <c r="V119" s="28">
        <v>3290000</v>
      </c>
      <c r="W119" s="28">
        <v>3462000</v>
      </c>
      <c r="X119" s="28">
        <v>3346000</v>
      </c>
      <c r="Y119" s="28">
        <v>3607000</v>
      </c>
      <c r="Z119" s="28">
        <v>2076000</v>
      </c>
      <c r="AA119" s="28">
        <v>2076000</v>
      </c>
      <c r="AB119" s="28">
        <v>2076000</v>
      </c>
      <c r="AC119" s="28">
        <v>2076000</v>
      </c>
      <c r="AD119" s="28">
        <v>2045000</v>
      </c>
      <c r="AE119" s="28">
        <v>2241000</v>
      </c>
      <c r="AF119" s="28">
        <v>2241000</v>
      </c>
      <c r="AG119" s="28">
        <v>2200000</v>
      </c>
      <c r="AH119" s="28">
        <v>2076000</v>
      </c>
      <c r="AI119" s="28">
        <v>2035000</v>
      </c>
      <c r="AJ119" s="28">
        <v>2035000</v>
      </c>
      <c r="AK119" s="28">
        <v>2035000</v>
      </c>
      <c r="AL119" s="28">
        <v>1675000</v>
      </c>
      <c r="AM119" s="28">
        <v>1477000</v>
      </c>
      <c r="AN119" s="28">
        <v>1477000</v>
      </c>
      <c r="AO119" s="28">
        <v>1675000</v>
      </c>
      <c r="AP119" s="28">
        <v>2942000</v>
      </c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</row>
    <row r="120" spans="1:68" ht="15" x14ac:dyDescent="0.2">
      <c r="A120" s="38" t="s">
        <v>97</v>
      </c>
      <c r="B120" s="39">
        <v>1699000</v>
      </c>
      <c r="C120" s="28">
        <v>7972000</v>
      </c>
      <c r="D120" s="28">
        <v>4685000</v>
      </c>
      <c r="E120" s="33"/>
      <c r="F120" s="28">
        <v>8273000</v>
      </c>
      <c r="G120" s="33"/>
      <c r="H120" s="28">
        <v>2904000</v>
      </c>
      <c r="I120" s="33"/>
      <c r="J120" s="28">
        <v>1472000</v>
      </c>
      <c r="K120" s="28">
        <v>866000</v>
      </c>
      <c r="L120" s="28">
        <v>2118000</v>
      </c>
      <c r="M120" s="28">
        <v>2374000</v>
      </c>
      <c r="N120" s="28">
        <v>2417000</v>
      </c>
      <c r="O120" s="28">
        <v>2900000</v>
      </c>
      <c r="P120" s="28">
        <v>2900000</v>
      </c>
      <c r="Q120" s="28">
        <v>2382000</v>
      </c>
      <c r="R120" s="28">
        <v>3403000</v>
      </c>
      <c r="S120" s="28">
        <v>1430000</v>
      </c>
      <c r="T120" s="28">
        <v>3007000</v>
      </c>
      <c r="U120" s="28">
        <v>3422000</v>
      </c>
      <c r="V120" s="28">
        <v>3007000</v>
      </c>
      <c r="W120" s="28">
        <v>3163000</v>
      </c>
      <c r="X120" s="28">
        <v>3057000</v>
      </c>
      <c r="Y120" s="28">
        <v>3295000</v>
      </c>
      <c r="Z120" s="28">
        <v>1896000</v>
      </c>
      <c r="AA120" s="28">
        <v>1896000</v>
      </c>
      <c r="AB120" s="28">
        <v>1896000</v>
      </c>
      <c r="AC120" s="28">
        <v>1896000</v>
      </c>
      <c r="AD120" s="28">
        <v>1867000</v>
      </c>
      <c r="AE120" s="28">
        <v>2047000</v>
      </c>
      <c r="AF120" s="28">
        <v>2047000</v>
      </c>
      <c r="AG120" s="28">
        <v>2009000</v>
      </c>
      <c r="AH120" s="28">
        <v>1896000</v>
      </c>
      <c r="AI120" s="28">
        <v>1858000</v>
      </c>
      <c r="AJ120" s="28">
        <v>1858000</v>
      </c>
      <c r="AK120" s="28">
        <v>1858000</v>
      </c>
      <c r="AL120" s="28">
        <v>1536000</v>
      </c>
      <c r="AM120" s="28">
        <v>1354000</v>
      </c>
      <c r="AN120" s="28">
        <v>1354000</v>
      </c>
      <c r="AO120" s="28">
        <v>1536000</v>
      </c>
      <c r="AP120" s="28">
        <v>2690000</v>
      </c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</row>
    <row r="121" spans="1:68" ht="15" x14ac:dyDescent="0.2">
      <c r="A121" s="38" t="s">
        <v>98</v>
      </c>
      <c r="B121" s="39">
        <v>667000</v>
      </c>
      <c r="C121" s="28">
        <v>1380000</v>
      </c>
      <c r="D121" s="28">
        <v>811000</v>
      </c>
      <c r="E121" s="33"/>
      <c r="F121" s="28">
        <v>1432000</v>
      </c>
      <c r="G121" s="33"/>
      <c r="H121" s="28">
        <v>839000</v>
      </c>
      <c r="I121" s="33"/>
      <c r="J121" s="28">
        <v>272000</v>
      </c>
      <c r="K121" s="28">
        <v>167000</v>
      </c>
      <c r="L121" s="28">
        <v>405000</v>
      </c>
      <c r="M121" s="28">
        <v>459000</v>
      </c>
      <c r="N121" s="28">
        <v>481000</v>
      </c>
      <c r="O121" s="28">
        <v>577000</v>
      </c>
      <c r="P121" s="28">
        <v>577000</v>
      </c>
      <c r="Q121" s="28">
        <v>454000</v>
      </c>
      <c r="R121" s="28">
        <v>634000</v>
      </c>
      <c r="S121" s="28">
        <v>286000</v>
      </c>
      <c r="T121" s="28">
        <v>571000</v>
      </c>
      <c r="U121" s="28">
        <v>643000</v>
      </c>
      <c r="V121" s="28">
        <v>571000</v>
      </c>
      <c r="W121" s="28">
        <v>594000</v>
      </c>
      <c r="X121" s="28">
        <v>576000</v>
      </c>
      <c r="Y121" s="28">
        <v>617000</v>
      </c>
      <c r="Z121" s="28">
        <v>347000</v>
      </c>
      <c r="AA121" s="28">
        <v>347000</v>
      </c>
      <c r="AB121" s="28">
        <v>347000</v>
      </c>
      <c r="AC121" s="28">
        <v>347000</v>
      </c>
      <c r="AD121" s="28">
        <v>342000</v>
      </c>
      <c r="AE121" s="28">
        <v>373000</v>
      </c>
      <c r="AF121" s="28">
        <v>373000</v>
      </c>
      <c r="AG121" s="28">
        <v>367000</v>
      </c>
      <c r="AH121" s="28">
        <v>347000</v>
      </c>
      <c r="AI121" s="28">
        <v>341000</v>
      </c>
      <c r="AJ121" s="28">
        <v>341000</v>
      </c>
      <c r="AK121" s="28">
        <v>341000</v>
      </c>
      <c r="AL121" s="28">
        <v>334000</v>
      </c>
      <c r="AM121" s="28">
        <v>302000</v>
      </c>
      <c r="AN121" s="28">
        <v>302000</v>
      </c>
      <c r="AO121" s="28">
        <v>334000</v>
      </c>
      <c r="AP121" s="28">
        <v>521000</v>
      </c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</row>
    <row r="122" spans="1:68" ht="15" x14ac:dyDescent="0.2">
      <c r="A122" s="38" t="s">
        <v>99</v>
      </c>
      <c r="B122" s="39">
        <v>739000</v>
      </c>
      <c r="C122" s="28">
        <v>1840000</v>
      </c>
      <c r="D122" s="28">
        <v>1082000</v>
      </c>
      <c r="E122" s="33"/>
      <c r="F122" s="28">
        <v>1910000</v>
      </c>
      <c r="G122" s="33"/>
      <c r="H122" s="28">
        <v>983000</v>
      </c>
      <c r="I122" s="33"/>
      <c r="J122" s="28">
        <v>356000</v>
      </c>
      <c r="K122" s="28">
        <v>216000</v>
      </c>
      <c r="L122" s="28">
        <v>525000</v>
      </c>
      <c r="M122" s="28">
        <v>593000</v>
      </c>
      <c r="N122" s="28">
        <v>616000</v>
      </c>
      <c r="O122" s="28">
        <v>739000</v>
      </c>
      <c r="P122" s="28">
        <v>739000</v>
      </c>
      <c r="Q122" s="28">
        <v>589000</v>
      </c>
      <c r="R122" s="28">
        <v>828000</v>
      </c>
      <c r="S122" s="28">
        <v>365000</v>
      </c>
      <c r="T122" s="28">
        <v>741000</v>
      </c>
      <c r="U122" s="28">
        <v>837000</v>
      </c>
      <c r="V122" s="28">
        <v>741000</v>
      </c>
      <c r="W122" s="28">
        <v>773000</v>
      </c>
      <c r="X122" s="28">
        <v>749000</v>
      </c>
      <c r="Y122" s="28">
        <v>804000</v>
      </c>
      <c r="Z122" s="28">
        <v>455000</v>
      </c>
      <c r="AA122" s="28">
        <v>455000</v>
      </c>
      <c r="AB122" s="28">
        <v>455000</v>
      </c>
      <c r="AC122" s="28">
        <v>455000</v>
      </c>
      <c r="AD122" s="28">
        <v>449000</v>
      </c>
      <c r="AE122" s="28">
        <v>490000</v>
      </c>
      <c r="AF122" s="28">
        <v>490000</v>
      </c>
      <c r="AG122" s="28">
        <v>481000</v>
      </c>
      <c r="AH122" s="28">
        <v>455000</v>
      </c>
      <c r="AI122" s="28">
        <v>447000</v>
      </c>
      <c r="AJ122" s="28">
        <v>447000</v>
      </c>
      <c r="AK122" s="28">
        <v>447000</v>
      </c>
      <c r="AL122" s="28">
        <v>418000</v>
      </c>
      <c r="AM122" s="28">
        <v>376000</v>
      </c>
      <c r="AN122" s="28">
        <v>376000</v>
      </c>
      <c r="AO122" s="28">
        <v>418000</v>
      </c>
      <c r="AP122" s="28">
        <v>672000</v>
      </c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</row>
    <row r="123" spans="1:68" ht="15" x14ac:dyDescent="0.2">
      <c r="A123" s="38" t="s">
        <v>100</v>
      </c>
      <c r="B123" s="39">
        <v>810000</v>
      </c>
      <c r="C123" s="28">
        <v>2300000</v>
      </c>
      <c r="D123" s="28">
        <v>1352000</v>
      </c>
      <c r="E123" s="33"/>
      <c r="F123" s="28">
        <v>2387000</v>
      </c>
      <c r="G123" s="33"/>
      <c r="H123" s="28">
        <v>1127000</v>
      </c>
      <c r="I123" s="33"/>
      <c r="J123" s="28">
        <v>440000</v>
      </c>
      <c r="K123" s="28">
        <v>265000</v>
      </c>
      <c r="L123" s="28">
        <v>644000</v>
      </c>
      <c r="M123" s="28">
        <v>726000</v>
      </c>
      <c r="N123" s="28">
        <v>751000</v>
      </c>
      <c r="O123" s="28">
        <v>901000</v>
      </c>
      <c r="P123" s="28">
        <v>901000</v>
      </c>
      <c r="Q123" s="28">
        <v>723000</v>
      </c>
      <c r="R123" s="28">
        <v>1021000</v>
      </c>
      <c r="S123" s="28">
        <v>445000</v>
      </c>
      <c r="T123" s="28">
        <v>911000</v>
      </c>
      <c r="U123" s="28">
        <v>1030000</v>
      </c>
      <c r="V123" s="28">
        <v>911000</v>
      </c>
      <c r="W123" s="28">
        <v>952000</v>
      </c>
      <c r="X123" s="28">
        <v>922000</v>
      </c>
      <c r="Y123" s="28">
        <v>990000</v>
      </c>
      <c r="Z123" s="28">
        <v>563000</v>
      </c>
      <c r="AA123" s="28">
        <v>563000</v>
      </c>
      <c r="AB123" s="28">
        <v>563000</v>
      </c>
      <c r="AC123" s="28">
        <v>563000</v>
      </c>
      <c r="AD123" s="28">
        <v>555000</v>
      </c>
      <c r="AE123" s="28">
        <v>607000</v>
      </c>
      <c r="AF123" s="28">
        <v>607000</v>
      </c>
      <c r="AG123" s="28">
        <v>596000</v>
      </c>
      <c r="AH123" s="28">
        <v>563000</v>
      </c>
      <c r="AI123" s="28">
        <v>552000</v>
      </c>
      <c r="AJ123" s="28">
        <v>552000</v>
      </c>
      <c r="AK123" s="28">
        <v>552000</v>
      </c>
      <c r="AL123" s="28">
        <v>501000</v>
      </c>
      <c r="AM123" s="28">
        <v>449000</v>
      </c>
      <c r="AN123" s="28">
        <v>449000</v>
      </c>
      <c r="AO123" s="28">
        <v>501000</v>
      </c>
      <c r="AP123" s="28">
        <v>823000</v>
      </c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</row>
    <row r="124" spans="1:68" ht="15" x14ac:dyDescent="0.2">
      <c r="A124" s="38" t="s">
        <v>101</v>
      </c>
      <c r="B124" s="39">
        <v>930000</v>
      </c>
      <c r="C124" s="28">
        <v>3066000</v>
      </c>
      <c r="D124" s="28">
        <v>1802000</v>
      </c>
      <c r="E124" s="33"/>
      <c r="F124" s="28">
        <v>3182000</v>
      </c>
      <c r="G124" s="33"/>
      <c r="H124" s="28">
        <v>1367000</v>
      </c>
      <c r="I124" s="33"/>
      <c r="J124" s="28">
        <v>579000</v>
      </c>
      <c r="K124" s="28">
        <v>346000</v>
      </c>
      <c r="L124" s="28">
        <v>844000</v>
      </c>
      <c r="M124" s="28">
        <v>949000</v>
      </c>
      <c r="N124" s="28">
        <v>976000</v>
      </c>
      <c r="O124" s="28">
        <v>1171000</v>
      </c>
      <c r="P124" s="28">
        <v>1171000</v>
      </c>
      <c r="Q124" s="28">
        <v>948000</v>
      </c>
      <c r="R124" s="28">
        <v>1343000</v>
      </c>
      <c r="S124" s="28">
        <v>578000</v>
      </c>
      <c r="T124" s="28">
        <v>1194000</v>
      </c>
      <c r="U124" s="28">
        <v>1354000</v>
      </c>
      <c r="V124" s="28">
        <v>1194000</v>
      </c>
      <c r="W124" s="28">
        <v>1251000</v>
      </c>
      <c r="X124" s="28">
        <v>1210000</v>
      </c>
      <c r="Y124" s="28">
        <v>1302000</v>
      </c>
      <c r="Z124" s="28">
        <v>743000</v>
      </c>
      <c r="AA124" s="28">
        <v>743000</v>
      </c>
      <c r="AB124" s="28">
        <v>743000</v>
      </c>
      <c r="AC124" s="28">
        <v>743000</v>
      </c>
      <c r="AD124" s="28">
        <v>733000</v>
      </c>
      <c r="AE124" s="28">
        <v>801000</v>
      </c>
      <c r="AF124" s="28">
        <v>801000</v>
      </c>
      <c r="AG124" s="28">
        <v>787000</v>
      </c>
      <c r="AH124" s="28">
        <v>743000</v>
      </c>
      <c r="AI124" s="28">
        <v>729000</v>
      </c>
      <c r="AJ124" s="28">
        <v>729000</v>
      </c>
      <c r="AK124" s="28">
        <v>729000</v>
      </c>
      <c r="AL124" s="28">
        <v>641000</v>
      </c>
      <c r="AM124" s="28">
        <v>571000</v>
      </c>
      <c r="AN124" s="28">
        <v>571000</v>
      </c>
      <c r="AO124" s="28">
        <v>641000</v>
      </c>
      <c r="AP124" s="28">
        <v>1076000</v>
      </c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</row>
    <row r="125" spans="1:68" ht="15" x14ac:dyDescent="0.2">
      <c r="A125" s="38" t="s">
        <v>102</v>
      </c>
      <c r="B125" s="39">
        <v>1050000</v>
      </c>
      <c r="C125" s="28">
        <v>3833000</v>
      </c>
      <c r="D125" s="28">
        <v>2253000</v>
      </c>
      <c r="E125" s="33"/>
      <c r="F125" s="28">
        <v>3978000</v>
      </c>
      <c r="G125" s="33"/>
      <c r="H125" s="28">
        <v>1607000</v>
      </c>
      <c r="I125" s="33"/>
      <c r="J125" s="28">
        <v>719000</v>
      </c>
      <c r="K125" s="28">
        <v>427000</v>
      </c>
      <c r="L125" s="28">
        <v>1043000</v>
      </c>
      <c r="M125" s="28">
        <v>1172000</v>
      </c>
      <c r="N125" s="28">
        <v>1201000</v>
      </c>
      <c r="O125" s="28">
        <v>1442000</v>
      </c>
      <c r="P125" s="28">
        <v>1442000</v>
      </c>
      <c r="Q125" s="28">
        <v>1172000</v>
      </c>
      <c r="R125" s="28">
        <v>1664000</v>
      </c>
      <c r="S125" s="28">
        <v>711000</v>
      </c>
      <c r="T125" s="28">
        <v>1477000</v>
      </c>
      <c r="U125" s="28">
        <v>1677000</v>
      </c>
      <c r="V125" s="28">
        <v>1477000</v>
      </c>
      <c r="W125" s="28">
        <v>1550000</v>
      </c>
      <c r="X125" s="28">
        <v>1499000</v>
      </c>
      <c r="Y125" s="28">
        <v>1613000</v>
      </c>
      <c r="Z125" s="28">
        <v>923000</v>
      </c>
      <c r="AA125" s="28">
        <v>923000</v>
      </c>
      <c r="AB125" s="28">
        <v>923000</v>
      </c>
      <c r="AC125" s="28">
        <v>923000</v>
      </c>
      <c r="AD125" s="28">
        <v>910000</v>
      </c>
      <c r="AE125" s="28">
        <v>996000</v>
      </c>
      <c r="AF125" s="28">
        <v>996000</v>
      </c>
      <c r="AG125" s="28">
        <v>978000</v>
      </c>
      <c r="AH125" s="28">
        <v>923000</v>
      </c>
      <c r="AI125" s="28">
        <v>905000</v>
      </c>
      <c r="AJ125" s="28">
        <v>905000</v>
      </c>
      <c r="AK125" s="28">
        <v>905000</v>
      </c>
      <c r="AL125" s="28">
        <v>781000</v>
      </c>
      <c r="AM125" s="28">
        <v>694000</v>
      </c>
      <c r="AN125" s="28">
        <v>694000</v>
      </c>
      <c r="AO125" s="28">
        <v>781000</v>
      </c>
      <c r="AP125" s="28">
        <v>1328000</v>
      </c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</row>
    <row r="126" spans="1:68" ht="15" x14ac:dyDescent="0.2">
      <c r="A126" s="38" t="s">
        <v>103</v>
      </c>
      <c r="B126" s="39">
        <v>1110000</v>
      </c>
      <c r="C126" s="28">
        <v>4216000</v>
      </c>
      <c r="D126" s="28">
        <v>2478000</v>
      </c>
      <c r="E126" s="33"/>
      <c r="F126" s="28">
        <v>4375000</v>
      </c>
      <c r="G126" s="33"/>
      <c r="H126" s="28">
        <v>1727000</v>
      </c>
      <c r="I126" s="33"/>
      <c r="J126" s="28">
        <v>788000</v>
      </c>
      <c r="K126" s="28">
        <v>468000</v>
      </c>
      <c r="L126" s="28">
        <v>1142000</v>
      </c>
      <c r="M126" s="28">
        <v>1283000</v>
      </c>
      <c r="N126" s="28">
        <v>1314000</v>
      </c>
      <c r="O126" s="28">
        <v>1577000</v>
      </c>
      <c r="P126" s="28">
        <v>1577000</v>
      </c>
      <c r="Q126" s="28">
        <v>1284000</v>
      </c>
      <c r="R126" s="28">
        <v>1825000</v>
      </c>
      <c r="S126" s="28">
        <v>778000</v>
      </c>
      <c r="T126" s="28">
        <v>1619000</v>
      </c>
      <c r="U126" s="28">
        <v>1839000</v>
      </c>
      <c r="V126" s="28">
        <v>1619000</v>
      </c>
      <c r="W126" s="28">
        <v>1699000</v>
      </c>
      <c r="X126" s="28">
        <v>1643000</v>
      </c>
      <c r="Y126" s="28">
        <v>1769000</v>
      </c>
      <c r="Z126" s="28">
        <v>1013000</v>
      </c>
      <c r="AA126" s="28">
        <v>1013000</v>
      </c>
      <c r="AB126" s="28">
        <v>1013000</v>
      </c>
      <c r="AC126" s="28">
        <v>1013000</v>
      </c>
      <c r="AD126" s="28">
        <v>999000</v>
      </c>
      <c r="AE126" s="28">
        <v>1093000</v>
      </c>
      <c r="AF126" s="28">
        <v>1093000</v>
      </c>
      <c r="AG126" s="28">
        <v>1073000</v>
      </c>
      <c r="AH126" s="28">
        <v>1013000</v>
      </c>
      <c r="AI126" s="28">
        <v>994000</v>
      </c>
      <c r="AJ126" s="28">
        <v>994000</v>
      </c>
      <c r="AK126" s="28">
        <v>994000</v>
      </c>
      <c r="AL126" s="28">
        <v>851000</v>
      </c>
      <c r="AM126" s="28">
        <v>755000</v>
      </c>
      <c r="AN126" s="28">
        <v>755000</v>
      </c>
      <c r="AO126" s="28">
        <v>851000</v>
      </c>
      <c r="AP126" s="28">
        <v>1454000</v>
      </c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</row>
    <row r="127" spans="1:68" ht="15" x14ac:dyDescent="0.2">
      <c r="A127" s="40" t="s">
        <v>104</v>
      </c>
      <c r="B127" s="41">
        <v>1170000</v>
      </c>
      <c r="C127" s="28">
        <v>4599000</v>
      </c>
      <c r="D127" s="28">
        <v>2703000</v>
      </c>
      <c r="E127" s="33"/>
      <c r="F127" s="28">
        <v>4773000</v>
      </c>
      <c r="G127" s="33"/>
      <c r="H127" s="28">
        <v>1847000</v>
      </c>
      <c r="I127" s="33"/>
      <c r="J127" s="28">
        <v>858000</v>
      </c>
      <c r="K127" s="28">
        <v>509000</v>
      </c>
      <c r="L127" s="28">
        <v>1242000</v>
      </c>
      <c r="M127" s="28">
        <v>1394000</v>
      </c>
      <c r="N127" s="28">
        <v>1426000</v>
      </c>
      <c r="O127" s="28">
        <v>1712000</v>
      </c>
      <c r="P127" s="28">
        <v>1712000</v>
      </c>
      <c r="Q127" s="28">
        <v>1396000</v>
      </c>
      <c r="R127" s="28">
        <v>1986000</v>
      </c>
      <c r="S127" s="28">
        <v>845000</v>
      </c>
      <c r="T127" s="28">
        <v>1761000</v>
      </c>
      <c r="U127" s="28">
        <v>2000000</v>
      </c>
      <c r="V127" s="28">
        <v>1761000</v>
      </c>
      <c r="W127" s="28">
        <v>1848000</v>
      </c>
      <c r="X127" s="28">
        <v>1788000</v>
      </c>
      <c r="Y127" s="28">
        <v>1925000</v>
      </c>
      <c r="Z127" s="28">
        <v>1103000</v>
      </c>
      <c r="AA127" s="28">
        <v>1103000</v>
      </c>
      <c r="AB127" s="28">
        <v>1103000</v>
      </c>
      <c r="AC127" s="28">
        <v>1103000</v>
      </c>
      <c r="AD127" s="28">
        <v>1087000</v>
      </c>
      <c r="AE127" s="28">
        <v>1191000</v>
      </c>
      <c r="AF127" s="28">
        <v>1191000</v>
      </c>
      <c r="AG127" s="28">
        <v>1169000</v>
      </c>
      <c r="AH127" s="28">
        <v>1103000</v>
      </c>
      <c r="AI127" s="28">
        <v>1082000</v>
      </c>
      <c r="AJ127" s="28">
        <v>1082000</v>
      </c>
      <c r="AK127" s="28">
        <v>1082000</v>
      </c>
      <c r="AL127" s="28">
        <v>921000</v>
      </c>
      <c r="AM127" s="28">
        <v>816000</v>
      </c>
      <c r="AN127" s="28">
        <v>816000</v>
      </c>
      <c r="AO127" s="28">
        <v>921000</v>
      </c>
      <c r="AP127" s="28">
        <v>1580000</v>
      </c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</row>
    <row r="128" spans="1:68" ht="18" x14ac:dyDescent="0.25">
      <c r="A128" s="34" t="s">
        <v>105</v>
      </c>
      <c r="B128" s="35"/>
      <c r="C128" s="28"/>
      <c r="D128" s="25"/>
      <c r="E128" s="33"/>
      <c r="F128" s="25"/>
      <c r="G128" s="33"/>
      <c r="H128" s="25"/>
      <c r="I128" s="33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</row>
    <row r="129" spans="1:68" ht="15" x14ac:dyDescent="0.2">
      <c r="A129" s="38" t="s">
        <v>106</v>
      </c>
      <c r="B129" s="39">
        <v>1813000</v>
      </c>
      <c r="C129" s="28">
        <v>7604000</v>
      </c>
      <c r="D129" s="28">
        <v>4469000</v>
      </c>
      <c r="E129" s="33"/>
      <c r="F129" s="28">
        <v>7891000</v>
      </c>
      <c r="G129" s="33"/>
      <c r="H129" s="28">
        <v>2837000</v>
      </c>
      <c r="I129" s="33"/>
      <c r="J129" s="28">
        <v>1413000</v>
      </c>
      <c r="K129" s="28">
        <v>835000</v>
      </c>
      <c r="L129" s="28">
        <v>2040000</v>
      </c>
      <c r="M129" s="28">
        <v>2289000</v>
      </c>
      <c r="N129" s="28">
        <v>2337000</v>
      </c>
      <c r="O129" s="28">
        <v>2805000</v>
      </c>
      <c r="P129" s="28">
        <v>2805000</v>
      </c>
      <c r="Q129" s="28">
        <v>2294000</v>
      </c>
      <c r="R129" s="28">
        <v>3269000</v>
      </c>
      <c r="S129" s="28">
        <v>1384000</v>
      </c>
      <c r="T129" s="28">
        <v>2894000</v>
      </c>
      <c r="U129" s="28">
        <v>3290000</v>
      </c>
      <c r="V129" s="28">
        <v>2894000</v>
      </c>
      <c r="W129" s="28">
        <v>3041000</v>
      </c>
      <c r="X129" s="28">
        <v>2940000</v>
      </c>
      <c r="Y129" s="28">
        <v>3167000</v>
      </c>
      <c r="Z129" s="28">
        <v>1818000</v>
      </c>
      <c r="AA129" s="28">
        <v>1818000</v>
      </c>
      <c r="AB129" s="28">
        <v>1818000</v>
      </c>
      <c r="AC129" s="28">
        <v>1818000</v>
      </c>
      <c r="AD129" s="28">
        <v>1791000</v>
      </c>
      <c r="AE129" s="28">
        <v>1962000</v>
      </c>
      <c r="AF129" s="28">
        <v>1962000</v>
      </c>
      <c r="AG129" s="28">
        <v>1926000</v>
      </c>
      <c r="AH129" s="28">
        <v>1818000</v>
      </c>
      <c r="AI129" s="28">
        <v>1782000</v>
      </c>
      <c r="AJ129" s="28">
        <v>1782000</v>
      </c>
      <c r="AK129" s="28">
        <v>1782000</v>
      </c>
      <c r="AL129" s="28">
        <v>1500000</v>
      </c>
      <c r="AM129" s="28">
        <v>1327000</v>
      </c>
      <c r="AN129" s="28">
        <v>1327000</v>
      </c>
      <c r="AO129" s="28">
        <v>1500000</v>
      </c>
      <c r="AP129" s="28">
        <v>2594000</v>
      </c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</row>
    <row r="130" spans="1:68" ht="15" x14ac:dyDescent="0.2">
      <c r="A130" s="38" t="s">
        <v>107</v>
      </c>
      <c r="B130" s="39">
        <v>1909000</v>
      </c>
      <c r="C130" s="28">
        <v>8758000</v>
      </c>
      <c r="D130" s="28">
        <v>4767000</v>
      </c>
      <c r="E130" s="33"/>
      <c r="F130" s="28">
        <v>8417000</v>
      </c>
      <c r="G130" s="33"/>
      <c r="H130" s="28">
        <v>3004000</v>
      </c>
      <c r="I130" s="33"/>
      <c r="J130" s="28">
        <v>1506000</v>
      </c>
      <c r="K130" s="28">
        <v>889000</v>
      </c>
      <c r="L130" s="28">
        <v>2174000</v>
      </c>
      <c r="M130" s="28">
        <v>2439000</v>
      </c>
      <c r="N130" s="28">
        <v>2489000</v>
      </c>
      <c r="O130" s="28">
        <v>2987000</v>
      </c>
      <c r="P130" s="28">
        <v>2987000</v>
      </c>
      <c r="Q130" s="28">
        <v>2444000</v>
      </c>
      <c r="R130" s="28">
        <v>3484000</v>
      </c>
      <c r="S130" s="28">
        <v>1473000</v>
      </c>
      <c r="T130" s="28">
        <v>3084000</v>
      </c>
      <c r="U130" s="28">
        <v>3506000</v>
      </c>
      <c r="V130" s="28">
        <v>3084000</v>
      </c>
      <c r="W130" s="28">
        <v>3240000</v>
      </c>
      <c r="X130" s="28">
        <v>3133000</v>
      </c>
      <c r="Y130" s="28">
        <v>3375000</v>
      </c>
      <c r="Z130" s="28">
        <v>1938000</v>
      </c>
      <c r="AA130" s="28">
        <v>1938000</v>
      </c>
      <c r="AB130" s="28">
        <v>1938000</v>
      </c>
      <c r="AC130" s="28">
        <v>1938000</v>
      </c>
      <c r="AD130" s="28"/>
      <c r="AE130" s="28">
        <v>2091000</v>
      </c>
      <c r="AF130" s="28">
        <v>2091000</v>
      </c>
      <c r="AG130" s="28">
        <v>2053000</v>
      </c>
      <c r="AH130" s="28">
        <v>1938000</v>
      </c>
      <c r="AI130" s="28">
        <v>1900000</v>
      </c>
      <c r="AJ130" s="28">
        <v>1900000</v>
      </c>
      <c r="AK130" s="28">
        <v>1900000</v>
      </c>
      <c r="AL130" s="25"/>
      <c r="AM130" s="25"/>
      <c r="AN130" s="25"/>
      <c r="AO130" s="25"/>
      <c r="AP130" s="25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</row>
    <row r="131" spans="1:68" ht="15" x14ac:dyDescent="0.2">
      <c r="A131" s="38" t="s">
        <v>108</v>
      </c>
      <c r="B131" s="39">
        <v>2005000</v>
      </c>
      <c r="C131" s="28">
        <v>9305000</v>
      </c>
      <c r="D131" s="28">
        <v>5065000</v>
      </c>
      <c r="E131" s="33"/>
      <c r="F131" s="28">
        <v>8943000</v>
      </c>
      <c r="G131" s="33"/>
      <c r="H131" s="28">
        <v>3170000</v>
      </c>
      <c r="I131" s="33"/>
      <c r="J131" s="28">
        <v>1599000</v>
      </c>
      <c r="K131" s="28">
        <v>944000</v>
      </c>
      <c r="L131" s="28">
        <v>2307000</v>
      </c>
      <c r="M131" s="28">
        <v>2588000</v>
      </c>
      <c r="N131" s="28">
        <v>2641000</v>
      </c>
      <c r="O131" s="28">
        <v>3169000</v>
      </c>
      <c r="P131" s="28">
        <v>3169000</v>
      </c>
      <c r="Q131" s="28">
        <v>2594000</v>
      </c>
      <c r="R131" s="28">
        <v>3699000</v>
      </c>
      <c r="S131" s="28">
        <v>1563000</v>
      </c>
      <c r="T131" s="28">
        <v>3273000</v>
      </c>
      <c r="U131" s="28">
        <v>3722000</v>
      </c>
      <c r="V131" s="28">
        <v>3273000</v>
      </c>
      <c r="W131" s="28">
        <v>3440000</v>
      </c>
      <c r="X131" s="28">
        <v>3326000</v>
      </c>
      <c r="Y131" s="28">
        <v>3583000</v>
      </c>
      <c r="Z131" s="28">
        <v>2058000</v>
      </c>
      <c r="AA131" s="28">
        <v>2058000</v>
      </c>
      <c r="AB131" s="28">
        <v>2058000</v>
      </c>
      <c r="AC131" s="28">
        <v>2058000</v>
      </c>
      <c r="AD131" s="28"/>
      <c r="AE131" s="28">
        <v>2221000</v>
      </c>
      <c r="AF131" s="28">
        <v>2221000</v>
      </c>
      <c r="AG131" s="28">
        <v>2180000</v>
      </c>
      <c r="AH131" s="28">
        <v>2058000</v>
      </c>
      <c r="AI131" s="28">
        <v>2017000</v>
      </c>
      <c r="AJ131" s="28">
        <v>2017000</v>
      </c>
      <c r="AK131" s="28">
        <v>2017000</v>
      </c>
      <c r="AL131" s="25"/>
      <c r="AM131" s="25"/>
      <c r="AN131" s="25"/>
      <c r="AO131" s="25"/>
      <c r="AP131" s="25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</row>
    <row r="132" spans="1:68" ht="15" x14ac:dyDescent="0.2">
      <c r="A132" s="38" t="s">
        <v>109</v>
      </c>
      <c r="B132" s="39">
        <v>1740000</v>
      </c>
      <c r="C132" s="28">
        <v>7224000</v>
      </c>
      <c r="D132" s="28">
        <v>4246000</v>
      </c>
      <c r="E132" s="33"/>
      <c r="F132" s="28">
        <v>7497000</v>
      </c>
      <c r="G132" s="33"/>
      <c r="H132" s="28">
        <v>2712000</v>
      </c>
      <c r="I132" s="33"/>
      <c r="J132" s="28">
        <v>1343000</v>
      </c>
      <c r="K132" s="28">
        <v>794000</v>
      </c>
      <c r="L132" s="28">
        <v>1940000</v>
      </c>
      <c r="M132" s="28">
        <v>2177000</v>
      </c>
      <c r="N132" s="28">
        <v>2224000</v>
      </c>
      <c r="O132" s="28">
        <v>2669000</v>
      </c>
      <c r="P132" s="28">
        <v>2669000</v>
      </c>
      <c r="Q132" s="28">
        <v>2181000</v>
      </c>
      <c r="R132" s="28">
        <v>3108000</v>
      </c>
      <c r="S132" s="28">
        <v>1316000</v>
      </c>
      <c r="T132" s="28">
        <v>2752000</v>
      </c>
      <c r="U132" s="28">
        <v>3128000</v>
      </c>
      <c r="V132" s="28">
        <v>2752000</v>
      </c>
      <c r="W132" s="28">
        <v>2891000</v>
      </c>
      <c r="X132" s="28">
        <v>2795000</v>
      </c>
      <c r="Y132" s="28">
        <v>3011000</v>
      </c>
      <c r="Z132" s="28">
        <v>1728000</v>
      </c>
      <c r="AA132" s="28">
        <v>1728000</v>
      </c>
      <c r="AB132" s="28">
        <v>1728000</v>
      </c>
      <c r="AC132" s="28">
        <v>1728000</v>
      </c>
      <c r="AD132" s="28">
        <v>1702000</v>
      </c>
      <c r="AE132" s="28">
        <v>1865000</v>
      </c>
      <c r="AF132" s="28">
        <v>1865000</v>
      </c>
      <c r="AG132" s="28">
        <v>1830000</v>
      </c>
      <c r="AH132" s="28">
        <v>1728000</v>
      </c>
      <c r="AI132" s="28">
        <v>1694000</v>
      </c>
      <c r="AJ132" s="28">
        <v>1694000</v>
      </c>
      <c r="AK132" s="28">
        <v>1694000</v>
      </c>
      <c r="AL132" s="28">
        <v>1428000</v>
      </c>
      <c r="AM132" s="28">
        <v>1264000</v>
      </c>
      <c r="AN132" s="28">
        <v>1264000</v>
      </c>
      <c r="AO132" s="28">
        <v>1428000</v>
      </c>
      <c r="AP132" s="28">
        <v>2467000</v>
      </c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</row>
    <row r="133" spans="1:68" ht="15" x14ac:dyDescent="0.2">
      <c r="A133" s="38" t="s">
        <v>110</v>
      </c>
      <c r="B133" s="39">
        <v>1620000</v>
      </c>
      <c r="C133" s="28">
        <v>6590000</v>
      </c>
      <c r="D133" s="28">
        <v>3873000</v>
      </c>
      <c r="E133" s="33"/>
      <c r="F133" s="28">
        <v>6839000</v>
      </c>
      <c r="G133" s="33"/>
      <c r="H133" s="28">
        <v>2504000</v>
      </c>
      <c r="I133" s="33"/>
      <c r="J133" s="28">
        <v>1227000</v>
      </c>
      <c r="K133" s="28">
        <v>726000</v>
      </c>
      <c r="L133" s="28">
        <v>1774000</v>
      </c>
      <c r="M133" s="28">
        <v>1990000</v>
      </c>
      <c r="N133" s="28">
        <v>2034000</v>
      </c>
      <c r="O133" s="28">
        <v>2441000</v>
      </c>
      <c r="P133" s="28">
        <v>2441000</v>
      </c>
      <c r="Q133" s="28">
        <v>1994000</v>
      </c>
      <c r="R133" s="28">
        <v>2839000</v>
      </c>
      <c r="S133" s="28">
        <v>1204000</v>
      </c>
      <c r="T133" s="28">
        <v>2515000</v>
      </c>
      <c r="U133" s="28">
        <v>2858000</v>
      </c>
      <c r="V133" s="28">
        <v>2515000</v>
      </c>
      <c r="W133" s="28">
        <v>2641000</v>
      </c>
      <c r="X133" s="28">
        <v>2554000</v>
      </c>
      <c r="Y133" s="28">
        <v>2751000</v>
      </c>
      <c r="Z133" s="28">
        <v>1578000</v>
      </c>
      <c r="AA133" s="28">
        <v>1578000</v>
      </c>
      <c r="AB133" s="28">
        <v>1578000</v>
      </c>
      <c r="AC133" s="28">
        <v>1578000</v>
      </c>
      <c r="AD133" s="28">
        <v>1555000</v>
      </c>
      <c r="AE133" s="28">
        <v>1703000</v>
      </c>
      <c r="AF133" s="28">
        <v>1703000</v>
      </c>
      <c r="AG133" s="28">
        <v>1672000</v>
      </c>
      <c r="AH133" s="28">
        <v>1578000</v>
      </c>
      <c r="AI133" s="28">
        <v>1547000</v>
      </c>
      <c r="AJ133" s="28">
        <v>1547000</v>
      </c>
      <c r="AK133" s="28">
        <v>1547000</v>
      </c>
      <c r="AL133" s="28">
        <v>1309000</v>
      </c>
      <c r="AM133" s="28">
        <v>1159000</v>
      </c>
      <c r="AN133" s="28">
        <v>1159000</v>
      </c>
      <c r="AO133" s="28">
        <v>1309000</v>
      </c>
      <c r="AP133" s="28">
        <v>2256000</v>
      </c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</row>
    <row r="134" spans="1:68" ht="15" x14ac:dyDescent="0.2">
      <c r="A134" s="38" t="s">
        <v>111</v>
      </c>
      <c r="B134" s="39">
        <v>589000</v>
      </c>
      <c r="C134" s="28">
        <v>1141000</v>
      </c>
      <c r="D134" s="28">
        <v>671000</v>
      </c>
      <c r="E134" s="33"/>
      <c r="F134" s="28">
        <v>1184000</v>
      </c>
      <c r="G134" s="33"/>
      <c r="H134" s="28">
        <v>715000</v>
      </c>
      <c r="I134" s="33"/>
      <c r="J134" s="28">
        <v>227000</v>
      </c>
      <c r="K134" s="28">
        <v>140000</v>
      </c>
      <c r="L134" s="28">
        <v>339000</v>
      </c>
      <c r="M134" s="28">
        <v>385000</v>
      </c>
      <c r="N134" s="28">
        <v>404000</v>
      </c>
      <c r="O134" s="28">
        <v>485000</v>
      </c>
      <c r="P134" s="28">
        <v>485000</v>
      </c>
      <c r="Q134" s="28">
        <v>380000</v>
      </c>
      <c r="R134" s="28">
        <v>529000</v>
      </c>
      <c r="S134" s="28">
        <v>240000</v>
      </c>
      <c r="T134" s="28">
        <v>477000</v>
      </c>
      <c r="U134" s="28">
        <v>536000</v>
      </c>
      <c r="V134" s="28">
        <v>477000</v>
      </c>
      <c r="W134" s="28">
        <v>496000</v>
      </c>
      <c r="X134" s="28">
        <v>481000</v>
      </c>
      <c r="Y134" s="28">
        <v>515000</v>
      </c>
      <c r="Z134" s="28">
        <v>289000</v>
      </c>
      <c r="AA134" s="28">
        <v>289000</v>
      </c>
      <c r="AB134" s="28">
        <v>289000</v>
      </c>
      <c r="AC134" s="28">
        <v>289000</v>
      </c>
      <c r="AD134" s="28">
        <v>285000</v>
      </c>
      <c r="AE134" s="28">
        <v>311000</v>
      </c>
      <c r="AF134" s="28">
        <v>311000</v>
      </c>
      <c r="AG134" s="28">
        <v>305000</v>
      </c>
      <c r="AH134" s="28">
        <v>289000</v>
      </c>
      <c r="AI134" s="28">
        <v>284000</v>
      </c>
      <c r="AJ134" s="28">
        <v>284000</v>
      </c>
      <c r="AK134" s="28">
        <v>284000</v>
      </c>
      <c r="AL134" s="28">
        <v>283000</v>
      </c>
      <c r="AM134" s="28">
        <v>257000</v>
      </c>
      <c r="AN134" s="28">
        <v>257000</v>
      </c>
      <c r="AO134" s="28">
        <v>283000</v>
      </c>
      <c r="AP134" s="28">
        <v>436000</v>
      </c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</row>
    <row r="135" spans="1:68" ht="15" x14ac:dyDescent="0.2">
      <c r="A135" s="38" t="s">
        <v>112</v>
      </c>
      <c r="B135" s="39">
        <v>660000</v>
      </c>
      <c r="C135" s="28">
        <v>1521000</v>
      </c>
      <c r="D135" s="28">
        <v>894000</v>
      </c>
      <c r="E135" s="33"/>
      <c r="F135" s="28">
        <v>1579000</v>
      </c>
      <c r="G135" s="33"/>
      <c r="H135" s="28">
        <v>840000</v>
      </c>
      <c r="I135" s="33"/>
      <c r="J135" s="28">
        <v>297000</v>
      </c>
      <c r="K135" s="28">
        <v>181000</v>
      </c>
      <c r="L135" s="28">
        <v>439000</v>
      </c>
      <c r="M135" s="28">
        <v>497000</v>
      </c>
      <c r="N135" s="28">
        <v>518000</v>
      </c>
      <c r="O135" s="28">
        <v>621000</v>
      </c>
      <c r="P135" s="28">
        <v>621000</v>
      </c>
      <c r="Q135" s="28">
        <v>492000</v>
      </c>
      <c r="R135" s="28">
        <v>690000</v>
      </c>
      <c r="S135" s="28">
        <v>307000</v>
      </c>
      <c r="T135" s="28">
        <v>619000</v>
      </c>
      <c r="U135" s="28">
        <v>698000</v>
      </c>
      <c r="V135" s="28">
        <v>619000</v>
      </c>
      <c r="W135" s="28">
        <v>645000</v>
      </c>
      <c r="X135" s="28">
        <v>625000</v>
      </c>
      <c r="Y135" s="28">
        <v>671000</v>
      </c>
      <c r="Z135" s="28">
        <v>379000</v>
      </c>
      <c r="AA135" s="28">
        <v>379000</v>
      </c>
      <c r="AB135" s="28">
        <v>379000</v>
      </c>
      <c r="AC135" s="28">
        <v>379000</v>
      </c>
      <c r="AD135" s="28">
        <v>374000</v>
      </c>
      <c r="AE135" s="28">
        <v>408000</v>
      </c>
      <c r="AF135" s="28">
        <v>408000</v>
      </c>
      <c r="AG135" s="28">
        <v>401000</v>
      </c>
      <c r="AH135" s="28">
        <v>379000</v>
      </c>
      <c r="AI135" s="28">
        <v>372000</v>
      </c>
      <c r="AJ135" s="28">
        <v>372000</v>
      </c>
      <c r="AK135" s="28">
        <v>372000</v>
      </c>
      <c r="AL135" s="28">
        <v>354000</v>
      </c>
      <c r="AM135" s="28">
        <v>320000</v>
      </c>
      <c r="AN135" s="28">
        <v>320000</v>
      </c>
      <c r="AO135" s="28">
        <v>354000</v>
      </c>
      <c r="AP135" s="28">
        <v>563000</v>
      </c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</row>
    <row r="136" spans="1:68" ht="15" x14ac:dyDescent="0.2">
      <c r="A136" s="38" t="s">
        <v>113</v>
      </c>
      <c r="B136" s="39">
        <v>733000</v>
      </c>
      <c r="C136" s="28">
        <v>1901000</v>
      </c>
      <c r="D136" s="28">
        <v>1118000</v>
      </c>
      <c r="E136" s="33"/>
      <c r="F136" s="28">
        <v>1973000</v>
      </c>
      <c r="G136" s="33"/>
      <c r="H136" s="28">
        <v>965000</v>
      </c>
      <c r="I136" s="33"/>
      <c r="J136" s="28">
        <v>366000</v>
      </c>
      <c r="K136" s="28">
        <v>222000</v>
      </c>
      <c r="L136" s="28">
        <v>539000</v>
      </c>
      <c r="M136" s="28">
        <v>609000</v>
      </c>
      <c r="N136" s="28">
        <v>631000</v>
      </c>
      <c r="O136" s="28">
        <v>758000</v>
      </c>
      <c r="P136" s="28">
        <v>758000</v>
      </c>
      <c r="Q136" s="28">
        <v>605000</v>
      </c>
      <c r="R136" s="28">
        <v>851000</v>
      </c>
      <c r="S136" s="28">
        <v>374000</v>
      </c>
      <c r="T136" s="28">
        <v>761000</v>
      </c>
      <c r="U136" s="28">
        <v>860000</v>
      </c>
      <c r="V136" s="28">
        <v>761000</v>
      </c>
      <c r="W136" s="28">
        <v>795000</v>
      </c>
      <c r="X136" s="28">
        <v>770000</v>
      </c>
      <c r="Y136" s="28">
        <v>827000</v>
      </c>
      <c r="Z136" s="28">
        <v>469000</v>
      </c>
      <c r="AA136" s="28">
        <v>469000</v>
      </c>
      <c r="AB136" s="28">
        <v>469000</v>
      </c>
      <c r="AC136" s="28">
        <v>469000</v>
      </c>
      <c r="AD136" s="28">
        <v>462000</v>
      </c>
      <c r="AE136" s="28">
        <v>505000</v>
      </c>
      <c r="AF136" s="28">
        <v>505000</v>
      </c>
      <c r="AG136" s="28">
        <v>496000</v>
      </c>
      <c r="AH136" s="28">
        <v>469000</v>
      </c>
      <c r="AI136" s="28">
        <v>460000</v>
      </c>
      <c r="AJ136" s="28">
        <v>460000</v>
      </c>
      <c r="AK136" s="28">
        <v>460000</v>
      </c>
      <c r="AL136" s="28">
        <v>426000</v>
      </c>
      <c r="AM136" s="28">
        <v>383000</v>
      </c>
      <c r="AN136" s="28">
        <v>383000</v>
      </c>
      <c r="AO136" s="28">
        <v>426000</v>
      </c>
      <c r="AP136" s="28">
        <v>690000</v>
      </c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</row>
    <row r="137" spans="1:68" ht="15" x14ac:dyDescent="0.2">
      <c r="A137" s="38" t="s">
        <v>114</v>
      </c>
      <c r="B137" s="39">
        <v>853000</v>
      </c>
      <c r="C137" s="28">
        <v>2535000</v>
      </c>
      <c r="D137" s="28">
        <v>1490000</v>
      </c>
      <c r="E137" s="33"/>
      <c r="F137" s="28">
        <v>2631000</v>
      </c>
      <c r="G137" s="33"/>
      <c r="H137" s="28">
        <v>1173000</v>
      </c>
      <c r="I137" s="33"/>
      <c r="J137" s="28">
        <v>483000</v>
      </c>
      <c r="K137" s="28">
        <v>290000</v>
      </c>
      <c r="L137" s="28">
        <v>706000</v>
      </c>
      <c r="M137" s="28">
        <v>795000</v>
      </c>
      <c r="N137" s="28">
        <v>821000</v>
      </c>
      <c r="O137" s="28">
        <v>985000</v>
      </c>
      <c r="P137" s="28">
        <v>985000</v>
      </c>
      <c r="Q137" s="28">
        <v>793000</v>
      </c>
      <c r="R137" s="28">
        <v>1120000</v>
      </c>
      <c r="S137" s="28">
        <v>487000</v>
      </c>
      <c r="T137" s="28">
        <v>998000</v>
      </c>
      <c r="U137" s="28">
        <v>1130000</v>
      </c>
      <c r="V137" s="28">
        <v>998000</v>
      </c>
      <c r="W137" s="28">
        <v>1045000</v>
      </c>
      <c r="X137" s="28">
        <v>1011000</v>
      </c>
      <c r="Y137" s="28">
        <v>1087000</v>
      </c>
      <c r="Z137" s="28">
        <v>619000</v>
      </c>
      <c r="AA137" s="28">
        <v>619000</v>
      </c>
      <c r="AB137" s="28">
        <v>619000</v>
      </c>
      <c r="AC137" s="28">
        <v>619000</v>
      </c>
      <c r="AD137" s="28">
        <v>610000</v>
      </c>
      <c r="AE137" s="28">
        <v>667000</v>
      </c>
      <c r="AF137" s="28">
        <v>667000</v>
      </c>
      <c r="AG137" s="28">
        <v>655000</v>
      </c>
      <c r="AH137" s="28">
        <v>619000</v>
      </c>
      <c r="AI137" s="28">
        <v>607000</v>
      </c>
      <c r="AJ137" s="28">
        <v>607000</v>
      </c>
      <c r="AK137" s="28">
        <v>607000</v>
      </c>
      <c r="AL137" s="28">
        <v>545000</v>
      </c>
      <c r="AM137" s="28">
        <v>488000</v>
      </c>
      <c r="AN137" s="28">
        <v>488000</v>
      </c>
      <c r="AO137" s="28">
        <v>545000</v>
      </c>
      <c r="AP137" s="28">
        <v>901000</v>
      </c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</row>
    <row r="138" spans="1:68" ht="15" x14ac:dyDescent="0.2">
      <c r="A138" s="38" t="s">
        <v>115</v>
      </c>
      <c r="B138" s="39">
        <v>973000</v>
      </c>
      <c r="C138" s="28">
        <v>3168000</v>
      </c>
      <c r="D138" s="28">
        <v>1862000</v>
      </c>
      <c r="E138" s="33"/>
      <c r="F138" s="28">
        <v>3288000</v>
      </c>
      <c r="G138" s="33"/>
      <c r="H138" s="28">
        <v>1381000</v>
      </c>
      <c r="I138" s="33"/>
      <c r="J138" s="28">
        <v>599000</v>
      </c>
      <c r="K138" s="28">
        <v>358000</v>
      </c>
      <c r="L138" s="28">
        <v>873000</v>
      </c>
      <c r="M138" s="28">
        <v>982000</v>
      </c>
      <c r="N138" s="28">
        <v>1011000</v>
      </c>
      <c r="O138" s="28">
        <v>1213000</v>
      </c>
      <c r="P138" s="28">
        <v>1213000</v>
      </c>
      <c r="Q138" s="28">
        <v>980000</v>
      </c>
      <c r="R138" s="28">
        <v>1389000</v>
      </c>
      <c r="S138" s="28">
        <v>599000</v>
      </c>
      <c r="T138" s="28">
        <v>1235000</v>
      </c>
      <c r="U138" s="28">
        <v>1400000</v>
      </c>
      <c r="V138" s="28">
        <v>1235000</v>
      </c>
      <c r="W138" s="28">
        <v>1294000</v>
      </c>
      <c r="X138" s="28">
        <v>1252000</v>
      </c>
      <c r="Y138" s="28">
        <v>1347000</v>
      </c>
      <c r="Z138" s="28">
        <v>769000</v>
      </c>
      <c r="AA138" s="28">
        <v>769000</v>
      </c>
      <c r="AB138" s="28">
        <v>769000</v>
      </c>
      <c r="AC138" s="28">
        <v>769000</v>
      </c>
      <c r="AD138" s="28">
        <v>757000</v>
      </c>
      <c r="AE138" s="28">
        <v>829000</v>
      </c>
      <c r="AF138" s="28">
        <v>829000</v>
      </c>
      <c r="AG138" s="28">
        <v>814000</v>
      </c>
      <c r="AH138" s="28">
        <v>769000</v>
      </c>
      <c r="AI138" s="28">
        <v>754000</v>
      </c>
      <c r="AJ138" s="28">
        <v>754000</v>
      </c>
      <c r="AK138" s="28">
        <v>754000</v>
      </c>
      <c r="AL138" s="28">
        <v>665000</v>
      </c>
      <c r="AM138" s="28">
        <v>592000</v>
      </c>
      <c r="AN138" s="28">
        <v>592000</v>
      </c>
      <c r="AO138" s="28">
        <v>665000</v>
      </c>
      <c r="AP138" s="28">
        <v>1113000</v>
      </c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</row>
    <row r="139" spans="1:68" ht="15" x14ac:dyDescent="0.2">
      <c r="A139" s="38" t="s">
        <v>116</v>
      </c>
      <c r="B139" s="39">
        <v>1033000</v>
      </c>
      <c r="C139" s="28">
        <v>3485000</v>
      </c>
      <c r="D139" s="28">
        <v>2049000</v>
      </c>
      <c r="E139" s="33"/>
      <c r="F139" s="28">
        <v>3617000</v>
      </c>
      <c r="G139" s="33"/>
      <c r="H139" s="28">
        <v>1485000</v>
      </c>
      <c r="I139" s="33"/>
      <c r="J139" s="28">
        <v>657000</v>
      </c>
      <c r="K139" s="28">
        <v>392000</v>
      </c>
      <c r="L139" s="28">
        <v>956000</v>
      </c>
      <c r="M139" s="28">
        <v>1075000</v>
      </c>
      <c r="N139" s="28">
        <v>1105000</v>
      </c>
      <c r="O139" s="28">
        <v>1326000</v>
      </c>
      <c r="P139" s="28">
        <v>1326000</v>
      </c>
      <c r="Q139" s="28">
        <v>1074000</v>
      </c>
      <c r="R139" s="28">
        <v>1523000</v>
      </c>
      <c r="S139" s="28">
        <v>655000</v>
      </c>
      <c r="T139" s="28">
        <v>1354000</v>
      </c>
      <c r="U139" s="28">
        <v>1535000</v>
      </c>
      <c r="V139" s="28">
        <v>1354000</v>
      </c>
      <c r="W139" s="28">
        <v>1419000</v>
      </c>
      <c r="X139" s="28">
        <v>1373000</v>
      </c>
      <c r="Y139" s="28">
        <v>1477000</v>
      </c>
      <c r="Z139" s="28">
        <v>844000</v>
      </c>
      <c r="AA139" s="28">
        <v>844000</v>
      </c>
      <c r="AB139" s="28">
        <v>844000</v>
      </c>
      <c r="AC139" s="28">
        <v>844000</v>
      </c>
      <c r="AD139" s="28">
        <v>831000</v>
      </c>
      <c r="AE139" s="28">
        <v>910000</v>
      </c>
      <c r="AF139" s="28">
        <v>910000</v>
      </c>
      <c r="AG139" s="28">
        <v>893000</v>
      </c>
      <c r="AH139" s="28">
        <v>844000</v>
      </c>
      <c r="AI139" s="28">
        <v>827000</v>
      </c>
      <c r="AJ139" s="28">
        <v>827000</v>
      </c>
      <c r="AK139" s="28">
        <v>827000</v>
      </c>
      <c r="AL139" s="28">
        <v>724000</v>
      </c>
      <c r="AM139" s="28">
        <v>645000</v>
      </c>
      <c r="AN139" s="28">
        <v>645000</v>
      </c>
      <c r="AO139" s="28">
        <v>724000</v>
      </c>
      <c r="AP139" s="28">
        <v>1219000</v>
      </c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</row>
    <row r="140" spans="1:68" ht="15" x14ac:dyDescent="0.2">
      <c r="A140" s="38" t="s">
        <v>117</v>
      </c>
      <c r="B140" s="39">
        <v>1093000</v>
      </c>
      <c r="C140" s="28">
        <v>3802000</v>
      </c>
      <c r="D140" s="28">
        <v>2235000</v>
      </c>
      <c r="E140" s="33"/>
      <c r="F140" s="28">
        <v>3946000</v>
      </c>
      <c r="G140" s="33"/>
      <c r="H140" s="28">
        <v>1589000</v>
      </c>
      <c r="I140" s="33"/>
      <c r="J140" s="28">
        <v>715000</v>
      </c>
      <c r="K140" s="28">
        <v>426000</v>
      </c>
      <c r="L140" s="28">
        <v>1040000</v>
      </c>
      <c r="M140" s="28">
        <v>1169000</v>
      </c>
      <c r="N140" s="28">
        <v>1200000</v>
      </c>
      <c r="O140" s="28">
        <v>1440000</v>
      </c>
      <c r="P140" s="28">
        <v>1440000</v>
      </c>
      <c r="Q140" s="28">
        <v>1168000</v>
      </c>
      <c r="R140" s="28">
        <v>1657000</v>
      </c>
      <c r="S140" s="28">
        <v>711000</v>
      </c>
      <c r="T140" s="28">
        <v>1472000</v>
      </c>
      <c r="U140" s="28">
        <v>1670000</v>
      </c>
      <c r="V140" s="28">
        <v>1472000</v>
      </c>
      <c r="W140" s="28">
        <v>1544000</v>
      </c>
      <c r="X140" s="28">
        <v>1493000</v>
      </c>
      <c r="Y140" s="28">
        <v>1607000</v>
      </c>
      <c r="Z140" s="28">
        <v>919000</v>
      </c>
      <c r="AA140" s="28">
        <v>919000</v>
      </c>
      <c r="AB140" s="28">
        <v>919000</v>
      </c>
      <c r="AC140" s="28">
        <v>919000</v>
      </c>
      <c r="AD140" s="28">
        <v>905000</v>
      </c>
      <c r="AE140" s="28">
        <v>991000</v>
      </c>
      <c r="AF140" s="28">
        <v>991000</v>
      </c>
      <c r="AG140" s="28">
        <v>973000</v>
      </c>
      <c r="AH140" s="28">
        <v>919000</v>
      </c>
      <c r="AI140" s="28">
        <v>901000</v>
      </c>
      <c r="AJ140" s="28">
        <v>901000</v>
      </c>
      <c r="AK140" s="28">
        <v>901000</v>
      </c>
      <c r="AL140" s="28">
        <v>784000</v>
      </c>
      <c r="AM140" s="28">
        <v>697000</v>
      </c>
      <c r="AN140" s="28">
        <v>697000</v>
      </c>
      <c r="AO140" s="28">
        <v>784000</v>
      </c>
      <c r="AP140" s="28">
        <v>1325000</v>
      </c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</row>
    <row r="141" spans="1:68" ht="18" x14ac:dyDescent="0.25">
      <c r="A141" s="42" t="s">
        <v>118</v>
      </c>
      <c r="B141" s="43"/>
      <c r="C141" s="28"/>
      <c r="D141" s="25"/>
      <c r="E141" s="33"/>
      <c r="F141" s="25"/>
      <c r="G141" s="33"/>
      <c r="H141" s="25"/>
      <c r="I141" s="33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</row>
    <row r="142" spans="1:68" ht="15" x14ac:dyDescent="0.2">
      <c r="A142" s="31" t="s">
        <v>119</v>
      </c>
      <c r="B142" s="28">
        <v>1710000</v>
      </c>
      <c r="C142" s="28">
        <v>5519000</v>
      </c>
      <c r="D142" s="28">
        <v>3244000</v>
      </c>
      <c r="E142" s="33"/>
      <c r="F142" s="28">
        <v>5728000</v>
      </c>
      <c r="G142" s="33"/>
      <c r="H142" s="28">
        <v>2248000</v>
      </c>
      <c r="I142" s="33"/>
      <c r="J142" s="28">
        <v>1044000</v>
      </c>
      <c r="K142" s="28">
        <v>624000</v>
      </c>
      <c r="L142" s="28">
        <v>1522000</v>
      </c>
      <c r="M142" s="28">
        <v>1713000</v>
      </c>
      <c r="N142" s="28">
        <v>1763000</v>
      </c>
      <c r="O142" s="28">
        <v>2115000</v>
      </c>
      <c r="P142" s="28">
        <v>2115000</v>
      </c>
      <c r="Q142" s="28">
        <v>1709000</v>
      </c>
      <c r="R142" s="28">
        <v>2421000</v>
      </c>
      <c r="S142" s="28">
        <v>1044000</v>
      </c>
      <c r="T142" s="28">
        <v>2154000</v>
      </c>
      <c r="U142" s="28">
        <v>2441000</v>
      </c>
      <c r="V142" s="28">
        <v>2154000</v>
      </c>
      <c r="W142" s="28">
        <v>2256000</v>
      </c>
      <c r="X142" s="28">
        <v>2183000</v>
      </c>
      <c r="Y142" s="28">
        <v>2347000</v>
      </c>
      <c r="Z142" s="28">
        <v>1339000</v>
      </c>
      <c r="AA142" s="28">
        <v>1339000</v>
      </c>
      <c r="AB142" s="28">
        <v>1339000</v>
      </c>
      <c r="AC142" s="28">
        <v>1339000</v>
      </c>
      <c r="AD142" s="28">
        <v>1320000</v>
      </c>
      <c r="AE142" s="28">
        <v>1444000</v>
      </c>
      <c r="AF142" s="28">
        <v>1444000</v>
      </c>
      <c r="AG142" s="28">
        <v>1418000</v>
      </c>
      <c r="AH142" s="28">
        <v>1339000</v>
      </c>
      <c r="AI142" s="28">
        <v>1313000</v>
      </c>
      <c r="AJ142" s="28">
        <v>1313000</v>
      </c>
      <c r="AK142" s="28">
        <v>1313000</v>
      </c>
      <c r="AL142" s="28">
        <v>1160000</v>
      </c>
      <c r="AM142" s="28">
        <v>1035000</v>
      </c>
      <c r="AN142" s="28">
        <v>1035000</v>
      </c>
      <c r="AO142" s="28">
        <v>1160000</v>
      </c>
      <c r="AP142" s="28">
        <v>1941000</v>
      </c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</row>
    <row r="143" spans="1:68" ht="15" x14ac:dyDescent="0.2">
      <c r="A143" s="26" t="s">
        <v>120</v>
      </c>
      <c r="B143" s="28">
        <v>1807000</v>
      </c>
      <c r="C143" s="28">
        <v>6357000</v>
      </c>
      <c r="D143" s="28">
        <v>3460000</v>
      </c>
      <c r="E143" s="33"/>
      <c r="F143" s="28">
        <v>6110000</v>
      </c>
      <c r="G143" s="33"/>
      <c r="H143" s="28">
        <v>2380000</v>
      </c>
      <c r="I143" s="33"/>
      <c r="J143" s="28">
        <v>1113000</v>
      </c>
      <c r="K143" s="28">
        <v>665000</v>
      </c>
      <c r="L143" s="28">
        <v>1621000</v>
      </c>
      <c r="M143" s="28">
        <v>1824000</v>
      </c>
      <c r="N143" s="28">
        <v>1877000</v>
      </c>
      <c r="O143" s="28">
        <v>2253000</v>
      </c>
      <c r="P143" s="28">
        <v>2253000</v>
      </c>
      <c r="Q143" s="28">
        <v>1821000</v>
      </c>
      <c r="R143" s="28">
        <v>2580000</v>
      </c>
      <c r="S143" s="28">
        <v>1112000</v>
      </c>
      <c r="T143" s="28">
        <v>2295000</v>
      </c>
      <c r="U143" s="28">
        <v>2601000</v>
      </c>
      <c r="V143" s="28">
        <v>2295000</v>
      </c>
      <c r="W143" s="28">
        <v>2404000</v>
      </c>
      <c r="X143" s="28">
        <v>2326000</v>
      </c>
      <c r="Y143" s="28">
        <v>2502000</v>
      </c>
      <c r="Z143" s="28">
        <v>1428000</v>
      </c>
      <c r="AA143" s="28">
        <v>1428000</v>
      </c>
      <c r="AB143" s="28">
        <v>1428000</v>
      </c>
      <c r="AC143" s="28">
        <v>1428000</v>
      </c>
      <c r="AD143" s="28"/>
      <c r="AE143" s="28">
        <v>1539000</v>
      </c>
      <c r="AF143" s="28">
        <v>1539000</v>
      </c>
      <c r="AG143" s="28">
        <v>1511000</v>
      </c>
      <c r="AH143" s="28">
        <v>1428000</v>
      </c>
      <c r="AI143" s="28">
        <v>1400000</v>
      </c>
      <c r="AJ143" s="28">
        <v>1400000</v>
      </c>
      <c r="AK143" s="28">
        <v>1400000</v>
      </c>
      <c r="AL143" s="25"/>
      <c r="AM143" s="25"/>
      <c r="AN143" s="25"/>
      <c r="AO143" s="25"/>
      <c r="AP143" s="25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</row>
    <row r="144" spans="1:68" ht="15" x14ac:dyDescent="0.2">
      <c r="A144" s="26" t="s">
        <v>121</v>
      </c>
      <c r="B144" s="28">
        <v>1903000</v>
      </c>
      <c r="C144" s="28">
        <v>6754000</v>
      </c>
      <c r="D144" s="28">
        <v>3676000</v>
      </c>
      <c r="E144" s="33"/>
      <c r="F144" s="28">
        <v>6491000</v>
      </c>
      <c r="G144" s="33"/>
      <c r="H144" s="28">
        <v>2513000</v>
      </c>
      <c r="I144" s="33"/>
      <c r="J144" s="28">
        <v>1181000</v>
      </c>
      <c r="K144" s="28">
        <v>706000</v>
      </c>
      <c r="L144" s="28">
        <v>1721000</v>
      </c>
      <c r="M144" s="28">
        <v>1936000</v>
      </c>
      <c r="N144" s="28">
        <v>1992000</v>
      </c>
      <c r="O144" s="28">
        <v>2390000</v>
      </c>
      <c r="P144" s="28">
        <v>2390000</v>
      </c>
      <c r="Q144" s="28">
        <v>1933000</v>
      </c>
      <c r="R144" s="28">
        <v>2739000</v>
      </c>
      <c r="S144" s="28">
        <v>1180000</v>
      </c>
      <c r="T144" s="28">
        <v>2436000</v>
      </c>
      <c r="U144" s="28">
        <v>2762000</v>
      </c>
      <c r="V144" s="28">
        <v>2436000</v>
      </c>
      <c r="W144" s="28">
        <v>2552000</v>
      </c>
      <c r="X144" s="28">
        <v>2469000</v>
      </c>
      <c r="Y144" s="28">
        <v>2656000</v>
      </c>
      <c r="Z144" s="28">
        <v>1516000</v>
      </c>
      <c r="AA144" s="28">
        <v>1516000</v>
      </c>
      <c r="AB144" s="28">
        <v>1516000</v>
      </c>
      <c r="AC144" s="28">
        <v>1516000</v>
      </c>
      <c r="AD144" s="28"/>
      <c r="AE144" s="28">
        <v>1635000</v>
      </c>
      <c r="AF144" s="28">
        <v>1635000</v>
      </c>
      <c r="AG144" s="28">
        <v>1605000</v>
      </c>
      <c r="AH144" s="28">
        <v>1516000</v>
      </c>
      <c r="AI144" s="28">
        <v>1487000</v>
      </c>
      <c r="AJ144" s="28">
        <v>1487000</v>
      </c>
      <c r="AK144" s="28">
        <v>1487000</v>
      </c>
      <c r="AL144" s="25"/>
      <c r="AM144" s="25"/>
      <c r="AN144" s="25"/>
      <c r="AO144" s="25"/>
      <c r="AP144" s="25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</row>
    <row r="145" spans="1:68" ht="15" x14ac:dyDescent="0.2">
      <c r="A145" s="26" t="s">
        <v>122</v>
      </c>
      <c r="B145" s="27">
        <v>1639000</v>
      </c>
      <c r="C145" s="28">
        <v>5243000</v>
      </c>
      <c r="D145" s="28">
        <v>3082000</v>
      </c>
      <c r="E145" s="33"/>
      <c r="F145" s="28">
        <v>5441000</v>
      </c>
      <c r="G145" s="33"/>
      <c r="H145" s="28">
        <v>2148000</v>
      </c>
      <c r="I145" s="33"/>
      <c r="J145" s="28">
        <v>992000</v>
      </c>
      <c r="K145" s="28">
        <v>594000</v>
      </c>
      <c r="L145" s="28">
        <v>1447000</v>
      </c>
      <c r="M145" s="28">
        <v>1629000</v>
      </c>
      <c r="N145" s="28">
        <v>1677000</v>
      </c>
      <c r="O145" s="28">
        <v>2012000</v>
      </c>
      <c r="P145" s="28">
        <v>2012000</v>
      </c>
      <c r="Q145" s="28">
        <v>1625000</v>
      </c>
      <c r="R145" s="28">
        <v>2301000</v>
      </c>
      <c r="S145" s="28">
        <v>994000</v>
      </c>
      <c r="T145" s="28">
        <v>2048000</v>
      </c>
      <c r="U145" s="28">
        <v>2321000</v>
      </c>
      <c r="V145" s="28">
        <v>2048000</v>
      </c>
      <c r="W145" s="28">
        <v>2145000</v>
      </c>
      <c r="X145" s="28">
        <v>2075000</v>
      </c>
      <c r="Y145" s="28">
        <v>2232000</v>
      </c>
      <c r="Z145" s="28">
        <v>1273000</v>
      </c>
      <c r="AA145" s="28">
        <v>1273000</v>
      </c>
      <c r="AB145" s="28">
        <v>1273000</v>
      </c>
      <c r="AC145" s="28">
        <v>1273000</v>
      </c>
      <c r="AD145" s="28">
        <v>1255000</v>
      </c>
      <c r="AE145" s="28">
        <v>1372000</v>
      </c>
      <c r="AF145" s="28">
        <v>1372000</v>
      </c>
      <c r="AG145" s="28">
        <v>1348000</v>
      </c>
      <c r="AH145" s="28">
        <v>1273000</v>
      </c>
      <c r="AI145" s="28">
        <v>1248000</v>
      </c>
      <c r="AJ145" s="28">
        <v>1248000</v>
      </c>
      <c r="AK145" s="28">
        <v>1248000</v>
      </c>
      <c r="AL145" s="28">
        <v>1105000</v>
      </c>
      <c r="AM145" s="28">
        <v>985000</v>
      </c>
      <c r="AN145" s="28">
        <v>985000</v>
      </c>
      <c r="AO145" s="28">
        <v>1105000</v>
      </c>
      <c r="AP145" s="28">
        <v>1846000</v>
      </c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</row>
    <row r="146" spans="1:68" ht="15" x14ac:dyDescent="0.2">
      <c r="A146" s="26" t="s">
        <v>123</v>
      </c>
      <c r="B146" s="27">
        <v>1519000</v>
      </c>
      <c r="C146" s="28">
        <v>4783000</v>
      </c>
      <c r="D146" s="28">
        <v>2811000</v>
      </c>
      <c r="E146" s="33"/>
      <c r="F146" s="28">
        <v>4964000</v>
      </c>
      <c r="G146" s="33"/>
      <c r="H146" s="28">
        <v>1982000</v>
      </c>
      <c r="I146" s="33"/>
      <c r="J146" s="28">
        <v>906000</v>
      </c>
      <c r="K146" s="28">
        <v>543000</v>
      </c>
      <c r="L146" s="28">
        <v>1323000</v>
      </c>
      <c r="M146" s="28">
        <v>1489000</v>
      </c>
      <c r="N146" s="28">
        <v>1534000</v>
      </c>
      <c r="O146" s="28">
        <v>1841000</v>
      </c>
      <c r="P146" s="28">
        <v>1841000</v>
      </c>
      <c r="Q146" s="28">
        <v>1485000</v>
      </c>
      <c r="R146" s="28">
        <v>2102000</v>
      </c>
      <c r="S146" s="28">
        <v>909000</v>
      </c>
      <c r="T146" s="28">
        <v>1871000</v>
      </c>
      <c r="U146" s="28">
        <v>2120000</v>
      </c>
      <c r="V146" s="28">
        <v>1871000</v>
      </c>
      <c r="W146" s="28">
        <v>1960000</v>
      </c>
      <c r="X146" s="28">
        <v>1896000</v>
      </c>
      <c r="Y146" s="28">
        <v>2039000</v>
      </c>
      <c r="Z146" s="28">
        <v>1163000</v>
      </c>
      <c r="AA146" s="28">
        <v>1163000</v>
      </c>
      <c r="AB146" s="28">
        <v>1163000</v>
      </c>
      <c r="AC146" s="28">
        <v>1163000</v>
      </c>
      <c r="AD146" s="28">
        <v>1146000</v>
      </c>
      <c r="AE146" s="28">
        <v>1253000</v>
      </c>
      <c r="AF146" s="28">
        <v>1253000</v>
      </c>
      <c r="AG146" s="28">
        <v>1231000</v>
      </c>
      <c r="AH146" s="28">
        <v>1163000</v>
      </c>
      <c r="AI146" s="28">
        <v>1140000</v>
      </c>
      <c r="AJ146" s="28">
        <v>1140000</v>
      </c>
      <c r="AK146" s="28">
        <v>1140000</v>
      </c>
      <c r="AL146" s="28">
        <v>1012000</v>
      </c>
      <c r="AM146" s="28">
        <v>903000</v>
      </c>
      <c r="AN146" s="28">
        <v>903000</v>
      </c>
      <c r="AO146" s="28">
        <v>1012000</v>
      </c>
      <c r="AP146" s="28">
        <v>1687000</v>
      </c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</row>
    <row r="147" spans="1:68" ht="15" x14ac:dyDescent="0.2">
      <c r="A147" s="26" t="s">
        <v>124</v>
      </c>
      <c r="B147" s="27">
        <v>487000</v>
      </c>
      <c r="C147" s="28">
        <v>828000</v>
      </c>
      <c r="D147" s="28">
        <v>487000</v>
      </c>
      <c r="E147" s="33"/>
      <c r="F147" s="28">
        <v>860000</v>
      </c>
      <c r="G147" s="33"/>
      <c r="H147" s="28">
        <v>554000</v>
      </c>
      <c r="I147" s="33"/>
      <c r="J147" s="28">
        <v>168000</v>
      </c>
      <c r="K147" s="28">
        <v>105000</v>
      </c>
      <c r="L147" s="28">
        <v>252000</v>
      </c>
      <c r="M147" s="28">
        <v>287000</v>
      </c>
      <c r="N147" s="28">
        <v>303000</v>
      </c>
      <c r="O147" s="28">
        <v>364000</v>
      </c>
      <c r="P147" s="28">
        <v>364000</v>
      </c>
      <c r="Q147" s="28">
        <v>282000</v>
      </c>
      <c r="R147" s="28">
        <v>391000</v>
      </c>
      <c r="S147" s="28">
        <v>180000</v>
      </c>
      <c r="T147" s="28">
        <v>354000</v>
      </c>
      <c r="U147" s="28">
        <v>397000</v>
      </c>
      <c r="V147" s="28">
        <v>354000</v>
      </c>
      <c r="W147" s="28">
        <v>367000</v>
      </c>
      <c r="X147" s="28">
        <v>356000</v>
      </c>
      <c r="Y147" s="28">
        <v>381000</v>
      </c>
      <c r="Z147" s="28">
        <v>213000</v>
      </c>
      <c r="AA147" s="28">
        <v>213000</v>
      </c>
      <c r="AB147" s="28">
        <v>213000</v>
      </c>
      <c r="AC147" s="28">
        <v>213000</v>
      </c>
      <c r="AD147" s="28">
        <v>210000</v>
      </c>
      <c r="AE147" s="28">
        <v>229000</v>
      </c>
      <c r="AF147" s="28">
        <v>229000</v>
      </c>
      <c r="AG147" s="28">
        <v>225000</v>
      </c>
      <c r="AH147" s="28">
        <v>213000</v>
      </c>
      <c r="AI147" s="28">
        <v>209000</v>
      </c>
      <c r="AJ147" s="28">
        <v>209000</v>
      </c>
      <c r="AK147" s="28">
        <v>209000</v>
      </c>
      <c r="AL147" s="28">
        <v>216000</v>
      </c>
      <c r="AM147" s="28">
        <v>197000</v>
      </c>
      <c r="AN147" s="28">
        <v>197000</v>
      </c>
      <c r="AO147" s="28">
        <v>216000</v>
      </c>
      <c r="AP147" s="28">
        <v>325000</v>
      </c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</row>
    <row r="148" spans="1:68" ht="15" x14ac:dyDescent="0.2">
      <c r="A148" s="26" t="s">
        <v>125</v>
      </c>
      <c r="B148" s="27">
        <v>559000</v>
      </c>
      <c r="C148" s="28">
        <v>1104000</v>
      </c>
      <c r="D148" s="28">
        <v>649000</v>
      </c>
      <c r="E148" s="33"/>
      <c r="F148" s="28">
        <v>1146000</v>
      </c>
      <c r="G148" s="33"/>
      <c r="H148" s="28">
        <v>654000</v>
      </c>
      <c r="I148" s="33"/>
      <c r="J148" s="28">
        <v>219000</v>
      </c>
      <c r="K148" s="28">
        <v>135000</v>
      </c>
      <c r="L148" s="28">
        <v>327000</v>
      </c>
      <c r="M148" s="28">
        <v>371000</v>
      </c>
      <c r="N148" s="28">
        <v>389000</v>
      </c>
      <c r="O148" s="28">
        <v>467000</v>
      </c>
      <c r="P148" s="28">
        <v>467000</v>
      </c>
      <c r="Q148" s="28">
        <v>366000</v>
      </c>
      <c r="R148" s="28">
        <v>511000</v>
      </c>
      <c r="S148" s="28">
        <v>231000</v>
      </c>
      <c r="T148" s="28">
        <v>460000</v>
      </c>
      <c r="U148" s="28">
        <v>518000</v>
      </c>
      <c r="V148" s="28">
        <v>460000</v>
      </c>
      <c r="W148" s="28">
        <v>478000</v>
      </c>
      <c r="X148" s="28">
        <v>464000</v>
      </c>
      <c r="Y148" s="28">
        <v>497000</v>
      </c>
      <c r="Z148" s="28">
        <v>279000</v>
      </c>
      <c r="AA148" s="28">
        <v>279000</v>
      </c>
      <c r="AB148" s="28">
        <v>279000</v>
      </c>
      <c r="AC148" s="28">
        <v>279000</v>
      </c>
      <c r="AD148" s="28">
        <v>275000</v>
      </c>
      <c r="AE148" s="28">
        <v>300000</v>
      </c>
      <c r="AF148" s="28">
        <v>300000</v>
      </c>
      <c r="AG148" s="28">
        <v>295000</v>
      </c>
      <c r="AH148" s="28">
        <v>279000</v>
      </c>
      <c r="AI148" s="28">
        <v>274000</v>
      </c>
      <c r="AJ148" s="28">
        <v>274000</v>
      </c>
      <c r="AK148" s="28">
        <v>274000</v>
      </c>
      <c r="AL148" s="28">
        <v>272000</v>
      </c>
      <c r="AM148" s="28">
        <v>246000</v>
      </c>
      <c r="AN148" s="28">
        <v>246000</v>
      </c>
      <c r="AO148" s="28">
        <v>272000</v>
      </c>
      <c r="AP148" s="28">
        <v>420000</v>
      </c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</row>
    <row r="149" spans="1:68" ht="15" x14ac:dyDescent="0.2">
      <c r="A149" s="26" t="s">
        <v>126</v>
      </c>
      <c r="B149" s="27">
        <v>630000</v>
      </c>
      <c r="C149" s="28">
        <v>1380000</v>
      </c>
      <c r="D149" s="28">
        <v>811000</v>
      </c>
      <c r="E149" s="33"/>
      <c r="F149" s="28">
        <v>1432000</v>
      </c>
      <c r="G149" s="33"/>
      <c r="H149" s="28">
        <v>753000</v>
      </c>
      <c r="I149" s="33"/>
      <c r="J149" s="28">
        <v>271000</v>
      </c>
      <c r="K149" s="28">
        <v>166000</v>
      </c>
      <c r="L149" s="28">
        <v>402000</v>
      </c>
      <c r="M149" s="28">
        <v>455000</v>
      </c>
      <c r="N149" s="28">
        <v>475000</v>
      </c>
      <c r="O149" s="28">
        <v>570000</v>
      </c>
      <c r="P149" s="28">
        <v>570000</v>
      </c>
      <c r="Q149" s="28">
        <v>450000</v>
      </c>
      <c r="R149" s="28">
        <v>630000</v>
      </c>
      <c r="S149" s="28">
        <v>282000</v>
      </c>
      <c r="T149" s="28">
        <v>566000</v>
      </c>
      <c r="U149" s="28">
        <v>638000</v>
      </c>
      <c r="V149" s="28">
        <v>566000</v>
      </c>
      <c r="W149" s="28">
        <v>589000</v>
      </c>
      <c r="X149" s="28">
        <v>571000</v>
      </c>
      <c r="Y149" s="28">
        <v>612000</v>
      </c>
      <c r="Z149" s="28">
        <v>345000</v>
      </c>
      <c r="AA149" s="28">
        <v>345000</v>
      </c>
      <c r="AB149" s="28">
        <v>345000</v>
      </c>
      <c r="AC149" s="28">
        <v>345000</v>
      </c>
      <c r="AD149" s="28">
        <v>341000</v>
      </c>
      <c r="AE149" s="28">
        <v>372000</v>
      </c>
      <c r="AF149" s="28">
        <v>372000</v>
      </c>
      <c r="AG149" s="28">
        <v>365000</v>
      </c>
      <c r="AH149" s="28">
        <v>345000</v>
      </c>
      <c r="AI149" s="28">
        <v>339000</v>
      </c>
      <c r="AJ149" s="28">
        <v>339000</v>
      </c>
      <c r="AK149" s="28">
        <v>339000</v>
      </c>
      <c r="AL149" s="28">
        <v>327000</v>
      </c>
      <c r="AM149" s="28">
        <v>296000</v>
      </c>
      <c r="AN149" s="28">
        <v>296000</v>
      </c>
      <c r="AO149" s="28">
        <v>327000</v>
      </c>
      <c r="AP149" s="28">
        <v>515000</v>
      </c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</row>
    <row r="150" spans="1:68" ht="15" x14ac:dyDescent="0.2">
      <c r="A150" s="26" t="s">
        <v>127</v>
      </c>
      <c r="B150" s="27">
        <v>750000</v>
      </c>
      <c r="C150" s="28">
        <v>1840000</v>
      </c>
      <c r="D150" s="28">
        <v>1082000</v>
      </c>
      <c r="E150" s="33"/>
      <c r="F150" s="28">
        <v>1910000</v>
      </c>
      <c r="G150" s="33"/>
      <c r="H150" s="28">
        <v>919000</v>
      </c>
      <c r="I150" s="33"/>
      <c r="J150" s="28">
        <v>357000</v>
      </c>
      <c r="K150" s="28">
        <v>217000</v>
      </c>
      <c r="L150" s="28">
        <v>526000</v>
      </c>
      <c r="M150" s="28">
        <v>594000</v>
      </c>
      <c r="N150" s="28">
        <v>618000</v>
      </c>
      <c r="O150" s="28">
        <v>742000</v>
      </c>
      <c r="P150" s="28">
        <v>742000</v>
      </c>
      <c r="Q150" s="28">
        <v>590000</v>
      </c>
      <c r="R150" s="28">
        <v>829000</v>
      </c>
      <c r="S150" s="28">
        <v>367000</v>
      </c>
      <c r="T150" s="28">
        <v>742000</v>
      </c>
      <c r="U150" s="28">
        <v>838000</v>
      </c>
      <c r="V150" s="28">
        <v>742000</v>
      </c>
      <c r="W150" s="28">
        <v>775000</v>
      </c>
      <c r="X150" s="28">
        <v>750000</v>
      </c>
      <c r="Y150" s="28">
        <v>805000</v>
      </c>
      <c r="Z150" s="28">
        <v>456000</v>
      </c>
      <c r="AA150" s="28">
        <v>456000</v>
      </c>
      <c r="AB150" s="28">
        <v>456000</v>
      </c>
      <c r="AC150" s="28">
        <v>456000</v>
      </c>
      <c r="AD150" s="28">
        <v>449000</v>
      </c>
      <c r="AE150" s="28">
        <v>491000</v>
      </c>
      <c r="AF150" s="28">
        <v>491000</v>
      </c>
      <c r="AG150" s="28">
        <v>482000</v>
      </c>
      <c r="AH150" s="28">
        <v>456000</v>
      </c>
      <c r="AI150" s="28">
        <v>447000</v>
      </c>
      <c r="AJ150" s="28">
        <v>447000</v>
      </c>
      <c r="AK150" s="28">
        <v>447000</v>
      </c>
      <c r="AL150" s="28">
        <v>420000</v>
      </c>
      <c r="AM150" s="28">
        <v>378000</v>
      </c>
      <c r="AN150" s="28">
        <v>378000</v>
      </c>
      <c r="AO150" s="28">
        <v>420000</v>
      </c>
      <c r="AP150" s="28">
        <v>674000</v>
      </c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</row>
    <row r="151" spans="1:68" ht="15" x14ac:dyDescent="0.2">
      <c r="A151" s="26" t="s">
        <v>128</v>
      </c>
      <c r="B151" s="27">
        <v>870000</v>
      </c>
      <c r="C151" s="28">
        <v>2300000</v>
      </c>
      <c r="D151" s="28">
        <v>1352000</v>
      </c>
      <c r="E151" s="33"/>
      <c r="F151" s="28">
        <v>2387000</v>
      </c>
      <c r="G151" s="33"/>
      <c r="H151" s="28">
        <v>1085000</v>
      </c>
      <c r="I151" s="33"/>
      <c r="J151" s="28">
        <v>442000</v>
      </c>
      <c r="K151" s="28">
        <v>268000</v>
      </c>
      <c r="L151" s="28">
        <v>651000</v>
      </c>
      <c r="M151" s="28">
        <v>734000</v>
      </c>
      <c r="N151" s="28">
        <v>761000</v>
      </c>
      <c r="O151" s="28">
        <v>913000</v>
      </c>
      <c r="P151" s="28">
        <v>913000</v>
      </c>
      <c r="Q151" s="28">
        <v>730000</v>
      </c>
      <c r="R151" s="28">
        <v>1028000</v>
      </c>
      <c r="S151" s="28">
        <v>451000</v>
      </c>
      <c r="T151" s="28">
        <v>919000</v>
      </c>
      <c r="U151" s="28">
        <v>1038000</v>
      </c>
      <c r="V151" s="28">
        <v>919000</v>
      </c>
      <c r="W151" s="28">
        <v>960000</v>
      </c>
      <c r="X151" s="28">
        <v>929000</v>
      </c>
      <c r="Y151" s="28">
        <v>998000</v>
      </c>
      <c r="Z151" s="28">
        <v>566000</v>
      </c>
      <c r="AA151" s="28">
        <v>566000</v>
      </c>
      <c r="AB151" s="28">
        <v>566000</v>
      </c>
      <c r="AC151" s="28">
        <v>566000</v>
      </c>
      <c r="AD151" s="28">
        <v>558000</v>
      </c>
      <c r="AE151" s="28">
        <v>610000</v>
      </c>
      <c r="AF151" s="28">
        <v>610000</v>
      </c>
      <c r="AG151" s="28">
        <v>599000</v>
      </c>
      <c r="AH151" s="28">
        <v>566000</v>
      </c>
      <c r="AI151" s="28">
        <v>555000</v>
      </c>
      <c r="AJ151" s="28">
        <v>555000</v>
      </c>
      <c r="AK151" s="28">
        <v>555000</v>
      </c>
      <c r="AL151" s="28">
        <v>512000</v>
      </c>
      <c r="AM151" s="28">
        <v>460000</v>
      </c>
      <c r="AN151" s="28">
        <v>460000</v>
      </c>
      <c r="AO151" s="28">
        <v>512000</v>
      </c>
      <c r="AP151" s="28">
        <v>832000</v>
      </c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</row>
    <row r="152" spans="1:68" ht="15" x14ac:dyDescent="0.2">
      <c r="A152" s="26" t="s">
        <v>129</v>
      </c>
      <c r="B152" s="27">
        <v>930000</v>
      </c>
      <c r="C152" s="28">
        <v>2530000</v>
      </c>
      <c r="D152" s="28">
        <v>1487000</v>
      </c>
      <c r="E152" s="33"/>
      <c r="F152" s="28">
        <v>2625000</v>
      </c>
      <c r="G152" s="33"/>
      <c r="H152" s="28">
        <v>1168000</v>
      </c>
      <c r="I152" s="33"/>
      <c r="J152" s="28">
        <v>485000</v>
      </c>
      <c r="K152" s="28">
        <v>293000</v>
      </c>
      <c r="L152" s="28">
        <v>713000</v>
      </c>
      <c r="M152" s="28">
        <v>804000</v>
      </c>
      <c r="N152" s="28">
        <v>833000</v>
      </c>
      <c r="O152" s="28">
        <v>999000</v>
      </c>
      <c r="P152" s="28">
        <v>999000</v>
      </c>
      <c r="Q152" s="28">
        <v>800000</v>
      </c>
      <c r="R152" s="28">
        <v>1127000</v>
      </c>
      <c r="S152" s="28">
        <v>494000</v>
      </c>
      <c r="T152" s="28">
        <v>1007000</v>
      </c>
      <c r="U152" s="28">
        <v>1139000</v>
      </c>
      <c r="V152" s="28">
        <v>1007000</v>
      </c>
      <c r="W152" s="28">
        <v>1052000</v>
      </c>
      <c r="X152" s="28">
        <v>1019000</v>
      </c>
      <c r="Y152" s="28">
        <v>1094000</v>
      </c>
      <c r="Z152" s="28">
        <v>622000</v>
      </c>
      <c r="AA152" s="28">
        <v>622000</v>
      </c>
      <c r="AB152" s="28">
        <v>622000</v>
      </c>
      <c r="AC152" s="28">
        <v>622000</v>
      </c>
      <c r="AD152" s="28">
        <v>613000</v>
      </c>
      <c r="AE152" s="28">
        <v>669000</v>
      </c>
      <c r="AF152" s="28">
        <v>669000</v>
      </c>
      <c r="AG152" s="28">
        <v>657000</v>
      </c>
      <c r="AH152" s="28">
        <v>622000</v>
      </c>
      <c r="AI152" s="28">
        <v>610000</v>
      </c>
      <c r="AJ152" s="28">
        <v>610000</v>
      </c>
      <c r="AK152" s="28">
        <v>610000</v>
      </c>
      <c r="AL152" s="28">
        <v>559000</v>
      </c>
      <c r="AM152" s="28">
        <v>501000</v>
      </c>
      <c r="AN152" s="28">
        <v>501000</v>
      </c>
      <c r="AO152" s="28">
        <v>559000</v>
      </c>
      <c r="AP152" s="28">
        <v>911000</v>
      </c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</row>
    <row r="153" spans="1:68" ht="15" x14ac:dyDescent="0.2">
      <c r="A153" s="26" t="s">
        <v>130</v>
      </c>
      <c r="B153" s="27">
        <v>990000</v>
      </c>
      <c r="C153" s="28">
        <v>2760000</v>
      </c>
      <c r="D153" s="28">
        <v>1622000</v>
      </c>
      <c r="E153" s="33"/>
      <c r="F153" s="28">
        <v>2864000</v>
      </c>
      <c r="G153" s="33"/>
      <c r="H153" s="28">
        <v>1251000</v>
      </c>
      <c r="I153" s="33"/>
      <c r="J153" s="28">
        <v>528000</v>
      </c>
      <c r="K153" s="28">
        <v>319000</v>
      </c>
      <c r="L153" s="28">
        <v>775000</v>
      </c>
      <c r="M153" s="28">
        <v>874000</v>
      </c>
      <c r="N153" s="28">
        <v>904000</v>
      </c>
      <c r="O153" s="28">
        <v>1085000</v>
      </c>
      <c r="P153" s="28">
        <v>1085000</v>
      </c>
      <c r="Q153" s="28">
        <v>870000</v>
      </c>
      <c r="R153" s="28">
        <v>1227000</v>
      </c>
      <c r="S153" s="28">
        <v>536000</v>
      </c>
      <c r="T153" s="28">
        <v>1095000</v>
      </c>
      <c r="U153" s="28">
        <v>1239000</v>
      </c>
      <c r="V153" s="28">
        <v>1095000</v>
      </c>
      <c r="W153" s="28">
        <v>1145000</v>
      </c>
      <c r="X153" s="28">
        <v>1108000</v>
      </c>
      <c r="Y153" s="28">
        <v>1191000</v>
      </c>
      <c r="Z153" s="28">
        <v>677000</v>
      </c>
      <c r="AA153" s="28">
        <v>677000</v>
      </c>
      <c r="AB153" s="28">
        <v>677000</v>
      </c>
      <c r="AC153" s="28">
        <v>677000</v>
      </c>
      <c r="AD153" s="28">
        <v>667000</v>
      </c>
      <c r="AE153" s="28">
        <v>729000</v>
      </c>
      <c r="AF153" s="28">
        <v>729000</v>
      </c>
      <c r="AG153" s="28">
        <v>716000</v>
      </c>
      <c r="AH153" s="28">
        <v>677000</v>
      </c>
      <c r="AI153" s="28">
        <v>664000</v>
      </c>
      <c r="AJ153" s="28">
        <v>664000</v>
      </c>
      <c r="AK153" s="28">
        <v>664000</v>
      </c>
      <c r="AL153" s="28">
        <v>605000</v>
      </c>
      <c r="AM153" s="28">
        <v>542000</v>
      </c>
      <c r="AN153" s="28">
        <v>542000</v>
      </c>
      <c r="AO153" s="28">
        <v>605000</v>
      </c>
      <c r="AP153" s="28">
        <v>990000</v>
      </c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</row>
    <row r="154" spans="1:68" ht="18" x14ac:dyDescent="0.25">
      <c r="A154" s="44" t="s">
        <v>131</v>
      </c>
      <c r="B154" s="45"/>
      <c r="C154" s="25"/>
      <c r="D154" s="25"/>
      <c r="E154" s="33"/>
      <c r="F154" s="25"/>
      <c r="G154" s="33"/>
      <c r="H154" s="25"/>
      <c r="I154" s="33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</row>
    <row r="155" spans="1:68" ht="15" x14ac:dyDescent="0.2">
      <c r="A155" s="38" t="s">
        <v>132</v>
      </c>
      <c r="B155" s="39"/>
      <c r="C155" s="28">
        <v>1201000</v>
      </c>
      <c r="D155" s="28">
        <v>706000</v>
      </c>
      <c r="E155" s="33"/>
      <c r="F155" s="28">
        <v>1247000</v>
      </c>
      <c r="G155" s="33"/>
      <c r="H155" s="28">
        <v>463000</v>
      </c>
      <c r="I155" s="33"/>
      <c r="J155" s="28">
        <v>278000</v>
      </c>
      <c r="K155" s="28">
        <v>187000</v>
      </c>
      <c r="L155" s="28">
        <v>445000</v>
      </c>
      <c r="M155" s="28">
        <v>515000</v>
      </c>
      <c r="N155" s="28">
        <v>568000</v>
      </c>
      <c r="O155" s="28">
        <v>681000</v>
      </c>
      <c r="P155" s="28">
        <v>681000</v>
      </c>
      <c r="Q155" s="28">
        <v>495000</v>
      </c>
      <c r="R155" s="28">
        <v>660000</v>
      </c>
      <c r="S155" s="28">
        <v>339000</v>
      </c>
      <c r="T155" s="28">
        <v>616000</v>
      </c>
      <c r="U155" s="28">
        <v>679000</v>
      </c>
      <c r="V155" s="28">
        <v>616000</v>
      </c>
      <c r="W155" s="28">
        <v>627000</v>
      </c>
      <c r="X155" s="28">
        <v>611000</v>
      </c>
      <c r="Y155" s="28">
        <v>647000</v>
      </c>
      <c r="Z155" s="28">
        <v>347000</v>
      </c>
      <c r="AA155" s="28">
        <v>347000</v>
      </c>
      <c r="AB155" s="28">
        <v>347000</v>
      </c>
      <c r="AC155" s="28">
        <v>347000</v>
      </c>
      <c r="AD155" s="28">
        <v>343000</v>
      </c>
      <c r="AE155" s="28">
        <v>370000</v>
      </c>
      <c r="AF155" s="28">
        <v>370000</v>
      </c>
      <c r="AG155" s="28">
        <v>364000</v>
      </c>
      <c r="AH155" s="28">
        <v>347000</v>
      </c>
      <c r="AI155" s="28">
        <v>341000</v>
      </c>
      <c r="AJ155" s="28">
        <v>341000</v>
      </c>
      <c r="AK155" s="28">
        <v>341000</v>
      </c>
      <c r="AL155" s="28">
        <v>452000</v>
      </c>
      <c r="AM155" s="28">
        <v>425000</v>
      </c>
      <c r="AN155" s="28">
        <v>425000</v>
      </c>
      <c r="AO155" s="28">
        <v>452000</v>
      </c>
      <c r="AP155" s="28">
        <v>584000</v>
      </c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</row>
    <row r="156" spans="1:68" ht="15" x14ac:dyDescent="0.2">
      <c r="A156" s="38" t="s">
        <v>133</v>
      </c>
      <c r="B156" s="46"/>
      <c r="C156" s="28">
        <v>1385000</v>
      </c>
      <c r="D156" s="28">
        <v>754000</v>
      </c>
      <c r="E156" s="33"/>
      <c r="F156" s="28">
        <v>1332000</v>
      </c>
      <c r="G156" s="33"/>
      <c r="H156" s="28">
        <v>494000</v>
      </c>
      <c r="I156" s="33"/>
      <c r="J156" s="28">
        <v>297000</v>
      </c>
      <c r="K156" s="28">
        <v>199000</v>
      </c>
      <c r="L156" s="28">
        <v>475000</v>
      </c>
      <c r="M156" s="28">
        <v>549000</v>
      </c>
      <c r="N156" s="28">
        <v>606000</v>
      </c>
      <c r="O156" s="28">
        <v>727000</v>
      </c>
      <c r="P156" s="28">
        <v>727000</v>
      </c>
      <c r="Q156" s="28">
        <v>528000</v>
      </c>
      <c r="R156" s="28">
        <v>705000</v>
      </c>
      <c r="S156" s="28">
        <v>361000</v>
      </c>
      <c r="T156" s="28">
        <v>657000</v>
      </c>
      <c r="U156" s="28">
        <v>724000</v>
      </c>
      <c r="V156" s="28">
        <v>657000</v>
      </c>
      <c r="W156" s="28">
        <v>669000</v>
      </c>
      <c r="X156" s="28">
        <v>652000</v>
      </c>
      <c r="Y156" s="28">
        <v>690000</v>
      </c>
      <c r="Z156" s="28">
        <v>371000</v>
      </c>
      <c r="AA156" s="28">
        <v>371000</v>
      </c>
      <c r="AB156" s="28">
        <v>371000</v>
      </c>
      <c r="AC156" s="28">
        <v>371000</v>
      </c>
      <c r="AD156" s="28"/>
      <c r="AE156" s="28">
        <v>395000</v>
      </c>
      <c r="AF156" s="28">
        <v>395000</v>
      </c>
      <c r="AG156" s="28">
        <v>389000</v>
      </c>
      <c r="AH156" s="28">
        <v>371000</v>
      </c>
      <c r="AI156" s="28">
        <v>364000</v>
      </c>
      <c r="AJ156" s="28">
        <v>364000</v>
      </c>
      <c r="AK156" s="28">
        <v>364000</v>
      </c>
      <c r="AL156" s="25"/>
      <c r="AM156" s="25"/>
      <c r="AN156" s="25"/>
      <c r="AO156" s="25"/>
      <c r="AP156" s="25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</row>
    <row r="157" spans="1:68" ht="15" x14ac:dyDescent="0.2">
      <c r="A157" s="38" t="s">
        <v>134</v>
      </c>
      <c r="B157" s="46"/>
      <c r="C157" s="28">
        <v>1474000</v>
      </c>
      <c r="D157" s="28">
        <v>802000</v>
      </c>
      <c r="E157" s="33"/>
      <c r="F157" s="28">
        <v>1416000</v>
      </c>
      <c r="G157" s="33"/>
      <c r="H157" s="28">
        <v>525000</v>
      </c>
      <c r="I157" s="33"/>
      <c r="J157" s="28">
        <v>315000</v>
      </c>
      <c r="K157" s="28">
        <v>212000</v>
      </c>
      <c r="L157" s="28">
        <v>505000</v>
      </c>
      <c r="M157" s="28">
        <v>584000</v>
      </c>
      <c r="N157" s="28">
        <v>644000</v>
      </c>
      <c r="O157" s="28">
        <v>772000</v>
      </c>
      <c r="P157" s="28">
        <v>772000</v>
      </c>
      <c r="Q157" s="28">
        <v>561000</v>
      </c>
      <c r="R157" s="28">
        <v>749000</v>
      </c>
      <c r="S157" s="28">
        <v>384000</v>
      </c>
      <c r="T157" s="28">
        <v>699000</v>
      </c>
      <c r="U157" s="28">
        <v>770000</v>
      </c>
      <c r="V157" s="28">
        <v>699000</v>
      </c>
      <c r="W157" s="28">
        <v>711000</v>
      </c>
      <c r="X157" s="28">
        <v>693000</v>
      </c>
      <c r="Y157" s="28">
        <v>734000</v>
      </c>
      <c r="Z157" s="28">
        <v>394000</v>
      </c>
      <c r="AA157" s="28">
        <v>394000</v>
      </c>
      <c r="AB157" s="28">
        <v>394000</v>
      </c>
      <c r="AC157" s="28">
        <v>394000</v>
      </c>
      <c r="AD157" s="28"/>
      <c r="AE157" s="28">
        <v>420000</v>
      </c>
      <c r="AF157" s="28">
        <v>420000</v>
      </c>
      <c r="AG157" s="28">
        <v>413000</v>
      </c>
      <c r="AH157" s="28">
        <v>394000</v>
      </c>
      <c r="AI157" s="28">
        <v>387000</v>
      </c>
      <c r="AJ157" s="28">
        <v>387000</v>
      </c>
      <c r="AK157" s="28">
        <v>387000</v>
      </c>
      <c r="AL157" s="25"/>
      <c r="AM157" s="25"/>
      <c r="AN157" s="25"/>
      <c r="AO157" s="25"/>
      <c r="AP157" s="25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</row>
    <row r="158" spans="1:68" ht="15" x14ac:dyDescent="0.2">
      <c r="A158" s="38" t="s">
        <v>135</v>
      </c>
      <c r="B158" s="39"/>
      <c r="C158" s="28">
        <v>1140000</v>
      </c>
      <c r="D158" s="28">
        <v>670000</v>
      </c>
      <c r="E158" s="33"/>
      <c r="F158" s="28">
        <v>1183000</v>
      </c>
      <c r="G158" s="33"/>
      <c r="H158" s="28">
        <v>440000</v>
      </c>
      <c r="I158" s="33"/>
      <c r="J158" s="28">
        <v>264000</v>
      </c>
      <c r="K158" s="28">
        <v>177000</v>
      </c>
      <c r="L158" s="28">
        <v>423000</v>
      </c>
      <c r="M158" s="28">
        <v>489000</v>
      </c>
      <c r="N158" s="28">
        <v>539000</v>
      </c>
      <c r="O158" s="28">
        <v>647000</v>
      </c>
      <c r="P158" s="28">
        <v>647000</v>
      </c>
      <c r="Q158" s="28">
        <v>470000</v>
      </c>
      <c r="R158" s="28">
        <v>627000</v>
      </c>
      <c r="S158" s="28">
        <v>322000</v>
      </c>
      <c r="T158" s="28">
        <v>585000</v>
      </c>
      <c r="U158" s="28">
        <v>644000</v>
      </c>
      <c r="V158" s="28">
        <v>585000</v>
      </c>
      <c r="W158" s="28">
        <v>595000</v>
      </c>
      <c r="X158" s="28">
        <v>580000</v>
      </c>
      <c r="Y158" s="28">
        <v>614000</v>
      </c>
      <c r="Z158" s="28">
        <v>330000</v>
      </c>
      <c r="AA158" s="28">
        <v>330000</v>
      </c>
      <c r="AB158" s="28">
        <v>330000</v>
      </c>
      <c r="AC158" s="28">
        <v>330000</v>
      </c>
      <c r="AD158" s="28">
        <v>326000</v>
      </c>
      <c r="AE158" s="28">
        <v>351000</v>
      </c>
      <c r="AF158" s="28">
        <v>351000</v>
      </c>
      <c r="AG158" s="28">
        <v>346000</v>
      </c>
      <c r="AH158" s="28">
        <v>330000</v>
      </c>
      <c r="AI158" s="28">
        <v>324000</v>
      </c>
      <c r="AJ158" s="28">
        <v>324000</v>
      </c>
      <c r="AK158" s="28">
        <v>324000</v>
      </c>
      <c r="AL158" s="28">
        <v>429000</v>
      </c>
      <c r="AM158" s="28">
        <v>404000</v>
      </c>
      <c r="AN158" s="28">
        <v>404000</v>
      </c>
      <c r="AO158" s="28">
        <v>429000</v>
      </c>
      <c r="AP158" s="28">
        <v>554000</v>
      </c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</row>
    <row r="159" spans="1:68" ht="15" x14ac:dyDescent="0.2">
      <c r="A159" s="38" t="s">
        <v>136</v>
      </c>
      <c r="B159" s="39"/>
      <c r="C159" s="28">
        <v>1038000</v>
      </c>
      <c r="D159" s="28">
        <v>610000</v>
      </c>
      <c r="E159" s="33"/>
      <c r="F159" s="28">
        <v>1077000</v>
      </c>
      <c r="G159" s="33"/>
      <c r="H159" s="28">
        <v>401000</v>
      </c>
      <c r="I159" s="33"/>
      <c r="J159" s="28">
        <v>241000</v>
      </c>
      <c r="K159" s="28">
        <v>162000</v>
      </c>
      <c r="L159" s="28">
        <v>385000</v>
      </c>
      <c r="M159" s="28">
        <v>446000</v>
      </c>
      <c r="N159" s="28">
        <v>492000</v>
      </c>
      <c r="O159" s="28">
        <v>590000</v>
      </c>
      <c r="P159" s="28">
        <v>590000</v>
      </c>
      <c r="Q159" s="28">
        <v>428000</v>
      </c>
      <c r="R159" s="28">
        <v>571000</v>
      </c>
      <c r="S159" s="28">
        <v>293000</v>
      </c>
      <c r="T159" s="28">
        <v>533000</v>
      </c>
      <c r="U159" s="28">
        <v>587000</v>
      </c>
      <c r="V159" s="28">
        <v>533000</v>
      </c>
      <c r="W159" s="28">
        <v>543000</v>
      </c>
      <c r="X159" s="28">
        <v>529000</v>
      </c>
      <c r="Y159" s="28">
        <v>560000</v>
      </c>
      <c r="Z159" s="28">
        <v>300000</v>
      </c>
      <c r="AA159" s="28">
        <v>300000</v>
      </c>
      <c r="AB159" s="28">
        <v>300000</v>
      </c>
      <c r="AC159" s="28">
        <v>300000</v>
      </c>
      <c r="AD159" s="28">
        <v>297000</v>
      </c>
      <c r="AE159" s="28">
        <v>320000</v>
      </c>
      <c r="AF159" s="28">
        <v>320000</v>
      </c>
      <c r="AG159" s="28">
        <v>315000</v>
      </c>
      <c r="AH159" s="28">
        <v>300000</v>
      </c>
      <c r="AI159" s="28">
        <v>295000</v>
      </c>
      <c r="AJ159" s="28">
        <v>295000</v>
      </c>
      <c r="AK159" s="28">
        <v>295000</v>
      </c>
      <c r="AL159" s="28">
        <v>392000</v>
      </c>
      <c r="AM159" s="28">
        <v>368000</v>
      </c>
      <c r="AN159" s="28">
        <v>368000</v>
      </c>
      <c r="AO159" s="28">
        <v>392000</v>
      </c>
      <c r="AP159" s="28">
        <v>506000</v>
      </c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</row>
    <row r="160" spans="1:68" ht="15" x14ac:dyDescent="0.2">
      <c r="A160" s="38" t="s">
        <v>137</v>
      </c>
      <c r="B160" s="39"/>
      <c r="C160" s="28">
        <v>184000</v>
      </c>
      <c r="D160" s="28">
        <v>109000</v>
      </c>
      <c r="E160" s="33"/>
      <c r="F160" s="28">
        <v>191000</v>
      </c>
      <c r="G160" s="33"/>
      <c r="H160" s="28">
        <v>78000</v>
      </c>
      <c r="I160" s="33"/>
      <c r="J160" s="28">
        <v>45000</v>
      </c>
      <c r="K160" s="28">
        <v>31000</v>
      </c>
      <c r="L160" s="28">
        <v>74000</v>
      </c>
      <c r="M160" s="28">
        <v>86000</v>
      </c>
      <c r="N160" s="28">
        <v>96000</v>
      </c>
      <c r="O160" s="28">
        <v>115000</v>
      </c>
      <c r="P160" s="28">
        <v>115000</v>
      </c>
      <c r="Q160" s="28">
        <v>82000</v>
      </c>
      <c r="R160" s="28">
        <v>108000</v>
      </c>
      <c r="S160" s="28">
        <v>57000</v>
      </c>
      <c r="T160" s="28">
        <v>102000</v>
      </c>
      <c r="U160" s="28">
        <v>111000</v>
      </c>
      <c r="V160" s="28">
        <v>102000</v>
      </c>
      <c r="W160" s="28">
        <v>103000</v>
      </c>
      <c r="X160" s="28">
        <v>100000</v>
      </c>
      <c r="Y160" s="28">
        <v>106000</v>
      </c>
      <c r="Z160" s="28">
        <v>56000</v>
      </c>
      <c r="AA160" s="28">
        <v>56000</v>
      </c>
      <c r="AB160" s="28">
        <v>56000</v>
      </c>
      <c r="AC160" s="28">
        <v>56000</v>
      </c>
      <c r="AD160" s="28">
        <v>56000</v>
      </c>
      <c r="AE160" s="28">
        <v>60000</v>
      </c>
      <c r="AF160" s="28">
        <v>60000</v>
      </c>
      <c r="AG160" s="28">
        <v>59000</v>
      </c>
      <c r="AH160" s="28">
        <v>56000</v>
      </c>
      <c r="AI160" s="28">
        <v>55000</v>
      </c>
      <c r="AJ160" s="28">
        <v>55000</v>
      </c>
      <c r="AK160" s="28">
        <v>55000</v>
      </c>
      <c r="AL160" s="28">
        <v>79000</v>
      </c>
      <c r="AM160" s="28">
        <v>75000</v>
      </c>
      <c r="AN160" s="28">
        <v>75000</v>
      </c>
      <c r="AO160" s="28">
        <v>79000</v>
      </c>
      <c r="AP160" s="28">
        <v>97000</v>
      </c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</row>
    <row r="161" spans="1:68" ht="15" x14ac:dyDescent="0.2">
      <c r="A161" s="38" t="s">
        <v>138</v>
      </c>
      <c r="B161" s="39"/>
      <c r="C161" s="28">
        <v>246000</v>
      </c>
      <c r="D161" s="28">
        <v>145000</v>
      </c>
      <c r="E161" s="33"/>
      <c r="F161" s="28">
        <v>255000</v>
      </c>
      <c r="G161" s="33"/>
      <c r="H161" s="28">
        <v>101000</v>
      </c>
      <c r="I161" s="33"/>
      <c r="J161" s="28">
        <v>59000</v>
      </c>
      <c r="K161" s="28">
        <v>41000</v>
      </c>
      <c r="L161" s="28">
        <v>96000</v>
      </c>
      <c r="M161" s="28">
        <v>112000</v>
      </c>
      <c r="N161" s="28">
        <v>124000</v>
      </c>
      <c r="O161" s="28">
        <v>149000</v>
      </c>
      <c r="P161" s="28">
        <v>149000</v>
      </c>
      <c r="Q161" s="28">
        <v>107000</v>
      </c>
      <c r="R161" s="28">
        <v>141000</v>
      </c>
      <c r="S161" s="28">
        <v>74000</v>
      </c>
      <c r="T161" s="28">
        <v>133000</v>
      </c>
      <c r="U161" s="28">
        <v>145000</v>
      </c>
      <c r="V161" s="28">
        <v>133000</v>
      </c>
      <c r="W161" s="28">
        <v>134000</v>
      </c>
      <c r="X161" s="28">
        <v>131000</v>
      </c>
      <c r="Y161" s="28">
        <v>138000</v>
      </c>
      <c r="Z161" s="28">
        <v>74000</v>
      </c>
      <c r="AA161" s="28">
        <v>74000</v>
      </c>
      <c r="AB161" s="28">
        <v>74000</v>
      </c>
      <c r="AC161" s="28">
        <v>74000</v>
      </c>
      <c r="AD161" s="28">
        <v>73000</v>
      </c>
      <c r="AE161" s="28">
        <v>78000</v>
      </c>
      <c r="AF161" s="28">
        <v>78000</v>
      </c>
      <c r="AG161" s="28">
        <v>77000</v>
      </c>
      <c r="AH161" s="28">
        <v>74000</v>
      </c>
      <c r="AI161" s="28">
        <v>73000</v>
      </c>
      <c r="AJ161" s="28">
        <v>73000</v>
      </c>
      <c r="AK161" s="28">
        <v>73000</v>
      </c>
      <c r="AL161" s="28">
        <v>101000</v>
      </c>
      <c r="AM161" s="28">
        <v>96000</v>
      </c>
      <c r="AN161" s="28">
        <v>96000</v>
      </c>
      <c r="AO161" s="28">
        <v>101000</v>
      </c>
      <c r="AP161" s="28">
        <v>127000</v>
      </c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</row>
    <row r="162" spans="1:68" ht="15" x14ac:dyDescent="0.2">
      <c r="A162" s="38" t="s">
        <v>139</v>
      </c>
      <c r="B162" s="39"/>
      <c r="C162" s="28">
        <v>307000</v>
      </c>
      <c r="D162" s="28">
        <v>181000</v>
      </c>
      <c r="E162" s="33"/>
      <c r="F162" s="28">
        <v>319000</v>
      </c>
      <c r="G162" s="33"/>
      <c r="H162" s="28">
        <v>124000</v>
      </c>
      <c r="I162" s="33"/>
      <c r="J162" s="28">
        <v>73000</v>
      </c>
      <c r="K162" s="28">
        <v>50000</v>
      </c>
      <c r="L162" s="28">
        <v>119000</v>
      </c>
      <c r="M162" s="28">
        <v>138000</v>
      </c>
      <c r="N162" s="28">
        <v>153000</v>
      </c>
      <c r="O162" s="28">
        <v>183000</v>
      </c>
      <c r="P162" s="28">
        <v>183000</v>
      </c>
      <c r="Q162" s="28">
        <v>132000</v>
      </c>
      <c r="R162" s="28">
        <v>174000</v>
      </c>
      <c r="S162" s="28">
        <v>91000</v>
      </c>
      <c r="T162" s="28">
        <v>164000</v>
      </c>
      <c r="U162" s="28">
        <v>180000</v>
      </c>
      <c r="V162" s="28">
        <v>164000</v>
      </c>
      <c r="W162" s="28">
        <v>166000</v>
      </c>
      <c r="X162" s="28">
        <v>162000</v>
      </c>
      <c r="Y162" s="28">
        <v>171000</v>
      </c>
      <c r="Z162" s="28">
        <v>91000</v>
      </c>
      <c r="AA162" s="28">
        <v>91000</v>
      </c>
      <c r="AB162" s="28">
        <v>91000</v>
      </c>
      <c r="AC162" s="28">
        <v>91000</v>
      </c>
      <c r="AD162" s="28">
        <v>90000</v>
      </c>
      <c r="AE162" s="28">
        <v>97000</v>
      </c>
      <c r="AF162" s="28">
        <v>97000</v>
      </c>
      <c r="AG162" s="28">
        <v>96000</v>
      </c>
      <c r="AH162" s="28">
        <v>91000</v>
      </c>
      <c r="AI162" s="28">
        <v>90000</v>
      </c>
      <c r="AJ162" s="28">
        <v>90000</v>
      </c>
      <c r="AK162" s="28">
        <v>90000</v>
      </c>
      <c r="AL162" s="28">
        <v>124000</v>
      </c>
      <c r="AM162" s="28">
        <v>117000</v>
      </c>
      <c r="AN162" s="28">
        <v>117000</v>
      </c>
      <c r="AO162" s="28">
        <v>124000</v>
      </c>
      <c r="AP162" s="28">
        <v>156000</v>
      </c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</row>
    <row r="163" spans="1:68" ht="15" x14ac:dyDescent="0.2">
      <c r="A163" s="38" t="s">
        <v>140</v>
      </c>
      <c r="B163" s="39"/>
      <c r="C163" s="28">
        <v>409000</v>
      </c>
      <c r="D163" s="28">
        <v>241000</v>
      </c>
      <c r="E163" s="33"/>
      <c r="F163" s="28">
        <v>425000</v>
      </c>
      <c r="G163" s="33"/>
      <c r="H163" s="28">
        <v>163000</v>
      </c>
      <c r="I163" s="33"/>
      <c r="J163" s="28">
        <v>97000</v>
      </c>
      <c r="K163" s="28">
        <v>66000</v>
      </c>
      <c r="L163" s="28">
        <v>156000</v>
      </c>
      <c r="M163" s="28">
        <v>181000</v>
      </c>
      <c r="N163" s="28">
        <v>200000</v>
      </c>
      <c r="O163" s="28">
        <v>240000</v>
      </c>
      <c r="P163" s="28">
        <v>240000</v>
      </c>
      <c r="Q163" s="28">
        <v>173000</v>
      </c>
      <c r="R163" s="28">
        <v>230000</v>
      </c>
      <c r="S163" s="28">
        <v>120000</v>
      </c>
      <c r="T163" s="28">
        <v>215000</v>
      </c>
      <c r="U163" s="28">
        <v>237000</v>
      </c>
      <c r="V163" s="28">
        <v>215000</v>
      </c>
      <c r="W163" s="28">
        <v>219000</v>
      </c>
      <c r="X163" s="28">
        <v>213000</v>
      </c>
      <c r="Y163" s="28">
        <v>225000</v>
      </c>
      <c r="Z163" s="28">
        <v>120000</v>
      </c>
      <c r="AA163" s="28">
        <v>120000</v>
      </c>
      <c r="AB163" s="28">
        <v>120000</v>
      </c>
      <c r="AC163" s="28">
        <v>120000</v>
      </c>
      <c r="AD163" s="28">
        <v>119000</v>
      </c>
      <c r="AE163" s="28">
        <v>128000</v>
      </c>
      <c r="AF163" s="28">
        <v>128000</v>
      </c>
      <c r="AG163" s="28">
        <v>126000</v>
      </c>
      <c r="AH163" s="28">
        <v>120000</v>
      </c>
      <c r="AI163" s="28">
        <v>119000</v>
      </c>
      <c r="AJ163" s="28">
        <v>119000</v>
      </c>
      <c r="AK163" s="28">
        <v>119000</v>
      </c>
      <c r="AL163" s="28">
        <v>161000</v>
      </c>
      <c r="AM163" s="28">
        <v>152000</v>
      </c>
      <c r="AN163" s="28">
        <v>152000</v>
      </c>
      <c r="AO163" s="28">
        <v>161000</v>
      </c>
      <c r="AP163" s="28">
        <v>205000</v>
      </c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</row>
    <row r="164" spans="1:68" ht="15" x14ac:dyDescent="0.2">
      <c r="A164" s="38" t="s">
        <v>141</v>
      </c>
      <c r="B164" s="39"/>
      <c r="C164" s="28">
        <v>511000</v>
      </c>
      <c r="D164" s="28">
        <v>301000</v>
      </c>
      <c r="E164" s="33"/>
      <c r="F164" s="28">
        <v>531000</v>
      </c>
      <c r="G164" s="33"/>
      <c r="H164" s="28">
        <v>202000</v>
      </c>
      <c r="I164" s="33"/>
      <c r="J164" s="28">
        <v>120000</v>
      </c>
      <c r="K164" s="28">
        <v>81000</v>
      </c>
      <c r="L164" s="28">
        <v>193000</v>
      </c>
      <c r="M164" s="28">
        <v>224000</v>
      </c>
      <c r="N164" s="28">
        <v>248000</v>
      </c>
      <c r="O164" s="28">
        <v>297000</v>
      </c>
      <c r="P164" s="28">
        <v>297000</v>
      </c>
      <c r="Q164" s="28">
        <v>215000</v>
      </c>
      <c r="R164" s="28">
        <v>285000</v>
      </c>
      <c r="S164" s="28">
        <v>148000</v>
      </c>
      <c r="T164" s="28">
        <v>267000</v>
      </c>
      <c r="U164" s="28">
        <v>294000</v>
      </c>
      <c r="V164" s="28">
        <v>267000</v>
      </c>
      <c r="W164" s="28">
        <v>271000</v>
      </c>
      <c r="X164" s="28">
        <v>265000</v>
      </c>
      <c r="Y164" s="28">
        <v>280000</v>
      </c>
      <c r="Z164" s="28">
        <v>150000</v>
      </c>
      <c r="AA164" s="28">
        <v>150000</v>
      </c>
      <c r="AB164" s="28">
        <v>150000</v>
      </c>
      <c r="AC164" s="28">
        <v>150000</v>
      </c>
      <c r="AD164" s="28">
        <v>148000</v>
      </c>
      <c r="AE164" s="28">
        <v>159000</v>
      </c>
      <c r="AF164" s="28">
        <v>159000</v>
      </c>
      <c r="AG164" s="28">
        <v>157000</v>
      </c>
      <c r="AH164" s="28">
        <v>150000</v>
      </c>
      <c r="AI164" s="28">
        <v>147000</v>
      </c>
      <c r="AJ164" s="28">
        <v>147000</v>
      </c>
      <c r="AK164" s="28">
        <v>147000</v>
      </c>
      <c r="AL164" s="28">
        <v>199000</v>
      </c>
      <c r="AM164" s="28">
        <v>187000</v>
      </c>
      <c r="AN164" s="28">
        <v>187000</v>
      </c>
      <c r="AO164" s="28">
        <v>199000</v>
      </c>
      <c r="AP164" s="28">
        <v>254000</v>
      </c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</row>
    <row r="165" spans="1:68" ht="15" x14ac:dyDescent="0.2">
      <c r="A165" s="38" t="s">
        <v>142</v>
      </c>
      <c r="B165" s="39"/>
      <c r="C165" s="28">
        <v>563000</v>
      </c>
      <c r="D165" s="28">
        <v>331000</v>
      </c>
      <c r="E165" s="33"/>
      <c r="F165" s="28">
        <v>584000</v>
      </c>
      <c r="G165" s="33"/>
      <c r="H165" s="28">
        <v>221000</v>
      </c>
      <c r="I165" s="33"/>
      <c r="J165" s="28">
        <v>132000</v>
      </c>
      <c r="K165" s="28">
        <v>89000</v>
      </c>
      <c r="L165" s="28">
        <v>212000</v>
      </c>
      <c r="M165" s="28">
        <v>245000</v>
      </c>
      <c r="N165" s="28">
        <v>271000</v>
      </c>
      <c r="O165" s="28">
        <v>325000</v>
      </c>
      <c r="P165" s="28">
        <v>325000</v>
      </c>
      <c r="Q165" s="28">
        <v>235000</v>
      </c>
      <c r="R165" s="28">
        <v>313000</v>
      </c>
      <c r="S165" s="28">
        <v>162000</v>
      </c>
      <c r="T165" s="28">
        <v>293000</v>
      </c>
      <c r="U165" s="28">
        <v>322000</v>
      </c>
      <c r="V165" s="28">
        <v>293000</v>
      </c>
      <c r="W165" s="28">
        <v>298000</v>
      </c>
      <c r="X165" s="28">
        <v>290000</v>
      </c>
      <c r="Y165" s="28">
        <v>307000</v>
      </c>
      <c r="Z165" s="28">
        <v>164000</v>
      </c>
      <c r="AA165" s="28">
        <v>164000</v>
      </c>
      <c r="AB165" s="28">
        <v>164000</v>
      </c>
      <c r="AC165" s="28">
        <v>164000</v>
      </c>
      <c r="AD165" s="28">
        <v>162000</v>
      </c>
      <c r="AE165" s="28">
        <v>175000</v>
      </c>
      <c r="AF165" s="28">
        <v>175000</v>
      </c>
      <c r="AG165" s="28">
        <v>172000</v>
      </c>
      <c r="AH165" s="28">
        <v>164000</v>
      </c>
      <c r="AI165" s="28">
        <v>162000</v>
      </c>
      <c r="AJ165" s="28">
        <v>162000</v>
      </c>
      <c r="AK165" s="28">
        <v>162000</v>
      </c>
      <c r="AL165" s="28">
        <v>218000</v>
      </c>
      <c r="AM165" s="28">
        <v>205000</v>
      </c>
      <c r="AN165" s="28">
        <v>205000</v>
      </c>
      <c r="AO165" s="28">
        <v>218000</v>
      </c>
      <c r="AP165" s="28">
        <v>278000</v>
      </c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</row>
    <row r="166" spans="1:68" ht="15" x14ac:dyDescent="0.2">
      <c r="A166" s="38" t="s">
        <v>143</v>
      </c>
      <c r="B166" s="39"/>
      <c r="C166" s="28">
        <v>614000</v>
      </c>
      <c r="D166" s="28">
        <v>361000</v>
      </c>
      <c r="E166" s="33"/>
      <c r="F166" s="28">
        <v>637000</v>
      </c>
      <c r="G166" s="33"/>
      <c r="H166" s="28">
        <v>240000</v>
      </c>
      <c r="I166" s="33"/>
      <c r="J166" s="28">
        <v>144000</v>
      </c>
      <c r="K166" s="28">
        <v>97000</v>
      </c>
      <c r="L166" s="28">
        <v>231000</v>
      </c>
      <c r="M166" s="28">
        <v>267000</v>
      </c>
      <c r="N166" s="28">
        <v>295000</v>
      </c>
      <c r="O166" s="28">
        <v>354000</v>
      </c>
      <c r="P166" s="28">
        <v>354000</v>
      </c>
      <c r="Q166" s="28">
        <v>256000</v>
      </c>
      <c r="R166" s="28">
        <v>341000</v>
      </c>
      <c r="S166" s="28">
        <v>176000</v>
      </c>
      <c r="T166" s="28">
        <v>319000</v>
      </c>
      <c r="U166" s="28">
        <v>351000</v>
      </c>
      <c r="V166" s="28">
        <v>319000</v>
      </c>
      <c r="W166" s="28">
        <v>324000</v>
      </c>
      <c r="X166" s="28">
        <v>316000</v>
      </c>
      <c r="Y166" s="28">
        <v>334000</v>
      </c>
      <c r="Z166" s="28">
        <v>179000</v>
      </c>
      <c r="AA166" s="28">
        <v>179000</v>
      </c>
      <c r="AB166" s="28">
        <v>179000</v>
      </c>
      <c r="AC166" s="28">
        <v>179000</v>
      </c>
      <c r="AD166" s="28">
        <v>177000</v>
      </c>
      <c r="AE166" s="28">
        <v>191000</v>
      </c>
      <c r="AF166" s="28">
        <v>191000</v>
      </c>
      <c r="AG166" s="28">
        <v>188000</v>
      </c>
      <c r="AH166" s="28">
        <v>179000</v>
      </c>
      <c r="AI166" s="28">
        <v>176000</v>
      </c>
      <c r="AJ166" s="28">
        <v>176000</v>
      </c>
      <c r="AK166" s="28">
        <v>176000</v>
      </c>
      <c r="AL166" s="28">
        <v>236000</v>
      </c>
      <c r="AM166" s="28">
        <v>222000</v>
      </c>
      <c r="AN166" s="28">
        <v>222000</v>
      </c>
      <c r="AO166" s="28">
        <v>236000</v>
      </c>
      <c r="AP166" s="28">
        <v>303000</v>
      </c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</row>
    <row r="167" spans="1:68" ht="18" x14ac:dyDescent="0.25">
      <c r="A167" s="34" t="s">
        <v>144</v>
      </c>
      <c r="B167" s="47"/>
      <c r="C167" s="25"/>
      <c r="D167" s="25"/>
      <c r="E167" s="33"/>
      <c r="F167" s="25"/>
      <c r="G167" s="33"/>
      <c r="H167" s="25"/>
      <c r="I167" s="33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</row>
    <row r="168" spans="1:68" ht="15" x14ac:dyDescent="0.2">
      <c r="A168" s="38" t="s">
        <v>145</v>
      </c>
      <c r="B168" s="39"/>
      <c r="C168" s="28">
        <v>511000</v>
      </c>
      <c r="D168" s="28">
        <v>301000</v>
      </c>
      <c r="E168" s="33"/>
      <c r="F168" s="28">
        <v>531000</v>
      </c>
      <c r="G168" s="33"/>
      <c r="H168" s="28">
        <v>202000</v>
      </c>
      <c r="I168" s="33"/>
      <c r="J168" s="28">
        <v>120000</v>
      </c>
      <c r="K168" s="28">
        <v>81000</v>
      </c>
      <c r="L168" s="28">
        <v>193000</v>
      </c>
      <c r="M168" s="28">
        <v>224000</v>
      </c>
      <c r="N168" s="28">
        <v>248000</v>
      </c>
      <c r="O168" s="28">
        <v>297000</v>
      </c>
      <c r="P168" s="28">
        <v>297000</v>
      </c>
      <c r="Q168" s="28">
        <v>215000</v>
      </c>
      <c r="R168" s="28">
        <v>285000</v>
      </c>
      <c r="S168" s="28">
        <v>148000</v>
      </c>
      <c r="T168" s="28">
        <v>267000</v>
      </c>
      <c r="U168" s="28">
        <v>294000</v>
      </c>
      <c r="V168" s="28">
        <v>267000</v>
      </c>
      <c r="W168" s="28">
        <v>271000</v>
      </c>
      <c r="X168" s="28">
        <v>265000</v>
      </c>
      <c r="Y168" s="28">
        <v>280000</v>
      </c>
      <c r="Z168" s="28">
        <v>150000</v>
      </c>
      <c r="AA168" s="28">
        <v>150000</v>
      </c>
      <c r="AB168" s="28">
        <v>150000</v>
      </c>
      <c r="AC168" s="28">
        <v>150000</v>
      </c>
      <c r="AD168" s="28">
        <v>148000</v>
      </c>
      <c r="AE168" s="28">
        <v>159000</v>
      </c>
      <c r="AF168" s="28">
        <v>159000</v>
      </c>
      <c r="AG168" s="28">
        <v>157000</v>
      </c>
      <c r="AH168" s="28">
        <v>150000</v>
      </c>
      <c r="AI168" s="28">
        <v>147000</v>
      </c>
      <c r="AJ168" s="28">
        <v>147000</v>
      </c>
      <c r="AK168" s="28">
        <v>147000</v>
      </c>
      <c r="AL168" s="28">
        <v>199000</v>
      </c>
      <c r="AM168" s="28">
        <v>187000</v>
      </c>
      <c r="AN168" s="28">
        <v>187000</v>
      </c>
      <c r="AO168" s="28">
        <v>199000</v>
      </c>
      <c r="AP168" s="28">
        <v>254000</v>
      </c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</row>
    <row r="169" spans="1:68" ht="15" x14ac:dyDescent="0.2">
      <c r="A169" s="38" t="s">
        <v>146</v>
      </c>
      <c r="B169" s="39"/>
      <c r="C169" s="28">
        <v>767000</v>
      </c>
      <c r="D169" s="28">
        <v>451000</v>
      </c>
      <c r="E169" s="33"/>
      <c r="F169" s="28">
        <v>796000</v>
      </c>
      <c r="G169" s="33"/>
      <c r="H169" s="28">
        <v>264000</v>
      </c>
      <c r="I169" s="33"/>
      <c r="J169" s="28">
        <v>166000</v>
      </c>
      <c r="K169" s="28">
        <v>108000</v>
      </c>
      <c r="L169" s="28">
        <v>259000</v>
      </c>
      <c r="M169" s="28">
        <v>297000</v>
      </c>
      <c r="N169" s="28">
        <v>321000</v>
      </c>
      <c r="O169" s="28">
        <v>385000</v>
      </c>
      <c r="P169" s="28">
        <v>385000</v>
      </c>
      <c r="Q169" s="28">
        <v>288000</v>
      </c>
      <c r="R169" s="28">
        <v>392000</v>
      </c>
      <c r="S169" s="28">
        <v>191000</v>
      </c>
      <c r="T169" s="28">
        <v>360000</v>
      </c>
      <c r="U169" s="28">
        <v>400000</v>
      </c>
      <c r="V169" s="28">
        <v>360000</v>
      </c>
      <c r="W169" s="28">
        <v>370000</v>
      </c>
      <c r="X169" s="28">
        <v>360000</v>
      </c>
      <c r="Y169" s="28">
        <v>382000</v>
      </c>
      <c r="Z169" s="28">
        <v>209000</v>
      </c>
      <c r="AA169" s="28">
        <v>209000</v>
      </c>
      <c r="AB169" s="28">
        <v>209000</v>
      </c>
      <c r="AC169" s="28">
        <v>209000</v>
      </c>
      <c r="AD169" s="28">
        <v>207000</v>
      </c>
      <c r="AE169" s="28">
        <v>224000</v>
      </c>
      <c r="AF169" s="28">
        <v>224000</v>
      </c>
      <c r="AG169" s="28">
        <v>220000</v>
      </c>
      <c r="AH169" s="28">
        <v>209000</v>
      </c>
      <c r="AI169" s="28">
        <v>206000</v>
      </c>
      <c r="AJ169" s="28">
        <v>206000</v>
      </c>
      <c r="AK169" s="28">
        <v>206000</v>
      </c>
      <c r="AL169" s="28">
        <v>244000</v>
      </c>
      <c r="AM169" s="28">
        <v>226000</v>
      </c>
      <c r="AN169" s="28">
        <v>226000</v>
      </c>
      <c r="AO169" s="28">
        <v>244000</v>
      </c>
      <c r="AP169" s="28">
        <v>336000</v>
      </c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</row>
    <row r="170" spans="1:68" ht="15" x14ac:dyDescent="0.2">
      <c r="A170" s="38" t="s">
        <v>147</v>
      </c>
      <c r="B170" s="39"/>
      <c r="C170" s="28">
        <v>1022000</v>
      </c>
      <c r="D170" s="28">
        <v>601000</v>
      </c>
      <c r="E170" s="33"/>
      <c r="F170" s="28">
        <v>1061000</v>
      </c>
      <c r="G170" s="33"/>
      <c r="H170" s="28">
        <v>325000</v>
      </c>
      <c r="I170" s="33"/>
      <c r="J170" s="28">
        <v>212000</v>
      </c>
      <c r="K170" s="28">
        <v>135000</v>
      </c>
      <c r="L170" s="28">
        <v>324000</v>
      </c>
      <c r="M170" s="28">
        <v>370000</v>
      </c>
      <c r="N170" s="28">
        <v>394000</v>
      </c>
      <c r="O170" s="28">
        <v>473000</v>
      </c>
      <c r="P170" s="28">
        <v>473000</v>
      </c>
      <c r="Q170" s="28">
        <v>362000</v>
      </c>
      <c r="R170" s="28">
        <v>498000</v>
      </c>
      <c r="S170" s="28">
        <v>235000</v>
      </c>
      <c r="T170" s="28">
        <v>453000</v>
      </c>
      <c r="U170" s="28">
        <v>506000</v>
      </c>
      <c r="V170" s="28">
        <v>453000</v>
      </c>
      <c r="W170" s="28">
        <v>468000</v>
      </c>
      <c r="X170" s="28">
        <v>455000</v>
      </c>
      <c r="Y170" s="28">
        <v>485000</v>
      </c>
      <c r="Z170" s="28">
        <v>269000</v>
      </c>
      <c r="AA170" s="28">
        <v>269000</v>
      </c>
      <c r="AB170" s="28">
        <v>269000</v>
      </c>
      <c r="AC170" s="28">
        <v>269000</v>
      </c>
      <c r="AD170" s="28">
        <v>265000</v>
      </c>
      <c r="AE170" s="28">
        <v>288000</v>
      </c>
      <c r="AF170" s="28">
        <v>288000</v>
      </c>
      <c r="AG170" s="28">
        <v>283000</v>
      </c>
      <c r="AH170" s="28">
        <v>269000</v>
      </c>
      <c r="AI170" s="28">
        <v>264000</v>
      </c>
      <c r="AJ170" s="28">
        <v>264000</v>
      </c>
      <c r="AK170" s="28">
        <v>264000</v>
      </c>
      <c r="AL170" s="28">
        <v>288000</v>
      </c>
      <c r="AM170" s="28">
        <v>265000</v>
      </c>
      <c r="AN170" s="28">
        <v>265000</v>
      </c>
      <c r="AO170" s="28">
        <v>288000</v>
      </c>
      <c r="AP170" s="28">
        <v>419000</v>
      </c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</row>
    <row r="171" spans="1:68" ht="15" x14ac:dyDescent="0.2">
      <c r="A171" s="38" t="s">
        <v>148</v>
      </c>
      <c r="B171" s="39"/>
      <c r="C171" s="28">
        <v>1278000</v>
      </c>
      <c r="D171" s="28">
        <v>751000</v>
      </c>
      <c r="E171" s="33"/>
      <c r="F171" s="28">
        <v>1326000</v>
      </c>
      <c r="G171" s="33"/>
      <c r="H171" s="28">
        <v>387000</v>
      </c>
      <c r="I171" s="33"/>
      <c r="J171" s="28">
        <v>258000</v>
      </c>
      <c r="K171" s="28">
        <v>161000</v>
      </c>
      <c r="L171" s="28">
        <v>389000</v>
      </c>
      <c r="M171" s="28">
        <v>442000</v>
      </c>
      <c r="N171" s="28">
        <v>468000</v>
      </c>
      <c r="O171" s="28">
        <v>561000</v>
      </c>
      <c r="P171" s="28">
        <v>561000</v>
      </c>
      <c r="Q171" s="28">
        <v>436000</v>
      </c>
      <c r="R171" s="28">
        <v>604000</v>
      </c>
      <c r="S171" s="28">
        <v>278000</v>
      </c>
      <c r="T171" s="28">
        <v>546000</v>
      </c>
      <c r="U171" s="28">
        <v>613000</v>
      </c>
      <c r="V171" s="28">
        <v>546000</v>
      </c>
      <c r="W171" s="28">
        <v>566000</v>
      </c>
      <c r="X171" s="28">
        <v>549000</v>
      </c>
      <c r="Y171" s="28">
        <v>588000</v>
      </c>
      <c r="Z171" s="28">
        <v>328000</v>
      </c>
      <c r="AA171" s="28">
        <v>328000</v>
      </c>
      <c r="AB171" s="28">
        <v>328000</v>
      </c>
      <c r="AC171" s="28">
        <v>328000</v>
      </c>
      <c r="AD171" s="28">
        <v>324000</v>
      </c>
      <c r="AE171" s="28">
        <v>352000</v>
      </c>
      <c r="AF171" s="28">
        <v>352000</v>
      </c>
      <c r="AG171" s="28">
        <v>346000</v>
      </c>
      <c r="AH171" s="28">
        <v>328000</v>
      </c>
      <c r="AI171" s="28">
        <v>322000</v>
      </c>
      <c r="AJ171" s="28">
        <v>322000</v>
      </c>
      <c r="AK171" s="28">
        <v>322000</v>
      </c>
      <c r="AL171" s="28">
        <v>333000</v>
      </c>
      <c r="AM171" s="28">
        <v>304000</v>
      </c>
      <c r="AN171" s="28">
        <v>304000</v>
      </c>
      <c r="AO171" s="28">
        <v>333000</v>
      </c>
      <c r="AP171" s="28">
        <v>502000</v>
      </c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</row>
    <row r="172" spans="1:68" ht="15" x14ac:dyDescent="0.2">
      <c r="A172" s="38" t="s">
        <v>149</v>
      </c>
      <c r="B172" s="39"/>
      <c r="C172" s="28">
        <v>1533000</v>
      </c>
      <c r="D172" s="28">
        <v>901000</v>
      </c>
      <c r="E172" s="33"/>
      <c r="F172" s="28">
        <v>1591000</v>
      </c>
      <c r="G172" s="33"/>
      <c r="H172" s="28">
        <v>449000</v>
      </c>
      <c r="I172" s="33"/>
      <c r="J172" s="28">
        <v>304000</v>
      </c>
      <c r="K172" s="28">
        <v>188000</v>
      </c>
      <c r="L172" s="28">
        <v>455000</v>
      </c>
      <c r="M172" s="28">
        <v>515000</v>
      </c>
      <c r="N172" s="28">
        <v>541000</v>
      </c>
      <c r="O172" s="28">
        <v>649000</v>
      </c>
      <c r="P172" s="28">
        <v>649000</v>
      </c>
      <c r="Q172" s="28">
        <v>509000</v>
      </c>
      <c r="R172" s="28">
        <v>710000</v>
      </c>
      <c r="S172" s="28">
        <v>321000</v>
      </c>
      <c r="T172" s="28">
        <v>639000</v>
      </c>
      <c r="U172" s="28">
        <v>719000</v>
      </c>
      <c r="V172" s="28">
        <v>639000</v>
      </c>
      <c r="W172" s="28">
        <v>665000</v>
      </c>
      <c r="X172" s="28">
        <v>644000</v>
      </c>
      <c r="Y172" s="28">
        <v>690000</v>
      </c>
      <c r="Z172" s="28">
        <v>388000</v>
      </c>
      <c r="AA172" s="28">
        <v>388000</v>
      </c>
      <c r="AB172" s="28">
        <v>388000</v>
      </c>
      <c r="AC172" s="28">
        <v>388000</v>
      </c>
      <c r="AD172" s="28">
        <v>382000</v>
      </c>
      <c r="AE172" s="28">
        <v>417000</v>
      </c>
      <c r="AF172" s="28">
        <v>417000</v>
      </c>
      <c r="AG172" s="28">
        <v>410000</v>
      </c>
      <c r="AH172" s="28">
        <v>388000</v>
      </c>
      <c r="AI172" s="28">
        <v>381000</v>
      </c>
      <c r="AJ172" s="28">
        <v>381000</v>
      </c>
      <c r="AK172" s="28">
        <v>381000</v>
      </c>
      <c r="AL172" s="28">
        <v>378000</v>
      </c>
      <c r="AM172" s="28">
        <v>343000</v>
      </c>
      <c r="AN172" s="28">
        <v>343000</v>
      </c>
      <c r="AO172" s="28">
        <v>378000</v>
      </c>
      <c r="AP172" s="28">
        <v>584000</v>
      </c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</row>
    <row r="173" spans="1:68" ht="18" x14ac:dyDescent="0.25">
      <c r="A173" s="34" t="s">
        <v>150</v>
      </c>
      <c r="B173" s="47"/>
      <c r="C173" s="48"/>
      <c r="D173" s="25"/>
      <c r="E173" s="48"/>
      <c r="F173" s="25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</row>
    <row r="174" spans="1:68" ht="15" x14ac:dyDescent="0.2">
      <c r="A174" s="26" t="s">
        <v>151</v>
      </c>
      <c r="B174" s="27"/>
      <c r="C174" s="28">
        <v>511000</v>
      </c>
      <c r="D174" s="28">
        <v>301000</v>
      </c>
      <c r="E174" s="33"/>
      <c r="F174" s="28">
        <v>531000</v>
      </c>
      <c r="G174" s="33"/>
      <c r="H174" s="28">
        <v>202000</v>
      </c>
      <c r="I174" s="33"/>
      <c r="J174" s="28">
        <v>120000</v>
      </c>
      <c r="K174" s="28">
        <v>81000</v>
      </c>
      <c r="L174" s="28">
        <v>193000</v>
      </c>
      <c r="M174" s="28">
        <v>224000</v>
      </c>
      <c r="N174" s="28">
        <v>248000</v>
      </c>
      <c r="O174" s="28">
        <v>297000</v>
      </c>
      <c r="P174" s="28">
        <v>297000</v>
      </c>
      <c r="Q174" s="28">
        <v>215000</v>
      </c>
      <c r="R174" s="28">
        <v>285000</v>
      </c>
      <c r="S174" s="28">
        <v>148000</v>
      </c>
      <c r="T174" s="28">
        <v>267000</v>
      </c>
      <c r="U174" s="28">
        <v>294000</v>
      </c>
      <c r="V174" s="28">
        <v>267000</v>
      </c>
      <c r="W174" s="28">
        <v>271000</v>
      </c>
      <c r="X174" s="28">
        <v>265000</v>
      </c>
      <c r="Y174" s="28">
        <v>280000</v>
      </c>
      <c r="Z174" s="28">
        <v>150000</v>
      </c>
      <c r="AA174" s="28">
        <v>150000</v>
      </c>
      <c r="AB174" s="28">
        <v>150000</v>
      </c>
      <c r="AC174" s="28">
        <v>150000</v>
      </c>
      <c r="AD174" s="28">
        <v>148000</v>
      </c>
      <c r="AE174" s="28">
        <v>159000</v>
      </c>
      <c r="AF174" s="28">
        <v>159000</v>
      </c>
      <c r="AG174" s="28">
        <v>157000</v>
      </c>
      <c r="AH174" s="28">
        <v>150000</v>
      </c>
      <c r="AI174" s="28">
        <v>147000</v>
      </c>
      <c r="AJ174" s="28">
        <v>147000</v>
      </c>
      <c r="AK174" s="28">
        <v>147000</v>
      </c>
      <c r="AL174" s="28">
        <v>199000</v>
      </c>
      <c r="AM174" s="28">
        <v>187000</v>
      </c>
      <c r="AN174" s="28">
        <v>187000</v>
      </c>
      <c r="AO174" s="28">
        <v>199000</v>
      </c>
      <c r="AP174" s="28">
        <v>254000</v>
      </c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</row>
    <row r="175" spans="1:68" ht="18" x14ac:dyDescent="0.25">
      <c r="A175" s="49" t="s">
        <v>152</v>
      </c>
      <c r="B175" s="48"/>
      <c r="C175" s="25"/>
      <c r="D175" s="25"/>
      <c r="E175" s="33"/>
      <c r="F175" s="25"/>
      <c r="G175" s="33"/>
      <c r="H175" s="25"/>
      <c r="I175" s="33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48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</row>
    <row r="176" spans="1:68" ht="15" x14ac:dyDescent="0.2">
      <c r="A176" s="31" t="s">
        <v>153</v>
      </c>
      <c r="B176" s="48"/>
      <c r="C176" s="25"/>
      <c r="D176" s="28">
        <v>826000</v>
      </c>
      <c r="E176" s="33"/>
      <c r="F176" s="28">
        <v>2553000</v>
      </c>
      <c r="G176" s="33"/>
      <c r="H176" s="25"/>
      <c r="I176" s="33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48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</row>
    <row r="177" spans="1:68" ht="15" x14ac:dyDescent="0.2">
      <c r="A177" s="31" t="s">
        <v>154</v>
      </c>
      <c r="B177" s="48"/>
      <c r="C177" s="25"/>
      <c r="D177" s="28">
        <v>189000</v>
      </c>
      <c r="E177" s="33"/>
      <c r="F177" s="28">
        <v>584000</v>
      </c>
      <c r="G177" s="33"/>
      <c r="H177" s="25"/>
      <c r="I177" s="33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48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</row>
    <row r="178" spans="1:68" ht="15" x14ac:dyDescent="0.2">
      <c r="A178" s="31" t="s">
        <v>155</v>
      </c>
      <c r="B178" s="48"/>
      <c r="C178" s="25"/>
      <c r="D178" s="28">
        <v>429000</v>
      </c>
      <c r="E178" s="33"/>
      <c r="F178" s="28">
        <v>1326000</v>
      </c>
      <c r="G178" s="33"/>
      <c r="H178" s="25"/>
      <c r="I178" s="33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48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</row>
    <row r="179" spans="1:68" ht="18" x14ac:dyDescent="0.25">
      <c r="A179" s="44" t="s">
        <v>156</v>
      </c>
      <c r="B179" s="50"/>
      <c r="C179" s="25"/>
      <c r="D179" s="25"/>
      <c r="E179" s="33"/>
      <c r="F179" s="25"/>
      <c r="G179" s="33"/>
      <c r="H179" s="25"/>
      <c r="I179" s="33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48"/>
    </row>
    <row r="180" spans="1:68" ht="15" x14ac:dyDescent="0.2">
      <c r="A180" s="38" t="s">
        <v>157</v>
      </c>
      <c r="B180" s="51"/>
      <c r="C180" s="25"/>
      <c r="D180" s="25"/>
      <c r="E180" s="33"/>
      <c r="F180" s="25"/>
      <c r="G180" s="33"/>
      <c r="H180" s="25"/>
      <c r="I180" s="33"/>
      <c r="J180" s="28">
        <v>1219000</v>
      </c>
      <c r="K180" s="28">
        <v>1037000</v>
      </c>
      <c r="L180" s="28">
        <v>1553000</v>
      </c>
      <c r="M180" s="28">
        <v>1693000</v>
      </c>
      <c r="N180" s="28">
        <v>1799000</v>
      </c>
      <c r="O180" s="28">
        <v>2025000</v>
      </c>
      <c r="P180" s="28">
        <v>2025000</v>
      </c>
      <c r="Q180" s="28">
        <v>1653000</v>
      </c>
      <c r="R180" s="28">
        <v>1983000</v>
      </c>
      <c r="S180" s="28">
        <v>1341000</v>
      </c>
      <c r="T180" s="28">
        <v>1895000</v>
      </c>
      <c r="U180" s="28">
        <v>2021000</v>
      </c>
      <c r="V180" s="28">
        <v>1895000</v>
      </c>
      <c r="W180" s="28">
        <v>1917000</v>
      </c>
      <c r="X180" s="28">
        <v>1885000</v>
      </c>
      <c r="Y180" s="28">
        <v>1957000</v>
      </c>
      <c r="Z180" s="28">
        <v>1357000</v>
      </c>
      <c r="AA180" s="28">
        <v>1357000</v>
      </c>
      <c r="AB180" s="28">
        <v>1357000</v>
      </c>
      <c r="AC180" s="28">
        <v>1357000</v>
      </c>
      <c r="AD180" s="28">
        <v>1349000</v>
      </c>
      <c r="AE180" s="28">
        <v>1403000</v>
      </c>
      <c r="AF180" s="28">
        <v>1403000</v>
      </c>
      <c r="AG180" s="28">
        <v>1391000</v>
      </c>
      <c r="AH180" s="28">
        <v>1357000</v>
      </c>
      <c r="AI180" s="28">
        <v>1345000</v>
      </c>
      <c r="AJ180" s="28">
        <v>1345000</v>
      </c>
      <c r="AK180" s="28">
        <v>1345000</v>
      </c>
      <c r="AL180" s="28">
        <v>1567000</v>
      </c>
      <c r="AM180" s="28">
        <v>1513000</v>
      </c>
      <c r="AN180" s="28">
        <v>1513000</v>
      </c>
      <c r="AO180" s="28">
        <v>1567000</v>
      </c>
      <c r="AP180" s="28">
        <v>1831000</v>
      </c>
    </row>
    <row r="181" spans="1:68" ht="15" x14ac:dyDescent="0.2">
      <c r="A181" s="38" t="s">
        <v>158</v>
      </c>
      <c r="B181" s="51"/>
      <c r="C181" s="25"/>
      <c r="D181" s="25"/>
      <c r="E181" s="33"/>
      <c r="F181" s="25"/>
      <c r="G181" s="33"/>
      <c r="H181" s="25"/>
      <c r="I181" s="33"/>
      <c r="J181" s="28">
        <v>1302000</v>
      </c>
      <c r="K181" s="28">
        <v>1106000</v>
      </c>
      <c r="L181" s="28">
        <v>1658000</v>
      </c>
      <c r="M181" s="28">
        <v>1806000</v>
      </c>
      <c r="N181" s="28">
        <v>1920000</v>
      </c>
      <c r="O181" s="28">
        <v>2162000</v>
      </c>
      <c r="P181" s="28">
        <v>2162000</v>
      </c>
      <c r="Q181" s="28">
        <v>1764000</v>
      </c>
      <c r="R181" s="28">
        <v>2118000</v>
      </c>
      <c r="S181" s="28">
        <v>1430000</v>
      </c>
      <c r="T181" s="28">
        <v>2022000</v>
      </c>
      <c r="U181" s="28">
        <v>2156000</v>
      </c>
      <c r="V181" s="28">
        <v>2022000</v>
      </c>
      <c r="W181" s="28">
        <v>2046000</v>
      </c>
      <c r="X181" s="28">
        <v>2012000</v>
      </c>
      <c r="Y181" s="28">
        <v>2088000</v>
      </c>
      <c r="Z181" s="28">
        <v>1450000</v>
      </c>
      <c r="AA181" s="28">
        <v>1450000</v>
      </c>
      <c r="AB181" s="28">
        <v>1450000</v>
      </c>
      <c r="AC181" s="28">
        <v>1450000</v>
      </c>
      <c r="AD181" s="28"/>
      <c r="AE181" s="28">
        <v>1498000</v>
      </c>
      <c r="AF181" s="28">
        <v>1498000</v>
      </c>
      <c r="AG181" s="28">
        <v>1486000</v>
      </c>
      <c r="AH181" s="28">
        <v>1450000</v>
      </c>
      <c r="AI181" s="28">
        <v>1436000</v>
      </c>
      <c r="AJ181" s="28">
        <v>1436000</v>
      </c>
      <c r="AK181" s="28">
        <v>1436000</v>
      </c>
      <c r="AL181" s="28">
        <v>708000</v>
      </c>
      <c r="AM181" s="28">
        <v>708000</v>
      </c>
      <c r="AN181" s="28">
        <v>708000</v>
      </c>
      <c r="AO181" s="28">
        <v>708000</v>
      </c>
      <c r="AP181" s="28">
        <v>708000</v>
      </c>
    </row>
    <row r="182" spans="1:68" ht="15" x14ac:dyDescent="0.2">
      <c r="A182" s="38" t="s">
        <v>159</v>
      </c>
      <c r="B182" s="51"/>
      <c r="C182" s="25"/>
      <c r="D182" s="25"/>
      <c r="E182" s="33"/>
      <c r="F182" s="25"/>
      <c r="G182" s="33"/>
      <c r="H182" s="25"/>
      <c r="I182" s="33"/>
      <c r="J182" s="28">
        <v>1383000</v>
      </c>
      <c r="K182" s="28">
        <v>1177000</v>
      </c>
      <c r="L182" s="28">
        <v>1763000</v>
      </c>
      <c r="M182" s="28">
        <v>1921000</v>
      </c>
      <c r="N182" s="28">
        <v>2041000</v>
      </c>
      <c r="O182" s="28">
        <v>2297000</v>
      </c>
      <c r="P182" s="28">
        <v>2297000</v>
      </c>
      <c r="Q182" s="28">
        <v>1875000</v>
      </c>
      <c r="R182" s="28">
        <v>2251000</v>
      </c>
      <c r="S182" s="28">
        <v>1521000</v>
      </c>
      <c r="T182" s="28">
        <v>2151000</v>
      </c>
      <c r="U182" s="28">
        <v>2293000</v>
      </c>
      <c r="V182" s="28">
        <v>2151000</v>
      </c>
      <c r="W182" s="28">
        <v>2175000</v>
      </c>
      <c r="X182" s="28">
        <v>2139000</v>
      </c>
      <c r="Y182" s="28">
        <v>2221000</v>
      </c>
      <c r="Z182" s="28">
        <v>1541000</v>
      </c>
      <c r="AA182" s="28">
        <v>1541000</v>
      </c>
      <c r="AB182" s="28">
        <v>1541000</v>
      </c>
      <c r="AC182" s="28">
        <v>1541000</v>
      </c>
      <c r="AD182" s="28"/>
      <c r="AE182" s="28">
        <v>1593000</v>
      </c>
      <c r="AF182" s="28">
        <v>1593000</v>
      </c>
      <c r="AG182" s="28">
        <v>1579000</v>
      </c>
      <c r="AH182" s="28">
        <v>1541000</v>
      </c>
      <c r="AI182" s="28">
        <v>1527000</v>
      </c>
      <c r="AJ182" s="28">
        <v>1527000</v>
      </c>
      <c r="AK182" s="28">
        <v>1527000</v>
      </c>
      <c r="AL182" s="28">
        <v>753000</v>
      </c>
      <c r="AM182" s="28">
        <v>753000</v>
      </c>
      <c r="AN182" s="28">
        <v>753000</v>
      </c>
      <c r="AO182" s="28">
        <v>753000</v>
      </c>
      <c r="AP182" s="28">
        <v>753000</v>
      </c>
    </row>
    <row r="183" spans="1:68" ht="15" x14ac:dyDescent="0.2">
      <c r="A183" s="38" t="s">
        <v>160</v>
      </c>
      <c r="B183" s="51"/>
      <c r="C183" s="25"/>
      <c r="D183" s="25"/>
      <c r="E183" s="33"/>
      <c r="F183" s="25"/>
      <c r="G183" s="33"/>
      <c r="H183" s="25"/>
      <c r="I183" s="33"/>
      <c r="J183" s="28">
        <v>1157000</v>
      </c>
      <c r="K183" s="28">
        <v>983000</v>
      </c>
      <c r="L183" s="28">
        <v>1475000</v>
      </c>
      <c r="M183" s="28">
        <v>1607000</v>
      </c>
      <c r="N183" s="28">
        <v>1707000</v>
      </c>
      <c r="O183" s="28">
        <v>1923000</v>
      </c>
      <c r="P183" s="28">
        <v>1923000</v>
      </c>
      <c r="Q183" s="28">
        <v>1569000</v>
      </c>
      <c r="R183" s="28">
        <v>1883000</v>
      </c>
      <c r="S183" s="28">
        <v>1273000</v>
      </c>
      <c r="T183" s="28">
        <v>1799000</v>
      </c>
      <c r="U183" s="28">
        <v>1917000</v>
      </c>
      <c r="V183" s="28">
        <v>1799000</v>
      </c>
      <c r="W183" s="28">
        <v>1819000</v>
      </c>
      <c r="X183" s="28">
        <v>1789000</v>
      </c>
      <c r="Y183" s="28">
        <v>1857000</v>
      </c>
      <c r="Z183" s="28">
        <v>1289000</v>
      </c>
      <c r="AA183" s="28">
        <v>1289000</v>
      </c>
      <c r="AB183" s="28">
        <v>1289000</v>
      </c>
      <c r="AC183" s="28">
        <v>1289000</v>
      </c>
      <c r="AD183" s="28">
        <v>1281000</v>
      </c>
      <c r="AE183" s="28">
        <v>1331000</v>
      </c>
      <c r="AF183" s="28">
        <v>1331000</v>
      </c>
      <c r="AG183" s="28">
        <v>1321000</v>
      </c>
      <c r="AH183" s="28">
        <v>1289000</v>
      </c>
      <c r="AI183" s="28">
        <v>1277000</v>
      </c>
      <c r="AJ183" s="28">
        <v>1277000</v>
      </c>
      <c r="AK183" s="28">
        <v>1277000</v>
      </c>
      <c r="AL183" s="28">
        <v>1487000</v>
      </c>
      <c r="AM183" s="28">
        <v>1437000</v>
      </c>
      <c r="AN183" s="28">
        <v>1437000</v>
      </c>
      <c r="AO183" s="28">
        <v>1487000</v>
      </c>
      <c r="AP183" s="28">
        <v>1737000</v>
      </c>
    </row>
    <row r="184" spans="1:68" ht="15" x14ac:dyDescent="0.2">
      <c r="A184" s="38" t="s">
        <v>161</v>
      </c>
      <c r="B184" s="51"/>
      <c r="C184" s="25"/>
      <c r="D184" s="25"/>
      <c r="E184" s="33"/>
      <c r="F184" s="25"/>
      <c r="G184" s="33"/>
      <c r="H184" s="25"/>
      <c r="I184" s="33"/>
      <c r="J184" s="28">
        <v>1055000</v>
      </c>
      <c r="K184" s="28">
        <v>897000</v>
      </c>
      <c r="L184" s="28">
        <v>1343000</v>
      </c>
      <c r="M184" s="28">
        <v>1465000</v>
      </c>
      <c r="N184" s="28">
        <v>1557000</v>
      </c>
      <c r="O184" s="28">
        <v>1753000</v>
      </c>
      <c r="P184" s="28">
        <v>1753000</v>
      </c>
      <c r="Q184" s="28">
        <v>1429000</v>
      </c>
      <c r="R184" s="28">
        <v>1715000</v>
      </c>
      <c r="S184" s="28">
        <v>1159000</v>
      </c>
      <c r="T184" s="28">
        <v>1639000</v>
      </c>
      <c r="U184" s="28">
        <v>1747000</v>
      </c>
      <c r="V184" s="28">
        <v>1639000</v>
      </c>
      <c r="W184" s="28">
        <v>1659000</v>
      </c>
      <c r="X184" s="28">
        <v>1631000</v>
      </c>
      <c r="Y184" s="28">
        <v>1693000</v>
      </c>
      <c r="Z184" s="28">
        <v>1173000</v>
      </c>
      <c r="AA184" s="28">
        <v>1173000</v>
      </c>
      <c r="AB184" s="28">
        <v>1173000</v>
      </c>
      <c r="AC184" s="28">
        <v>1173000</v>
      </c>
      <c r="AD184" s="28">
        <v>1167000</v>
      </c>
      <c r="AE184" s="28">
        <v>1213000</v>
      </c>
      <c r="AF184" s="28">
        <v>1213000</v>
      </c>
      <c r="AG184" s="28">
        <v>1203000</v>
      </c>
      <c r="AH184" s="28">
        <v>1173000</v>
      </c>
      <c r="AI184" s="28">
        <v>1163000</v>
      </c>
      <c r="AJ184" s="28">
        <v>1163000</v>
      </c>
      <c r="AK184" s="28">
        <v>1163000</v>
      </c>
      <c r="AL184" s="28">
        <v>1357000</v>
      </c>
      <c r="AM184" s="28">
        <v>1309000</v>
      </c>
      <c r="AN184" s="28">
        <v>1309000</v>
      </c>
      <c r="AO184" s="28">
        <v>1357000</v>
      </c>
      <c r="AP184" s="28">
        <v>1585000</v>
      </c>
    </row>
    <row r="185" spans="1:68" ht="15" x14ac:dyDescent="0.2">
      <c r="A185" s="38" t="s">
        <v>162</v>
      </c>
      <c r="B185" s="51"/>
      <c r="C185" s="25"/>
      <c r="D185" s="25"/>
      <c r="E185" s="33"/>
      <c r="F185" s="25"/>
      <c r="G185" s="33"/>
      <c r="H185" s="25"/>
      <c r="I185" s="33"/>
      <c r="J185" s="28">
        <v>192000</v>
      </c>
      <c r="K185" s="28">
        <v>164000</v>
      </c>
      <c r="L185" s="28">
        <v>250000</v>
      </c>
      <c r="M185" s="28">
        <v>274000</v>
      </c>
      <c r="N185" s="28">
        <v>294000</v>
      </c>
      <c r="O185" s="28">
        <v>332000</v>
      </c>
      <c r="P185" s="28">
        <v>332000</v>
      </c>
      <c r="Q185" s="28">
        <v>266000</v>
      </c>
      <c r="R185" s="28">
        <v>318000</v>
      </c>
      <c r="S185" s="28">
        <v>216000</v>
      </c>
      <c r="T185" s="28">
        <v>306000</v>
      </c>
      <c r="U185" s="28">
        <v>324000</v>
      </c>
      <c r="V185" s="28">
        <v>306000</v>
      </c>
      <c r="W185" s="28">
        <v>308000</v>
      </c>
      <c r="X185" s="28">
        <v>302000</v>
      </c>
      <c r="Y185" s="28">
        <v>314000</v>
      </c>
      <c r="Z185" s="28">
        <v>214000</v>
      </c>
      <c r="AA185" s="28">
        <v>214000</v>
      </c>
      <c r="AB185" s="28">
        <v>214000</v>
      </c>
      <c r="AC185" s="28">
        <v>214000</v>
      </c>
      <c r="AD185" s="28">
        <v>214000</v>
      </c>
      <c r="AE185" s="28">
        <v>222000</v>
      </c>
      <c r="AF185" s="28">
        <v>222000</v>
      </c>
      <c r="AG185" s="28">
        <v>220000</v>
      </c>
      <c r="AH185" s="28">
        <v>214000</v>
      </c>
      <c r="AI185" s="28">
        <v>212000</v>
      </c>
      <c r="AJ185" s="28">
        <v>212000</v>
      </c>
      <c r="AK185" s="28">
        <v>212000</v>
      </c>
      <c r="AL185" s="28">
        <v>260000</v>
      </c>
      <c r="AM185" s="28">
        <v>252000</v>
      </c>
      <c r="AN185" s="28">
        <v>252000</v>
      </c>
      <c r="AO185" s="28">
        <v>260000</v>
      </c>
      <c r="AP185" s="28">
        <v>296000</v>
      </c>
    </row>
    <row r="186" spans="1:68" ht="15" x14ac:dyDescent="0.2">
      <c r="A186" s="38" t="s">
        <v>163</v>
      </c>
      <c r="B186" s="51"/>
      <c r="C186" s="25"/>
      <c r="D186" s="25"/>
      <c r="E186" s="33"/>
      <c r="F186" s="25"/>
      <c r="G186" s="33"/>
      <c r="H186" s="25"/>
      <c r="I186" s="33"/>
      <c r="J186" s="28">
        <v>254000</v>
      </c>
      <c r="K186" s="28">
        <v>218000</v>
      </c>
      <c r="L186" s="28">
        <v>328000</v>
      </c>
      <c r="M186" s="28">
        <v>360000</v>
      </c>
      <c r="N186" s="28">
        <v>384000</v>
      </c>
      <c r="O186" s="28">
        <v>434000</v>
      </c>
      <c r="P186" s="28">
        <v>434000</v>
      </c>
      <c r="Q186" s="28">
        <v>350000</v>
      </c>
      <c r="R186" s="28">
        <v>418000</v>
      </c>
      <c r="S186" s="28">
        <v>284000</v>
      </c>
      <c r="T186" s="28">
        <v>402000</v>
      </c>
      <c r="U186" s="28">
        <v>426000</v>
      </c>
      <c r="V186" s="28">
        <v>402000</v>
      </c>
      <c r="W186" s="28">
        <v>404000</v>
      </c>
      <c r="X186" s="28">
        <v>398000</v>
      </c>
      <c r="Y186" s="28">
        <v>412000</v>
      </c>
      <c r="Z186" s="28">
        <v>284000</v>
      </c>
      <c r="AA186" s="28">
        <v>284000</v>
      </c>
      <c r="AB186" s="28">
        <v>284000</v>
      </c>
      <c r="AC186" s="28">
        <v>284000</v>
      </c>
      <c r="AD186" s="28">
        <v>282000</v>
      </c>
      <c r="AE186" s="28">
        <v>292000</v>
      </c>
      <c r="AF186" s="28">
        <v>292000</v>
      </c>
      <c r="AG186" s="28">
        <v>290000</v>
      </c>
      <c r="AH186" s="28">
        <v>284000</v>
      </c>
      <c r="AI186" s="28">
        <v>282000</v>
      </c>
      <c r="AJ186" s="28">
        <v>282000</v>
      </c>
      <c r="AK186" s="28">
        <v>282000</v>
      </c>
      <c r="AL186" s="28">
        <v>338000</v>
      </c>
      <c r="AM186" s="28">
        <v>328000</v>
      </c>
      <c r="AN186" s="28">
        <v>328000</v>
      </c>
      <c r="AO186" s="28">
        <v>338000</v>
      </c>
      <c r="AP186" s="28">
        <v>390000</v>
      </c>
    </row>
    <row r="187" spans="1:68" ht="15" x14ac:dyDescent="0.2">
      <c r="A187" s="38" t="s">
        <v>164</v>
      </c>
      <c r="B187" s="51"/>
      <c r="C187" s="25"/>
      <c r="D187" s="25"/>
      <c r="E187" s="33"/>
      <c r="F187" s="25"/>
      <c r="G187" s="33"/>
      <c r="H187" s="25"/>
      <c r="I187" s="33"/>
      <c r="J187" s="28">
        <v>316000</v>
      </c>
      <c r="K187" s="28">
        <v>270000</v>
      </c>
      <c r="L187" s="28">
        <v>408000</v>
      </c>
      <c r="M187" s="28">
        <v>446000</v>
      </c>
      <c r="N187" s="28">
        <v>476000</v>
      </c>
      <c r="O187" s="28">
        <v>536000</v>
      </c>
      <c r="P187" s="28">
        <v>536000</v>
      </c>
      <c r="Q187" s="28">
        <v>434000</v>
      </c>
      <c r="R187" s="28">
        <v>518000</v>
      </c>
      <c r="S187" s="28">
        <v>352000</v>
      </c>
      <c r="T187" s="28">
        <v>498000</v>
      </c>
      <c r="U187" s="28">
        <v>530000</v>
      </c>
      <c r="V187" s="28">
        <v>498000</v>
      </c>
      <c r="W187" s="28">
        <v>502000</v>
      </c>
      <c r="X187" s="28">
        <v>494000</v>
      </c>
      <c r="Y187" s="28">
        <v>512000</v>
      </c>
      <c r="Z187" s="28">
        <v>352000</v>
      </c>
      <c r="AA187" s="28">
        <v>352000</v>
      </c>
      <c r="AB187" s="28">
        <v>352000</v>
      </c>
      <c r="AC187" s="28">
        <v>352000</v>
      </c>
      <c r="AD187" s="28">
        <v>350000</v>
      </c>
      <c r="AE187" s="28">
        <v>364000</v>
      </c>
      <c r="AF187" s="28">
        <v>364000</v>
      </c>
      <c r="AG187" s="28">
        <v>362000</v>
      </c>
      <c r="AH187" s="28">
        <v>352000</v>
      </c>
      <c r="AI187" s="28">
        <v>350000</v>
      </c>
      <c r="AJ187" s="28">
        <v>350000</v>
      </c>
      <c r="AK187" s="28">
        <v>350000</v>
      </c>
      <c r="AL187" s="28">
        <v>418000</v>
      </c>
      <c r="AM187" s="28">
        <v>404000</v>
      </c>
      <c r="AN187" s="28">
        <v>404000</v>
      </c>
      <c r="AO187" s="28">
        <v>418000</v>
      </c>
      <c r="AP187" s="28">
        <v>482000</v>
      </c>
    </row>
    <row r="188" spans="1:68" ht="15" x14ac:dyDescent="0.2">
      <c r="A188" s="38" t="s">
        <v>165</v>
      </c>
      <c r="B188" s="51"/>
      <c r="C188" s="25"/>
      <c r="D188" s="25"/>
      <c r="E188" s="33"/>
      <c r="F188" s="25"/>
      <c r="G188" s="33"/>
      <c r="H188" s="25"/>
      <c r="I188" s="33"/>
      <c r="J188" s="28">
        <v>420000</v>
      </c>
      <c r="K188" s="28">
        <v>358000</v>
      </c>
      <c r="L188" s="28">
        <v>538000</v>
      </c>
      <c r="M188" s="28">
        <v>588000</v>
      </c>
      <c r="N188" s="28">
        <v>626000</v>
      </c>
      <c r="O188" s="28">
        <v>706000</v>
      </c>
      <c r="P188" s="28">
        <v>706000</v>
      </c>
      <c r="Q188" s="28">
        <v>572000</v>
      </c>
      <c r="R188" s="28">
        <v>686000</v>
      </c>
      <c r="S188" s="28">
        <v>466000</v>
      </c>
      <c r="T188" s="28">
        <v>656000</v>
      </c>
      <c r="U188" s="28">
        <v>700000</v>
      </c>
      <c r="V188" s="28">
        <v>656000</v>
      </c>
      <c r="W188" s="28">
        <v>664000</v>
      </c>
      <c r="X188" s="28">
        <v>652000</v>
      </c>
      <c r="Y188" s="28">
        <v>676000</v>
      </c>
      <c r="Z188" s="28">
        <v>466000</v>
      </c>
      <c r="AA188" s="28">
        <v>466000</v>
      </c>
      <c r="AB188" s="28">
        <v>466000</v>
      </c>
      <c r="AC188" s="28">
        <v>466000</v>
      </c>
      <c r="AD188" s="28">
        <v>464000</v>
      </c>
      <c r="AE188" s="28">
        <v>482000</v>
      </c>
      <c r="AF188" s="28">
        <v>482000</v>
      </c>
      <c r="AG188" s="28">
        <v>478000</v>
      </c>
      <c r="AH188" s="28">
        <v>466000</v>
      </c>
      <c r="AI188" s="28">
        <v>464000</v>
      </c>
      <c r="AJ188" s="28">
        <v>464000</v>
      </c>
      <c r="AK188" s="28">
        <v>464000</v>
      </c>
      <c r="AL188" s="28">
        <v>548000</v>
      </c>
      <c r="AM188" s="28">
        <v>530000</v>
      </c>
      <c r="AN188" s="28">
        <v>530000</v>
      </c>
      <c r="AO188" s="28">
        <v>548000</v>
      </c>
      <c r="AP188" s="28">
        <v>636000</v>
      </c>
    </row>
    <row r="189" spans="1:68" ht="15" x14ac:dyDescent="0.2">
      <c r="A189" s="38" t="s">
        <v>166</v>
      </c>
      <c r="B189" s="51"/>
      <c r="C189" s="25"/>
      <c r="D189" s="25"/>
      <c r="E189" s="33"/>
      <c r="F189" s="25"/>
      <c r="G189" s="33"/>
      <c r="H189" s="25"/>
      <c r="I189" s="33"/>
      <c r="J189" s="28">
        <v>522000</v>
      </c>
      <c r="K189" s="28">
        <v>444000</v>
      </c>
      <c r="L189" s="28">
        <v>668000</v>
      </c>
      <c r="M189" s="28">
        <v>730000</v>
      </c>
      <c r="N189" s="28">
        <v>778000</v>
      </c>
      <c r="O189" s="28">
        <v>876000</v>
      </c>
      <c r="P189" s="28">
        <v>876000</v>
      </c>
      <c r="Q189" s="28">
        <v>712000</v>
      </c>
      <c r="R189" s="28">
        <v>852000</v>
      </c>
      <c r="S189" s="28">
        <v>578000</v>
      </c>
      <c r="T189" s="28">
        <v>816000</v>
      </c>
      <c r="U189" s="28">
        <v>870000</v>
      </c>
      <c r="V189" s="28">
        <v>816000</v>
      </c>
      <c r="W189" s="28">
        <v>824000</v>
      </c>
      <c r="X189" s="28">
        <v>812000</v>
      </c>
      <c r="Y189" s="28">
        <v>842000</v>
      </c>
      <c r="Z189" s="28">
        <v>582000</v>
      </c>
      <c r="AA189" s="28">
        <v>582000</v>
      </c>
      <c r="AB189" s="28">
        <v>582000</v>
      </c>
      <c r="AC189" s="28">
        <v>582000</v>
      </c>
      <c r="AD189" s="28">
        <v>578000</v>
      </c>
      <c r="AE189" s="28">
        <v>600000</v>
      </c>
      <c r="AF189" s="28">
        <v>600000</v>
      </c>
      <c r="AG189" s="28">
        <v>596000</v>
      </c>
      <c r="AH189" s="28">
        <v>582000</v>
      </c>
      <c r="AI189" s="28">
        <v>576000</v>
      </c>
      <c r="AJ189" s="28">
        <v>576000</v>
      </c>
      <c r="AK189" s="28">
        <v>576000</v>
      </c>
      <c r="AL189" s="28">
        <v>680000</v>
      </c>
      <c r="AM189" s="28">
        <v>656000</v>
      </c>
      <c r="AN189" s="28">
        <v>656000</v>
      </c>
      <c r="AO189" s="28">
        <v>680000</v>
      </c>
      <c r="AP189" s="28">
        <v>790000</v>
      </c>
    </row>
    <row r="190" spans="1:68" ht="15" x14ac:dyDescent="0.2">
      <c r="A190" s="38" t="s">
        <v>167</v>
      </c>
      <c r="B190" s="51"/>
      <c r="C190" s="25"/>
      <c r="D190" s="25"/>
      <c r="E190" s="33"/>
      <c r="F190" s="25"/>
      <c r="G190" s="33"/>
      <c r="H190" s="25"/>
      <c r="I190" s="33"/>
      <c r="J190" s="28">
        <v>575000</v>
      </c>
      <c r="K190" s="28">
        <v>489000</v>
      </c>
      <c r="L190" s="28">
        <v>735000</v>
      </c>
      <c r="M190" s="28">
        <v>801000</v>
      </c>
      <c r="N190" s="28">
        <v>853000</v>
      </c>
      <c r="O190" s="28">
        <v>961000</v>
      </c>
      <c r="P190" s="28">
        <v>961000</v>
      </c>
      <c r="Q190" s="28">
        <v>781000</v>
      </c>
      <c r="R190" s="28">
        <v>937000</v>
      </c>
      <c r="S190" s="28">
        <v>635000</v>
      </c>
      <c r="T190" s="28">
        <v>897000</v>
      </c>
      <c r="U190" s="28">
        <v>955000</v>
      </c>
      <c r="V190" s="28">
        <v>897000</v>
      </c>
      <c r="W190" s="28">
        <v>907000</v>
      </c>
      <c r="X190" s="28">
        <v>891000</v>
      </c>
      <c r="Y190" s="28">
        <v>925000</v>
      </c>
      <c r="Z190" s="28">
        <v>639000</v>
      </c>
      <c r="AA190" s="28">
        <v>639000</v>
      </c>
      <c r="AB190" s="28">
        <v>639000</v>
      </c>
      <c r="AC190" s="28">
        <v>639000</v>
      </c>
      <c r="AD190" s="28">
        <v>635000</v>
      </c>
      <c r="AE190" s="28">
        <v>661000</v>
      </c>
      <c r="AF190" s="28">
        <v>661000</v>
      </c>
      <c r="AG190" s="28">
        <v>655000</v>
      </c>
      <c r="AH190" s="28">
        <v>639000</v>
      </c>
      <c r="AI190" s="28">
        <v>635000</v>
      </c>
      <c r="AJ190" s="28">
        <v>635000</v>
      </c>
      <c r="AK190" s="28">
        <v>635000</v>
      </c>
      <c r="AL190" s="28">
        <v>747000</v>
      </c>
      <c r="AM190" s="28">
        <v>721000</v>
      </c>
      <c r="AN190" s="28">
        <v>721000</v>
      </c>
      <c r="AO190" s="28">
        <v>747000</v>
      </c>
      <c r="AP190" s="28">
        <v>867000</v>
      </c>
    </row>
    <row r="191" spans="1:68" ht="15" x14ac:dyDescent="0.2">
      <c r="A191" s="38" t="s">
        <v>168</v>
      </c>
      <c r="B191" s="51"/>
      <c r="C191" s="25"/>
      <c r="D191" s="25"/>
      <c r="E191" s="33"/>
      <c r="F191" s="25"/>
      <c r="G191" s="33"/>
      <c r="H191" s="25"/>
      <c r="I191" s="33"/>
      <c r="J191" s="28">
        <v>627000</v>
      </c>
      <c r="K191" s="28">
        <v>533000</v>
      </c>
      <c r="L191" s="28">
        <v>801000</v>
      </c>
      <c r="M191" s="28">
        <v>873000</v>
      </c>
      <c r="N191" s="28">
        <v>929000</v>
      </c>
      <c r="O191" s="28">
        <v>1047000</v>
      </c>
      <c r="P191" s="28">
        <v>1047000</v>
      </c>
      <c r="Q191" s="28">
        <v>851000</v>
      </c>
      <c r="R191" s="28">
        <v>1021000</v>
      </c>
      <c r="S191" s="28">
        <v>691000</v>
      </c>
      <c r="T191" s="28">
        <v>977000</v>
      </c>
      <c r="U191" s="28">
        <v>1041000</v>
      </c>
      <c r="V191" s="28">
        <v>977000</v>
      </c>
      <c r="W191" s="28">
        <v>987000</v>
      </c>
      <c r="X191" s="28">
        <v>971000</v>
      </c>
      <c r="Y191" s="28">
        <v>1007000</v>
      </c>
      <c r="Z191" s="28">
        <v>697000</v>
      </c>
      <c r="AA191" s="28">
        <v>697000</v>
      </c>
      <c r="AB191" s="28">
        <v>697000</v>
      </c>
      <c r="AC191" s="28">
        <v>697000</v>
      </c>
      <c r="AD191" s="28">
        <v>693000</v>
      </c>
      <c r="AE191" s="28">
        <v>721000</v>
      </c>
      <c r="AF191" s="28">
        <v>721000</v>
      </c>
      <c r="AG191" s="28">
        <v>715000</v>
      </c>
      <c r="AH191" s="28">
        <v>697000</v>
      </c>
      <c r="AI191" s="28">
        <v>691000</v>
      </c>
      <c r="AJ191" s="28">
        <v>691000</v>
      </c>
      <c r="AK191" s="28">
        <v>691000</v>
      </c>
      <c r="AL191" s="28">
        <v>811000</v>
      </c>
      <c r="AM191" s="28">
        <v>783000</v>
      </c>
      <c r="AN191" s="28">
        <v>783000</v>
      </c>
      <c r="AO191" s="28">
        <v>811000</v>
      </c>
      <c r="AP191" s="28">
        <v>945000</v>
      </c>
    </row>
    <row r="192" spans="1:68" ht="18" x14ac:dyDescent="0.25">
      <c r="A192" s="44" t="s">
        <v>169</v>
      </c>
      <c r="B192" s="50"/>
      <c r="C192" s="25"/>
      <c r="D192" s="25"/>
      <c r="E192" s="33"/>
      <c r="F192" s="25"/>
      <c r="G192" s="33"/>
      <c r="H192" s="25"/>
      <c r="I192" s="33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48"/>
    </row>
    <row r="193" spans="1:42" ht="15" x14ac:dyDescent="0.2">
      <c r="A193" s="38" t="s">
        <v>170</v>
      </c>
      <c r="B193" s="51"/>
      <c r="C193" s="25"/>
      <c r="D193" s="25"/>
      <c r="E193" s="33"/>
      <c r="F193" s="25"/>
      <c r="G193" s="33"/>
      <c r="H193" s="25"/>
      <c r="I193" s="33"/>
      <c r="J193" s="28">
        <v>1837000</v>
      </c>
      <c r="K193" s="28">
        <v>1655000</v>
      </c>
      <c r="L193" s="28">
        <v>2171000</v>
      </c>
      <c r="M193" s="28">
        <v>2311000</v>
      </c>
      <c r="N193" s="28">
        <v>2417000</v>
      </c>
      <c r="O193" s="28">
        <v>2643000</v>
      </c>
      <c r="P193" s="28">
        <v>2643000</v>
      </c>
      <c r="Q193" s="28">
        <v>2271000</v>
      </c>
      <c r="R193" s="28">
        <v>2601000</v>
      </c>
      <c r="S193" s="28">
        <v>1959000</v>
      </c>
      <c r="T193" s="28">
        <v>2513000</v>
      </c>
      <c r="U193" s="28">
        <v>2639000</v>
      </c>
      <c r="V193" s="28">
        <v>2513000</v>
      </c>
      <c r="W193" s="28">
        <v>2535000</v>
      </c>
      <c r="X193" s="28">
        <v>2503000</v>
      </c>
      <c r="Y193" s="28">
        <v>2575000</v>
      </c>
      <c r="Z193" s="28">
        <v>1975000</v>
      </c>
      <c r="AA193" s="28">
        <v>1975000</v>
      </c>
      <c r="AB193" s="28">
        <v>1975000</v>
      </c>
      <c r="AC193" s="28">
        <v>1975000</v>
      </c>
      <c r="AD193" s="28">
        <v>1967000</v>
      </c>
      <c r="AE193" s="28">
        <v>2021000</v>
      </c>
      <c r="AF193" s="28">
        <v>2021000</v>
      </c>
      <c r="AG193" s="28">
        <v>2009000</v>
      </c>
      <c r="AH193" s="28">
        <v>1975000</v>
      </c>
      <c r="AI193" s="28">
        <v>1963000</v>
      </c>
      <c r="AJ193" s="28">
        <v>1963000</v>
      </c>
      <c r="AK193" s="28">
        <v>1963000</v>
      </c>
      <c r="AL193" s="28">
        <v>2185000</v>
      </c>
      <c r="AM193" s="28">
        <v>2131000</v>
      </c>
      <c r="AN193" s="28">
        <v>2131000</v>
      </c>
      <c r="AO193" s="28">
        <v>2185000</v>
      </c>
      <c r="AP193" s="28">
        <v>2449000</v>
      </c>
    </row>
    <row r="194" spans="1:42" ht="15" x14ac:dyDescent="0.2">
      <c r="A194" s="38" t="s">
        <v>171</v>
      </c>
      <c r="B194" s="51"/>
      <c r="C194" s="25"/>
      <c r="D194" s="25"/>
      <c r="E194" s="33"/>
      <c r="F194" s="25"/>
      <c r="G194" s="33"/>
      <c r="H194" s="25"/>
      <c r="I194" s="33"/>
      <c r="J194" s="28">
        <v>1962000</v>
      </c>
      <c r="K194" s="28">
        <v>1766000</v>
      </c>
      <c r="L194" s="28">
        <v>2318000</v>
      </c>
      <c r="M194" s="28">
        <v>2466000</v>
      </c>
      <c r="N194" s="28">
        <v>2580000</v>
      </c>
      <c r="O194" s="28">
        <v>2822000</v>
      </c>
      <c r="P194" s="28">
        <v>2822000</v>
      </c>
      <c r="Q194" s="28">
        <v>2424000</v>
      </c>
      <c r="R194" s="28">
        <v>2778000</v>
      </c>
      <c r="S194" s="28">
        <v>2090000</v>
      </c>
      <c r="T194" s="28">
        <v>2682000</v>
      </c>
      <c r="U194" s="28">
        <v>2816000</v>
      </c>
      <c r="V194" s="28">
        <v>2682000</v>
      </c>
      <c r="W194" s="28">
        <v>2706000</v>
      </c>
      <c r="X194" s="28">
        <v>2672000</v>
      </c>
      <c r="Y194" s="28">
        <v>2748000</v>
      </c>
      <c r="Z194" s="28">
        <v>2110000</v>
      </c>
      <c r="AA194" s="28">
        <v>2110000</v>
      </c>
      <c r="AB194" s="28">
        <v>2110000</v>
      </c>
      <c r="AC194" s="28">
        <v>2110000</v>
      </c>
      <c r="AD194" s="28"/>
      <c r="AE194" s="28">
        <v>2158000</v>
      </c>
      <c r="AF194" s="28">
        <v>2158000</v>
      </c>
      <c r="AG194" s="28">
        <v>2146000</v>
      </c>
      <c r="AH194" s="28">
        <v>2110000</v>
      </c>
      <c r="AI194" s="28">
        <v>2096000</v>
      </c>
      <c r="AJ194" s="28">
        <v>2096000</v>
      </c>
      <c r="AK194" s="28">
        <v>2096000</v>
      </c>
      <c r="AL194" s="28">
        <v>1368000</v>
      </c>
      <c r="AM194" s="28">
        <v>1368000</v>
      </c>
      <c r="AN194" s="28">
        <v>1368000</v>
      </c>
      <c r="AO194" s="28">
        <v>1368000</v>
      </c>
      <c r="AP194" s="28">
        <v>1368000</v>
      </c>
    </row>
    <row r="195" spans="1:42" ht="15" x14ac:dyDescent="0.2">
      <c r="A195" s="38" t="s">
        <v>172</v>
      </c>
      <c r="B195" s="51"/>
      <c r="C195" s="25"/>
      <c r="D195" s="25"/>
      <c r="E195" s="33"/>
      <c r="F195" s="25"/>
      <c r="G195" s="33"/>
      <c r="H195" s="25"/>
      <c r="I195" s="33"/>
      <c r="J195" s="28">
        <v>2086000</v>
      </c>
      <c r="K195" s="28">
        <v>1880000</v>
      </c>
      <c r="L195" s="28">
        <v>2466000</v>
      </c>
      <c r="M195" s="28">
        <v>2624000</v>
      </c>
      <c r="N195" s="28">
        <v>2744000</v>
      </c>
      <c r="O195" s="28">
        <v>3000000</v>
      </c>
      <c r="P195" s="28">
        <v>3000000</v>
      </c>
      <c r="Q195" s="28">
        <v>2578000</v>
      </c>
      <c r="R195" s="28">
        <v>2954000</v>
      </c>
      <c r="S195" s="28">
        <v>2224000</v>
      </c>
      <c r="T195" s="28">
        <v>2854000</v>
      </c>
      <c r="U195" s="28">
        <v>2996000</v>
      </c>
      <c r="V195" s="28">
        <v>2854000</v>
      </c>
      <c r="W195" s="28">
        <v>2878000</v>
      </c>
      <c r="X195" s="28">
        <v>2842000</v>
      </c>
      <c r="Y195" s="28">
        <v>2924000</v>
      </c>
      <c r="Z195" s="28">
        <v>2244000</v>
      </c>
      <c r="AA195" s="28">
        <v>2244000</v>
      </c>
      <c r="AB195" s="28">
        <v>2244000</v>
      </c>
      <c r="AC195" s="28">
        <v>2244000</v>
      </c>
      <c r="AD195" s="28"/>
      <c r="AE195" s="28">
        <v>2296000</v>
      </c>
      <c r="AF195" s="28">
        <v>2296000</v>
      </c>
      <c r="AG195" s="28">
        <v>2282000</v>
      </c>
      <c r="AH195" s="28">
        <v>2244000</v>
      </c>
      <c r="AI195" s="28">
        <v>2230000</v>
      </c>
      <c r="AJ195" s="28">
        <v>2230000</v>
      </c>
      <c r="AK195" s="28">
        <v>2230000</v>
      </c>
      <c r="AL195" s="28">
        <v>1456000</v>
      </c>
      <c r="AM195" s="28">
        <v>1456000</v>
      </c>
      <c r="AN195" s="28">
        <v>1456000</v>
      </c>
      <c r="AO195" s="28">
        <v>1456000</v>
      </c>
      <c r="AP195" s="28">
        <v>1456000</v>
      </c>
    </row>
    <row r="196" spans="1:42" ht="15" x14ac:dyDescent="0.2">
      <c r="A196" s="38" t="s">
        <v>173</v>
      </c>
      <c r="B196" s="51"/>
      <c r="C196" s="25"/>
      <c r="D196" s="25"/>
      <c r="E196" s="33"/>
      <c r="F196" s="25"/>
      <c r="G196" s="33"/>
      <c r="H196" s="25"/>
      <c r="I196" s="33"/>
      <c r="J196" s="28">
        <v>1744000</v>
      </c>
      <c r="K196" s="28">
        <v>1570000</v>
      </c>
      <c r="L196" s="28">
        <v>2062000</v>
      </c>
      <c r="M196" s="28">
        <v>2194000</v>
      </c>
      <c r="N196" s="28">
        <v>2294000</v>
      </c>
      <c r="O196" s="28">
        <v>2510000</v>
      </c>
      <c r="P196" s="28">
        <v>2510000</v>
      </c>
      <c r="Q196" s="28">
        <v>2156000</v>
      </c>
      <c r="R196" s="28">
        <v>2470000</v>
      </c>
      <c r="S196" s="28">
        <v>1860000</v>
      </c>
      <c r="T196" s="28">
        <v>2386000</v>
      </c>
      <c r="U196" s="28">
        <v>2504000</v>
      </c>
      <c r="V196" s="28">
        <v>2386000</v>
      </c>
      <c r="W196" s="28">
        <v>2406000</v>
      </c>
      <c r="X196" s="28">
        <v>2376000</v>
      </c>
      <c r="Y196" s="28">
        <v>2444000</v>
      </c>
      <c r="Z196" s="28">
        <v>1876000</v>
      </c>
      <c r="AA196" s="28">
        <v>1876000</v>
      </c>
      <c r="AB196" s="28">
        <v>1876000</v>
      </c>
      <c r="AC196" s="28">
        <v>1876000</v>
      </c>
      <c r="AD196" s="28">
        <v>1868000</v>
      </c>
      <c r="AE196" s="28">
        <v>1918000</v>
      </c>
      <c r="AF196" s="28">
        <v>1918000</v>
      </c>
      <c r="AG196" s="28">
        <v>1908000</v>
      </c>
      <c r="AH196" s="28">
        <v>1876000</v>
      </c>
      <c r="AI196" s="28">
        <v>1864000</v>
      </c>
      <c r="AJ196" s="28">
        <v>1864000</v>
      </c>
      <c r="AK196" s="28">
        <v>1864000</v>
      </c>
      <c r="AL196" s="28">
        <v>2074000</v>
      </c>
      <c r="AM196" s="28">
        <v>2024000</v>
      </c>
      <c r="AN196" s="28">
        <v>2024000</v>
      </c>
      <c r="AO196" s="28">
        <v>2074000</v>
      </c>
      <c r="AP196" s="28">
        <v>2324000</v>
      </c>
    </row>
    <row r="197" spans="1:42" ht="15" x14ac:dyDescent="0.2">
      <c r="A197" s="38" t="s">
        <v>174</v>
      </c>
      <c r="B197" s="51"/>
      <c r="C197" s="25"/>
      <c r="D197" s="25"/>
      <c r="E197" s="33"/>
      <c r="F197" s="25"/>
      <c r="G197" s="33"/>
      <c r="H197" s="25"/>
      <c r="I197" s="33"/>
      <c r="J197" s="28">
        <v>1589000</v>
      </c>
      <c r="K197" s="28">
        <v>1431000</v>
      </c>
      <c r="L197" s="28">
        <v>1877000</v>
      </c>
      <c r="M197" s="28">
        <v>1999000</v>
      </c>
      <c r="N197" s="28">
        <v>2091000</v>
      </c>
      <c r="O197" s="28">
        <v>2287000</v>
      </c>
      <c r="P197" s="28">
        <v>2287000</v>
      </c>
      <c r="Q197" s="28">
        <v>1963000</v>
      </c>
      <c r="R197" s="28">
        <v>2249000</v>
      </c>
      <c r="S197" s="28">
        <v>1693000</v>
      </c>
      <c r="T197" s="28">
        <v>2173000</v>
      </c>
      <c r="U197" s="28">
        <v>2281000</v>
      </c>
      <c r="V197" s="28">
        <v>2173000</v>
      </c>
      <c r="W197" s="28">
        <v>2193000</v>
      </c>
      <c r="X197" s="28">
        <v>2165000</v>
      </c>
      <c r="Y197" s="28">
        <v>2227000</v>
      </c>
      <c r="Z197" s="28">
        <v>1707000</v>
      </c>
      <c r="AA197" s="28">
        <v>1707000</v>
      </c>
      <c r="AB197" s="28">
        <v>1707000</v>
      </c>
      <c r="AC197" s="28">
        <v>1707000</v>
      </c>
      <c r="AD197" s="28">
        <v>1701000</v>
      </c>
      <c r="AE197" s="28">
        <v>1747000</v>
      </c>
      <c r="AF197" s="28">
        <v>1747000</v>
      </c>
      <c r="AG197" s="28">
        <v>1737000</v>
      </c>
      <c r="AH197" s="28">
        <v>1707000</v>
      </c>
      <c r="AI197" s="28">
        <v>1697000</v>
      </c>
      <c r="AJ197" s="28">
        <v>1697000</v>
      </c>
      <c r="AK197" s="28">
        <v>1697000</v>
      </c>
      <c r="AL197" s="28">
        <v>1891000</v>
      </c>
      <c r="AM197" s="28">
        <v>1843000</v>
      </c>
      <c r="AN197" s="28">
        <v>1843000</v>
      </c>
      <c r="AO197" s="28">
        <v>1891000</v>
      </c>
      <c r="AP197" s="28">
        <v>2119000</v>
      </c>
    </row>
    <row r="198" spans="1:42" ht="15" x14ac:dyDescent="0.2">
      <c r="A198" s="38" t="s">
        <v>175</v>
      </c>
      <c r="B198" s="51"/>
      <c r="C198" s="25"/>
      <c r="D198" s="25"/>
      <c r="E198" s="33"/>
      <c r="F198" s="25"/>
      <c r="G198" s="33"/>
      <c r="H198" s="25"/>
      <c r="I198" s="33"/>
      <c r="J198" s="28">
        <v>287000</v>
      </c>
      <c r="K198" s="28">
        <v>259000</v>
      </c>
      <c r="L198" s="28">
        <v>345000</v>
      </c>
      <c r="M198" s="28">
        <v>369000</v>
      </c>
      <c r="N198" s="28">
        <v>389000</v>
      </c>
      <c r="O198" s="28">
        <v>427000</v>
      </c>
      <c r="P198" s="28">
        <v>427000</v>
      </c>
      <c r="Q198" s="28">
        <v>361000</v>
      </c>
      <c r="R198" s="28">
        <v>413000</v>
      </c>
      <c r="S198" s="28">
        <v>311000</v>
      </c>
      <c r="T198" s="28">
        <v>401000</v>
      </c>
      <c r="U198" s="28">
        <v>419000</v>
      </c>
      <c r="V198" s="28">
        <v>401000</v>
      </c>
      <c r="W198" s="28">
        <v>403000</v>
      </c>
      <c r="X198" s="28">
        <v>397000</v>
      </c>
      <c r="Y198" s="28">
        <v>409000</v>
      </c>
      <c r="Z198" s="28">
        <v>309000</v>
      </c>
      <c r="AA198" s="28">
        <v>309000</v>
      </c>
      <c r="AB198" s="28">
        <v>309000</v>
      </c>
      <c r="AC198" s="28">
        <v>309000</v>
      </c>
      <c r="AD198" s="28">
        <v>309000</v>
      </c>
      <c r="AE198" s="28">
        <v>317000</v>
      </c>
      <c r="AF198" s="28">
        <v>317000</v>
      </c>
      <c r="AG198" s="28">
        <v>315000</v>
      </c>
      <c r="AH198" s="28">
        <v>309000</v>
      </c>
      <c r="AI198" s="28">
        <v>307000</v>
      </c>
      <c r="AJ198" s="28">
        <v>307000</v>
      </c>
      <c r="AK198" s="28">
        <v>307000</v>
      </c>
      <c r="AL198" s="28">
        <v>355000</v>
      </c>
      <c r="AM198" s="28">
        <v>347000</v>
      </c>
      <c r="AN198" s="28">
        <v>347000</v>
      </c>
      <c r="AO198" s="28">
        <v>355000</v>
      </c>
      <c r="AP198" s="28">
        <v>391000</v>
      </c>
    </row>
    <row r="199" spans="1:42" ht="15" x14ac:dyDescent="0.2">
      <c r="A199" s="38" t="s">
        <v>176</v>
      </c>
      <c r="B199" s="51"/>
      <c r="C199" s="25"/>
      <c r="D199" s="25"/>
      <c r="E199" s="33"/>
      <c r="F199" s="25"/>
      <c r="G199" s="33"/>
      <c r="H199" s="25"/>
      <c r="I199" s="33"/>
      <c r="J199" s="28">
        <v>380000</v>
      </c>
      <c r="K199" s="28">
        <v>344000</v>
      </c>
      <c r="L199" s="28">
        <v>454000</v>
      </c>
      <c r="M199" s="28">
        <v>486000</v>
      </c>
      <c r="N199" s="28">
        <v>510000</v>
      </c>
      <c r="O199" s="28">
        <v>560000</v>
      </c>
      <c r="P199" s="28">
        <v>560000</v>
      </c>
      <c r="Q199" s="28">
        <v>476000</v>
      </c>
      <c r="R199" s="28">
        <v>544000</v>
      </c>
      <c r="S199" s="28">
        <v>410000</v>
      </c>
      <c r="T199" s="28">
        <v>528000</v>
      </c>
      <c r="U199" s="28">
        <v>552000</v>
      </c>
      <c r="V199" s="28">
        <v>528000</v>
      </c>
      <c r="W199" s="28">
        <v>530000</v>
      </c>
      <c r="X199" s="28">
        <v>524000</v>
      </c>
      <c r="Y199" s="28">
        <v>538000</v>
      </c>
      <c r="Z199" s="28">
        <v>410000</v>
      </c>
      <c r="AA199" s="28">
        <v>410000</v>
      </c>
      <c r="AB199" s="28">
        <v>410000</v>
      </c>
      <c r="AC199" s="28">
        <v>410000</v>
      </c>
      <c r="AD199" s="28">
        <v>408000</v>
      </c>
      <c r="AE199" s="28">
        <v>418000</v>
      </c>
      <c r="AF199" s="28">
        <v>418000</v>
      </c>
      <c r="AG199" s="28">
        <v>416000</v>
      </c>
      <c r="AH199" s="28">
        <v>410000</v>
      </c>
      <c r="AI199" s="28">
        <v>408000</v>
      </c>
      <c r="AJ199" s="28">
        <v>408000</v>
      </c>
      <c r="AK199" s="28">
        <v>408000</v>
      </c>
      <c r="AL199" s="28">
        <v>464000</v>
      </c>
      <c r="AM199" s="28">
        <v>454000</v>
      </c>
      <c r="AN199" s="28">
        <v>454000</v>
      </c>
      <c r="AO199" s="28">
        <v>464000</v>
      </c>
      <c r="AP199" s="28">
        <v>516000</v>
      </c>
    </row>
    <row r="200" spans="1:42" ht="15" x14ac:dyDescent="0.2">
      <c r="A200" s="38" t="s">
        <v>177</v>
      </c>
      <c r="B200" s="51"/>
      <c r="C200" s="25"/>
      <c r="D200" s="25"/>
      <c r="E200" s="33"/>
      <c r="F200" s="25"/>
      <c r="G200" s="33"/>
      <c r="H200" s="25"/>
      <c r="I200" s="33"/>
      <c r="J200" s="28">
        <v>473000</v>
      </c>
      <c r="K200" s="28">
        <v>427000</v>
      </c>
      <c r="L200" s="28">
        <v>565000</v>
      </c>
      <c r="M200" s="28">
        <v>603000</v>
      </c>
      <c r="N200" s="28">
        <v>633000</v>
      </c>
      <c r="O200" s="28">
        <v>693000</v>
      </c>
      <c r="P200" s="28">
        <v>693000</v>
      </c>
      <c r="Q200" s="28">
        <v>591000</v>
      </c>
      <c r="R200" s="28">
        <v>675000</v>
      </c>
      <c r="S200" s="28">
        <v>509000</v>
      </c>
      <c r="T200" s="28">
        <v>655000</v>
      </c>
      <c r="U200" s="28">
        <v>687000</v>
      </c>
      <c r="V200" s="28">
        <v>655000</v>
      </c>
      <c r="W200" s="28">
        <v>659000</v>
      </c>
      <c r="X200" s="28">
        <v>651000</v>
      </c>
      <c r="Y200" s="28">
        <v>669000</v>
      </c>
      <c r="Z200" s="28">
        <v>509000</v>
      </c>
      <c r="AA200" s="28">
        <v>509000</v>
      </c>
      <c r="AB200" s="28">
        <v>509000</v>
      </c>
      <c r="AC200" s="28">
        <v>509000</v>
      </c>
      <c r="AD200" s="28">
        <v>507000</v>
      </c>
      <c r="AE200" s="28">
        <v>521000</v>
      </c>
      <c r="AF200" s="28">
        <v>521000</v>
      </c>
      <c r="AG200" s="28">
        <v>519000</v>
      </c>
      <c r="AH200" s="28">
        <v>509000</v>
      </c>
      <c r="AI200" s="28">
        <v>507000</v>
      </c>
      <c r="AJ200" s="28">
        <v>507000</v>
      </c>
      <c r="AK200" s="28">
        <v>507000</v>
      </c>
      <c r="AL200" s="28">
        <v>575000</v>
      </c>
      <c r="AM200" s="28">
        <v>561000</v>
      </c>
      <c r="AN200" s="28">
        <v>561000</v>
      </c>
      <c r="AO200" s="28">
        <v>575000</v>
      </c>
      <c r="AP200" s="28">
        <v>639000</v>
      </c>
    </row>
    <row r="201" spans="1:42" ht="15" x14ac:dyDescent="0.2">
      <c r="A201" s="38" t="s">
        <v>178</v>
      </c>
      <c r="B201" s="51"/>
      <c r="C201" s="25"/>
      <c r="D201" s="25"/>
      <c r="E201" s="33"/>
      <c r="F201" s="25"/>
      <c r="G201" s="33"/>
      <c r="H201" s="25"/>
      <c r="I201" s="33"/>
      <c r="J201" s="28">
        <v>630000</v>
      </c>
      <c r="K201" s="28">
        <v>568000</v>
      </c>
      <c r="L201" s="28">
        <v>748000</v>
      </c>
      <c r="M201" s="28">
        <v>798000</v>
      </c>
      <c r="N201" s="28">
        <v>836000</v>
      </c>
      <c r="O201" s="28">
        <v>916000</v>
      </c>
      <c r="P201" s="28">
        <v>916000</v>
      </c>
      <c r="Q201" s="28">
        <v>782000</v>
      </c>
      <c r="R201" s="28">
        <v>896000</v>
      </c>
      <c r="S201" s="28">
        <v>676000</v>
      </c>
      <c r="T201" s="28">
        <v>866000</v>
      </c>
      <c r="U201" s="28">
        <v>910000</v>
      </c>
      <c r="V201" s="28">
        <v>866000</v>
      </c>
      <c r="W201" s="28">
        <v>874000</v>
      </c>
      <c r="X201" s="28">
        <v>862000</v>
      </c>
      <c r="Y201" s="28">
        <v>886000</v>
      </c>
      <c r="Z201" s="28">
        <v>676000</v>
      </c>
      <c r="AA201" s="28">
        <v>676000</v>
      </c>
      <c r="AB201" s="28">
        <v>676000</v>
      </c>
      <c r="AC201" s="28">
        <v>676000</v>
      </c>
      <c r="AD201" s="28">
        <v>674000</v>
      </c>
      <c r="AE201" s="28">
        <v>692000</v>
      </c>
      <c r="AF201" s="28">
        <v>692000</v>
      </c>
      <c r="AG201" s="28">
        <v>688000</v>
      </c>
      <c r="AH201" s="28">
        <v>676000</v>
      </c>
      <c r="AI201" s="28">
        <v>674000</v>
      </c>
      <c r="AJ201" s="28">
        <v>674000</v>
      </c>
      <c r="AK201" s="28">
        <v>674000</v>
      </c>
      <c r="AL201" s="28">
        <v>758000</v>
      </c>
      <c r="AM201" s="28">
        <v>740000</v>
      </c>
      <c r="AN201" s="28">
        <v>740000</v>
      </c>
      <c r="AO201" s="28">
        <v>758000</v>
      </c>
      <c r="AP201" s="28">
        <v>846000</v>
      </c>
    </row>
    <row r="202" spans="1:42" ht="15" x14ac:dyDescent="0.2">
      <c r="A202" s="38" t="s">
        <v>179</v>
      </c>
      <c r="B202" s="51"/>
      <c r="C202" s="25"/>
      <c r="D202" s="25"/>
      <c r="E202" s="33"/>
      <c r="F202" s="25"/>
      <c r="G202" s="33"/>
      <c r="H202" s="25"/>
      <c r="I202" s="33"/>
      <c r="J202" s="28">
        <v>785000</v>
      </c>
      <c r="K202" s="28">
        <v>707000</v>
      </c>
      <c r="L202" s="28">
        <v>931000</v>
      </c>
      <c r="M202" s="28">
        <v>993000</v>
      </c>
      <c r="N202" s="28">
        <v>1041000</v>
      </c>
      <c r="O202" s="28">
        <v>1139000</v>
      </c>
      <c r="P202" s="28">
        <v>1139000</v>
      </c>
      <c r="Q202" s="28">
        <v>975000</v>
      </c>
      <c r="R202" s="28">
        <v>1115000</v>
      </c>
      <c r="S202" s="28">
        <v>841000</v>
      </c>
      <c r="T202" s="28">
        <v>1079000</v>
      </c>
      <c r="U202" s="28">
        <v>1133000</v>
      </c>
      <c r="V202" s="28">
        <v>1079000</v>
      </c>
      <c r="W202" s="28">
        <v>1087000</v>
      </c>
      <c r="X202" s="28">
        <v>1075000</v>
      </c>
      <c r="Y202" s="28">
        <v>1105000</v>
      </c>
      <c r="Z202" s="28">
        <v>845000</v>
      </c>
      <c r="AA202" s="28">
        <v>845000</v>
      </c>
      <c r="AB202" s="28">
        <v>845000</v>
      </c>
      <c r="AC202" s="28">
        <v>845000</v>
      </c>
      <c r="AD202" s="28">
        <v>841000</v>
      </c>
      <c r="AE202" s="28">
        <v>863000</v>
      </c>
      <c r="AF202" s="28">
        <v>863000</v>
      </c>
      <c r="AG202" s="28">
        <v>859000</v>
      </c>
      <c r="AH202" s="28">
        <v>845000</v>
      </c>
      <c r="AI202" s="28">
        <v>839000</v>
      </c>
      <c r="AJ202" s="28">
        <v>839000</v>
      </c>
      <c r="AK202" s="28">
        <v>839000</v>
      </c>
      <c r="AL202" s="28">
        <v>943000</v>
      </c>
      <c r="AM202" s="28">
        <v>919000</v>
      </c>
      <c r="AN202" s="28">
        <v>919000</v>
      </c>
      <c r="AO202" s="28">
        <v>943000</v>
      </c>
      <c r="AP202" s="28">
        <v>1053000</v>
      </c>
    </row>
    <row r="203" spans="1:42" ht="15" x14ac:dyDescent="0.2">
      <c r="A203" s="38" t="s">
        <v>180</v>
      </c>
      <c r="B203" s="51"/>
      <c r="C203" s="25"/>
      <c r="D203" s="25"/>
      <c r="E203" s="33"/>
      <c r="F203" s="25"/>
      <c r="G203" s="33"/>
      <c r="H203" s="25"/>
      <c r="I203" s="33"/>
      <c r="J203" s="28">
        <v>864000</v>
      </c>
      <c r="K203" s="28">
        <v>778000</v>
      </c>
      <c r="L203" s="28">
        <v>1024000</v>
      </c>
      <c r="M203" s="28">
        <v>1090000</v>
      </c>
      <c r="N203" s="28">
        <v>1142000</v>
      </c>
      <c r="O203" s="28">
        <v>1250000</v>
      </c>
      <c r="P203" s="28">
        <v>1250000</v>
      </c>
      <c r="Q203" s="28">
        <v>1070000</v>
      </c>
      <c r="R203" s="28">
        <v>1226000</v>
      </c>
      <c r="S203" s="28">
        <v>924000</v>
      </c>
      <c r="T203" s="28">
        <v>1186000</v>
      </c>
      <c r="U203" s="28">
        <v>1244000</v>
      </c>
      <c r="V203" s="28">
        <v>1186000</v>
      </c>
      <c r="W203" s="28">
        <v>1196000</v>
      </c>
      <c r="X203" s="28">
        <v>1180000</v>
      </c>
      <c r="Y203" s="28">
        <v>1214000</v>
      </c>
      <c r="Z203" s="28">
        <v>928000</v>
      </c>
      <c r="AA203" s="28">
        <v>928000</v>
      </c>
      <c r="AB203" s="28">
        <v>928000</v>
      </c>
      <c r="AC203" s="28">
        <v>928000</v>
      </c>
      <c r="AD203" s="28">
        <v>924000</v>
      </c>
      <c r="AE203" s="28">
        <v>950000</v>
      </c>
      <c r="AF203" s="28">
        <v>950000</v>
      </c>
      <c r="AG203" s="28">
        <v>944000</v>
      </c>
      <c r="AH203" s="28">
        <v>928000</v>
      </c>
      <c r="AI203" s="28">
        <v>924000</v>
      </c>
      <c r="AJ203" s="28">
        <v>924000</v>
      </c>
      <c r="AK203" s="28">
        <v>924000</v>
      </c>
      <c r="AL203" s="28">
        <v>1036000</v>
      </c>
      <c r="AM203" s="28">
        <v>1010000</v>
      </c>
      <c r="AN203" s="28">
        <v>1010000</v>
      </c>
      <c r="AO203" s="28">
        <v>1036000</v>
      </c>
      <c r="AP203" s="28">
        <v>1156000</v>
      </c>
    </row>
    <row r="204" spans="1:42" ht="15" x14ac:dyDescent="0.2">
      <c r="A204" s="38" t="s">
        <v>181</v>
      </c>
      <c r="B204" s="51"/>
      <c r="C204" s="25"/>
      <c r="D204" s="25"/>
      <c r="E204" s="33"/>
      <c r="F204" s="25"/>
      <c r="G204" s="33"/>
      <c r="H204" s="25"/>
      <c r="I204" s="33"/>
      <c r="J204" s="28">
        <v>942000</v>
      </c>
      <c r="K204" s="28">
        <v>848000</v>
      </c>
      <c r="L204" s="28">
        <v>1116000</v>
      </c>
      <c r="M204" s="28">
        <v>1188000</v>
      </c>
      <c r="N204" s="28">
        <v>1244000</v>
      </c>
      <c r="O204" s="28">
        <v>1362000</v>
      </c>
      <c r="P204" s="28">
        <v>1362000</v>
      </c>
      <c r="Q204" s="28">
        <v>1166000</v>
      </c>
      <c r="R204" s="28">
        <v>1336000</v>
      </c>
      <c r="S204" s="28">
        <v>1006000</v>
      </c>
      <c r="T204" s="28">
        <v>1292000</v>
      </c>
      <c r="U204" s="28">
        <v>1356000</v>
      </c>
      <c r="V204" s="28">
        <v>1292000</v>
      </c>
      <c r="W204" s="28">
        <v>1302000</v>
      </c>
      <c r="X204" s="28">
        <v>1286000</v>
      </c>
      <c r="Y204" s="28">
        <v>1322000</v>
      </c>
      <c r="Z204" s="28">
        <v>1012000</v>
      </c>
      <c r="AA204" s="28">
        <v>1012000</v>
      </c>
      <c r="AB204" s="28">
        <v>1012000</v>
      </c>
      <c r="AC204" s="28">
        <v>1012000</v>
      </c>
      <c r="AD204" s="28">
        <v>1008000</v>
      </c>
      <c r="AE204" s="28">
        <v>1036000</v>
      </c>
      <c r="AF204" s="28">
        <v>1036000</v>
      </c>
      <c r="AG204" s="28">
        <v>1030000</v>
      </c>
      <c r="AH204" s="28">
        <v>1012000</v>
      </c>
      <c r="AI204" s="28">
        <v>1006000</v>
      </c>
      <c r="AJ204" s="28">
        <v>1006000</v>
      </c>
      <c r="AK204" s="28">
        <v>1006000</v>
      </c>
      <c r="AL204" s="28">
        <v>1126000</v>
      </c>
      <c r="AM204" s="28">
        <v>1098000</v>
      </c>
      <c r="AN204" s="28">
        <v>1098000</v>
      </c>
      <c r="AO204" s="28">
        <v>1126000</v>
      </c>
      <c r="AP204" s="28">
        <v>1260000</v>
      </c>
    </row>
  </sheetData>
  <mergeCells count="44">
    <mergeCell ref="B5:B6"/>
    <mergeCell ref="I2:I3"/>
    <mergeCell ref="J2:J3"/>
    <mergeCell ref="A1:A2"/>
    <mergeCell ref="C1:K1"/>
    <mergeCell ref="B2:B3"/>
    <mergeCell ref="C2:C3"/>
    <mergeCell ref="D2:D3"/>
    <mergeCell ref="E2:E3"/>
    <mergeCell ref="F2:F3"/>
    <mergeCell ref="K2:K3"/>
    <mergeCell ref="G2:G3"/>
    <mergeCell ref="H2:H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M2:AM3"/>
    <mergeCell ref="AN2:AN3"/>
    <mergeCell ref="AO2:AO3"/>
    <mergeCell ref="AP2:AP3"/>
    <mergeCell ref="AF2:AF3"/>
    <mergeCell ref="AG2:AG3"/>
    <mergeCell ref="AH2:AH3"/>
    <mergeCell ref="AI2:AI3"/>
    <mergeCell ref="AJ2:AJ3"/>
    <mergeCell ref="AK2:AK3"/>
    <mergeCell ref="AL2:A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178"/>
  <sheetViews>
    <sheetView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B2" sqref="AB2:AB3"/>
    </sheetView>
  </sheetViews>
  <sheetFormatPr defaultColWidth="12.5703125" defaultRowHeight="15.75" customHeight="1" x14ac:dyDescent="0.2"/>
  <cols>
    <col min="1" max="1" width="39" customWidth="1"/>
    <col min="2" max="41" width="17" customWidth="1"/>
  </cols>
  <sheetData>
    <row r="1" spans="1:41" ht="15.75" customHeight="1" x14ac:dyDescent="0.3">
      <c r="A1" s="273" t="s">
        <v>0</v>
      </c>
      <c r="B1" s="274" t="s">
        <v>1</v>
      </c>
      <c r="C1" s="271"/>
      <c r="D1" s="271"/>
      <c r="E1" s="271"/>
      <c r="F1" s="271"/>
      <c r="G1" s="271"/>
      <c r="H1" s="271"/>
      <c r="I1" s="271"/>
      <c r="J1" s="27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ht="12.75" x14ac:dyDescent="0.2">
      <c r="A2" s="271"/>
      <c r="B2" s="272" t="s">
        <v>3</v>
      </c>
      <c r="C2" s="272" t="s">
        <v>4</v>
      </c>
      <c r="D2" s="272" t="s">
        <v>5</v>
      </c>
      <c r="E2" s="272" t="s">
        <v>6</v>
      </c>
      <c r="F2" s="272" t="s">
        <v>7</v>
      </c>
      <c r="G2" s="272" t="s">
        <v>8</v>
      </c>
      <c r="H2" s="272" t="s">
        <v>9</v>
      </c>
      <c r="I2" s="272" t="s">
        <v>10</v>
      </c>
      <c r="J2" s="272" t="s">
        <v>11</v>
      </c>
      <c r="K2" s="268" t="s">
        <v>12</v>
      </c>
      <c r="L2" s="268" t="s">
        <v>13</v>
      </c>
      <c r="M2" s="268" t="s">
        <v>14</v>
      </c>
      <c r="N2" s="268" t="s">
        <v>15</v>
      </c>
      <c r="O2" s="268" t="s">
        <v>16</v>
      </c>
      <c r="P2" s="268" t="s">
        <v>17</v>
      </c>
      <c r="Q2" s="268" t="s">
        <v>18</v>
      </c>
      <c r="R2" s="268" t="s">
        <v>19</v>
      </c>
      <c r="S2" s="268" t="s">
        <v>20</v>
      </c>
      <c r="T2" s="268" t="s">
        <v>21</v>
      </c>
      <c r="U2" s="268" t="s">
        <v>22</v>
      </c>
      <c r="V2" s="268" t="s">
        <v>23</v>
      </c>
      <c r="W2" s="268" t="s">
        <v>24</v>
      </c>
      <c r="X2" s="268" t="s">
        <v>25</v>
      </c>
      <c r="Y2" s="268" t="s">
        <v>26</v>
      </c>
      <c r="Z2" s="268" t="s">
        <v>27</v>
      </c>
      <c r="AA2" s="268" t="s">
        <v>28</v>
      </c>
      <c r="AB2" s="268" t="s">
        <v>29</v>
      </c>
      <c r="AC2" s="268" t="s">
        <v>30</v>
      </c>
      <c r="AD2" s="268" t="s">
        <v>31</v>
      </c>
      <c r="AE2" s="268" t="s">
        <v>32</v>
      </c>
      <c r="AF2" s="268" t="s">
        <v>33</v>
      </c>
      <c r="AG2" s="268" t="s">
        <v>34</v>
      </c>
      <c r="AH2" s="268" t="s">
        <v>182</v>
      </c>
      <c r="AI2" s="268" t="s">
        <v>183</v>
      </c>
      <c r="AJ2" s="268" t="s">
        <v>184</v>
      </c>
      <c r="AK2" s="268" t="s">
        <v>38</v>
      </c>
      <c r="AL2" s="268" t="s">
        <v>39</v>
      </c>
      <c r="AM2" s="268" t="s">
        <v>40</v>
      </c>
      <c r="AN2" s="268" t="s">
        <v>41</v>
      </c>
      <c r="AO2" s="268" t="s">
        <v>42</v>
      </c>
    </row>
    <row r="3" spans="1:41" ht="15.75" customHeight="1" x14ac:dyDescent="0.35">
      <c r="A3" s="5" t="s">
        <v>185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  <c r="AL3" s="269"/>
      <c r="AM3" s="269"/>
      <c r="AN3" s="269"/>
      <c r="AO3" s="269"/>
    </row>
    <row r="4" spans="1:41" ht="15.75" customHeight="1" x14ac:dyDescent="0.35">
      <c r="A4" s="6" t="s">
        <v>44</v>
      </c>
      <c r="B4" s="8" t="s">
        <v>46</v>
      </c>
      <c r="C4" s="9" t="s">
        <v>47</v>
      </c>
      <c r="D4" s="9" t="s">
        <v>47</v>
      </c>
      <c r="E4" s="9" t="s">
        <v>47</v>
      </c>
      <c r="F4" s="9" t="s">
        <v>47</v>
      </c>
      <c r="G4" s="9" t="s">
        <v>186</v>
      </c>
      <c r="H4" s="11"/>
      <c r="I4" s="9" t="s">
        <v>49</v>
      </c>
      <c r="J4" s="9" t="s">
        <v>49</v>
      </c>
      <c r="K4" s="12" t="s">
        <v>50</v>
      </c>
      <c r="L4" s="12" t="s">
        <v>50</v>
      </c>
      <c r="M4" s="12" t="s">
        <v>50</v>
      </c>
      <c r="N4" s="12" t="s">
        <v>51</v>
      </c>
      <c r="O4" s="12" t="s">
        <v>51</v>
      </c>
      <c r="P4" s="12" t="s">
        <v>51</v>
      </c>
      <c r="Q4" s="12" t="s">
        <v>51</v>
      </c>
      <c r="R4" s="12" t="s">
        <v>50</v>
      </c>
      <c r="S4" s="12" t="s">
        <v>51</v>
      </c>
      <c r="T4" s="12" t="s">
        <v>51</v>
      </c>
      <c r="U4" s="12" t="s">
        <v>51</v>
      </c>
      <c r="V4" s="12" t="s">
        <v>51</v>
      </c>
      <c r="W4" s="12" t="s">
        <v>51</v>
      </c>
      <c r="X4" s="12" t="s">
        <v>51</v>
      </c>
      <c r="Y4" s="12" t="s">
        <v>51</v>
      </c>
      <c r="Z4" s="12" t="s">
        <v>51</v>
      </c>
      <c r="AA4" s="12" t="s">
        <v>51</v>
      </c>
      <c r="AB4" s="12" t="s">
        <v>51</v>
      </c>
      <c r="AC4" s="12" t="s">
        <v>51</v>
      </c>
      <c r="AD4" s="12" t="s">
        <v>51</v>
      </c>
      <c r="AE4" s="12" t="s">
        <v>51</v>
      </c>
      <c r="AF4" s="12" t="s">
        <v>51</v>
      </c>
      <c r="AG4" s="12" t="s">
        <v>51</v>
      </c>
      <c r="AH4" s="12" t="s">
        <v>51</v>
      </c>
      <c r="AI4" s="12" t="s">
        <v>51</v>
      </c>
      <c r="AJ4" s="12" t="s">
        <v>51</v>
      </c>
      <c r="AK4" s="12" t="s">
        <v>51</v>
      </c>
      <c r="AL4" s="12" t="s">
        <v>50</v>
      </c>
      <c r="AM4" s="12" t="s">
        <v>50</v>
      </c>
      <c r="AN4" s="12" t="s">
        <v>50</v>
      </c>
      <c r="AO4" s="12" t="s">
        <v>50</v>
      </c>
    </row>
    <row r="5" spans="1:41" ht="15.75" customHeight="1" x14ac:dyDescent="0.25">
      <c r="A5" s="14">
        <v>46175</v>
      </c>
      <c r="B5" s="48"/>
      <c r="C5" s="24"/>
      <c r="D5" s="24"/>
      <c r="E5" s="24"/>
      <c r="F5" s="24"/>
      <c r="G5" s="24"/>
      <c r="H5" s="24"/>
      <c r="I5" s="24"/>
      <c r="J5" s="24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</row>
    <row r="6" spans="1:41" ht="15.75" customHeight="1" x14ac:dyDescent="0.35">
      <c r="A6" s="18" t="s">
        <v>53</v>
      </c>
      <c r="B6" s="19"/>
      <c r="C6" s="20" t="s">
        <v>54</v>
      </c>
      <c r="D6" s="20" t="s">
        <v>54</v>
      </c>
      <c r="E6" s="20" t="s">
        <v>54</v>
      </c>
      <c r="F6" s="20" t="s">
        <v>54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2" t="s">
        <v>55</v>
      </c>
      <c r="AC6" s="22" t="s">
        <v>56</v>
      </c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</row>
    <row r="7" spans="1:41" ht="15.75" customHeight="1" x14ac:dyDescent="0.25">
      <c r="A7" s="23" t="s">
        <v>57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</row>
    <row r="8" spans="1:41" ht="15" x14ac:dyDescent="0.2">
      <c r="A8" s="26" t="s">
        <v>58</v>
      </c>
      <c r="B8" s="28">
        <v>5953000</v>
      </c>
      <c r="C8" s="28">
        <v>3987000</v>
      </c>
      <c r="D8" s="28">
        <v>7909000</v>
      </c>
      <c r="E8" s="28">
        <v>6133000</v>
      </c>
      <c r="F8" s="28">
        <v>10972000</v>
      </c>
      <c r="G8" s="28">
        <v>3211000</v>
      </c>
      <c r="H8" s="28">
        <v>6821000</v>
      </c>
      <c r="I8" s="28">
        <v>2095000</v>
      </c>
      <c r="J8" s="28">
        <v>1732000</v>
      </c>
      <c r="K8" s="28">
        <v>2517000</v>
      </c>
      <c r="L8" s="28">
        <v>2687000</v>
      </c>
      <c r="M8" s="28">
        <v>2736000</v>
      </c>
      <c r="N8" s="28">
        <v>3047000</v>
      </c>
      <c r="O8" s="28">
        <v>3047000</v>
      </c>
      <c r="P8" s="28">
        <v>2681000</v>
      </c>
      <c r="Q8" s="28">
        <v>3297000</v>
      </c>
      <c r="R8" s="28">
        <v>2104000</v>
      </c>
      <c r="S8" s="28">
        <v>3068000</v>
      </c>
      <c r="T8" s="28">
        <v>3317000</v>
      </c>
      <c r="U8" s="28">
        <v>3068000</v>
      </c>
      <c r="V8" s="28">
        <v>3155000</v>
      </c>
      <c r="W8" s="28">
        <v>3092000</v>
      </c>
      <c r="X8" s="28">
        <v>3234000</v>
      </c>
      <c r="Y8" s="28">
        <v>2351000</v>
      </c>
      <c r="Z8" s="28">
        <v>2351000</v>
      </c>
      <c r="AA8" s="28">
        <v>2351000</v>
      </c>
      <c r="AB8" s="28">
        <v>2351000</v>
      </c>
      <c r="AC8" s="28">
        <v>2334000</v>
      </c>
      <c r="AD8" s="28">
        <v>2441000</v>
      </c>
      <c r="AE8" s="28">
        <v>2441000</v>
      </c>
      <c r="AF8" s="28">
        <v>2418000</v>
      </c>
      <c r="AG8" s="28">
        <v>2351000</v>
      </c>
      <c r="AH8" s="28">
        <v>2328000</v>
      </c>
      <c r="AI8" s="28">
        <v>2328000</v>
      </c>
      <c r="AJ8" s="28">
        <v>2328000</v>
      </c>
      <c r="AK8" s="28">
        <v>2218000</v>
      </c>
      <c r="AL8" s="28">
        <v>2110000</v>
      </c>
      <c r="AM8" s="28">
        <v>2110000</v>
      </c>
      <c r="AN8" s="28">
        <v>2218000</v>
      </c>
      <c r="AO8" s="28">
        <v>2887000</v>
      </c>
    </row>
    <row r="9" spans="1:41" ht="15" x14ac:dyDescent="0.2">
      <c r="A9" s="26" t="s">
        <v>59</v>
      </c>
      <c r="B9" s="28">
        <v>6553000</v>
      </c>
      <c r="C9" s="28">
        <v>4340000</v>
      </c>
      <c r="D9" s="28">
        <v>8756000</v>
      </c>
      <c r="E9" s="28">
        <v>6756000</v>
      </c>
      <c r="F9" s="28">
        <v>12205000</v>
      </c>
      <c r="G9" s="28">
        <v>3381000</v>
      </c>
      <c r="H9" s="28">
        <v>7722000</v>
      </c>
      <c r="I9" s="28">
        <v>2201000</v>
      </c>
      <c r="J9" s="28">
        <v>1793000</v>
      </c>
      <c r="K9" s="28">
        <v>2667000</v>
      </c>
      <c r="L9" s="28">
        <v>2853000</v>
      </c>
      <c r="M9" s="28">
        <v>2902000</v>
      </c>
      <c r="N9" s="28">
        <v>3246000</v>
      </c>
      <c r="O9" s="28">
        <v>3246000</v>
      </c>
      <c r="P9" s="28">
        <v>2849000</v>
      </c>
      <c r="Q9" s="28">
        <v>3541000</v>
      </c>
      <c r="R9" s="28">
        <v>2202000</v>
      </c>
      <c r="S9" s="28">
        <v>3282000</v>
      </c>
      <c r="T9" s="28">
        <v>3561000</v>
      </c>
      <c r="U9" s="28">
        <v>3282000</v>
      </c>
      <c r="V9" s="28">
        <v>3381000</v>
      </c>
      <c r="W9" s="28">
        <v>3310000</v>
      </c>
      <c r="X9" s="28">
        <v>3470000</v>
      </c>
      <c r="Y9" s="28">
        <v>2489000</v>
      </c>
      <c r="Z9" s="28">
        <v>2489000</v>
      </c>
      <c r="AA9" s="28">
        <v>2489000</v>
      </c>
      <c r="AB9" s="28">
        <v>2489000</v>
      </c>
      <c r="AC9" s="28">
        <v>2470000</v>
      </c>
      <c r="AD9" s="28">
        <v>2590000</v>
      </c>
      <c r="AE9" s="28">
        <v>2590000</v>
      </c>
      <c r="AF9" s="28">
        <v>2565000</v>
      </c>
      <c r="AG9" s="28">
        <v>2489000</v>
      </c>
      <c r="AH9" s="28">
        <v>2463000</v>
      </c>
      <c r="AI9" s="28">
        <v>2463000</v>
      </c>
      <c r="AJ9" s="28">
        <v>2463000</v>
      </c>
      <c r="AK9" s="28">
        <v>2316000</v>
      </c>
      <c r="AL9" s="28">
        <v>2194000</v>
      </c>
      <c r="AM9" s="28">
        <v>2194000</v>
      </c>
      <c r="AN9" s="28">
        <v>2316000</v>
      </c>
      <c r="AO9" s="28">
        <v>3075000</v>
      </c>
    </row>
    <row r="10" spans="1:41" ht="15" x14ac:dyDescent="0.2">
      <c r="A10" s="26" t="s">
        <v>60</v>
      </c>
      <c r="B10" s="28">
        <v>6913000</v>
      </c>
      <c r="C10" s="28">
        <v>4552000</v>
      </c>
      <c r="D10" s="28">
        <v>9264000</v>
      </c>
      <c r="E10" s="28">
        <v>7130000</v>
      </c>
      <c r="F10" s="28">
        <v>12944000</v>
      </c>
      <c r="G10" s="28">
        <v>3483000</v>
      </c>
      <c r="H10" s="28">
        <v>8262000</v>
      </c>
      <c r="I10" s="28">
        <v>2265000</v>
      </c>
      <c r="J10" s="28">
        <v>1829000</v>
      </c>
      <c r="K10" s="28">
        <v>2756000</v>
      </c>
      <c r="L10" s="28">
        <v>2952000</v>
      </c>
      <c r="M10" s="28">
        <v>3001000</v>
      </c>
      <c r="N10" s="28">
        <v>3365000</v>
      </c>
      <c r="O10" s="28">
        <v>3365000</v>
      </c>
      <c r="P10" s="28">
        <v>2950000</v>
      </c>
      <c r="Q10" s="28">
        <v>3688000</v>
      </c>
      <c r="R10" s="28">
        <v>2261000</v>
      </c>
      <c r="S10" s="28">
        <v>3410000</v>
      </c>
      <c r="T10" s="28">
        <v>3708000</v>
      </c>
      <c r="U10" s="28">
        <v>3410000</v>
      </c>
      <c r="V10" s="28">
        <v>3517000</v>
      </c>
      <c r="W10" s="28">
        <v>3441000</v>
      </c>
      <c r="X10" s="28">
        <v>3612000</v>
      </c>
      <c r="Y10" s="28">
        <v>2571000</v>
      </c>
      <c r="Z10" s="28">
        <v>2571000</v>
      </c>
      <c r="AA10" s="28">
        <v>2571000</v>
      </c>
      <c r="AB10" s="28">
        <v>2571000</v>
      </c>
      <c r="AC10" s="28">
        <v>2551000</v>
      </c>
      <c r="AD10" s="28">
        <v>2680000</v>
      </c>
      <c r="AE10" s="28">
        <v>2680000</v>
      </c>
      <c r="AF10" s="28">
        <v>2653000</v>
      </c>
      <c r="AG10" s="28">
        <v>2571000</v>
      </c>
      <c r="AH10" s="28">
        <v>2544000</v>
      </c>
      <c r="AI10" s="28">
        <v>2544000</v>
      </c>
      <c r="AJ10" s="28">
        <v>2544000</v>
      </c>
      <c r="AK10" s="28">
        <v>2375000</v>
      </c>
      <c r="AL10" s="28">
        <v>2245000</v>
      </c>
      <c r="AM10" s="28">
        <v>2245000</v>
      </c>
      <c r="AN10" s="28">
        <v>2375000</v>
      </c>
      <c r="AO10" s="28">
        <v>3188000</v>
      </c>
    </row>
    <row r="11" spans="1:41" ht="15" x14ac:dyDescent="0.2">
      <c r="A11" s="26" t="s">
        <v>61</v>
      </c>
      <c r="B11" s="28">
        <v>7153000</v>
      </c>
      <c r="C11" s="28">
        <v>4693000</v>
      </c>
      <c r="D11" s="28">
        <v>9603000</v>
      </c>
      <c r="E11" s="28">
        <v>7379000</v>
      </c>
      <c r="F11" s="28">
        <v>13437000</v>
      </c>
      <c r="G11" s="28">
        <v>3551000</v>
      </c>
      <c r="H11" s="28">
        <v>8623000</v>
      </c>
      <c r="I11" s="28">
        <v>2307000</v>
      </c>
      <c r="J11" s="28">
        <v>1854000</v>
      </c>
      <c r="K11" s="28">
        <v>2816000</v>
      </c>
      <c r="L11" s="28">
        <v>3019000</v>
      </c>
      <c r="M11" s="28">
        <v>3068000</v>
      </c>
      <c r="N11" s="28">
        <v>3444000</v>
      </c>
      <c r="O11" s="28">
        <v>3444000</v>
      </c>
      <c r="P11" s="28">
        <v>3018000</v>
      </c>
      <c r="Q11" s="28">
        <v>3786000</v>
      </c>
      <c r="R11" s="28">
        <v>2300000</v>
      </c>
      <c r="S11" s="28">
        <v>3495000</v>
      </c>
      <c r="T11" s="28">
        <v>3806000</v>
      </c>
      <c r="U11" s="28">
        <v>3495000</v>
      </c>
      <c r="V11" s="28">
        <v>3607000</v>
      </c>
      <c r="W11" s="28">
        <v>3528000</v>
      </c>
      <c r="X11" s="28">
        <v>3706000</v>
      </c>
      <c r="Y11" s="28">
        <v>2626000</v>
      </c>
      <c r="Z11" s="28">
        <v>2626000</v>
      </c>
      <c r="AA11" s="28">
        <v>2626000</v>
      </c>
      <c r="AB11" s="28">
        <v>2626000</v>
      </c>
      <c r="AC11" s="28">
        <v>2605000</v>
      </c>
      <c r="AD11" s="28">
        <v>2739000</v>
      </c>
      <c r="AE11" s="28">
        <v>2739000</v>
      </c>
      <c r="AF11" s="28">
        <v>2711000</v>
      </c>
      <c r="AG11" s="28">
        <v>2626000</v>
      </c>
      <c r="AH11" s="28">
        <v>2598000</v>
      </c>
      <c r="AI11" s="28">
        <v>2598000</v>
      </c>
      <c r="AJ11" s="28">
        <v>2598000</v>
      </c>
      <c r="AK11" s="28">
        <v>2414000</v>
      </c>
      <c r="AL11" s="28">
        <v>2278000</v>
      </c>
      <c r="AM11" s="28">
        <v>2278000</v>
      </c>
      <c r="AN11" s="28">
        <v>2414000</v>
      </c>
      <c r="AO11" s="28">
        <v>3263000</v>
      </c>
    </row>
    <row r="12" spans="1:41" ht="15" x14ac:dyDescent="0.2">
      <c r="A12" s="26" t="s">
        <v>62</v>
      </c>
      <c r="B12" s="28">
        <v>7754000</v>
      </c>
      <c r="C12" s="28">
        <v>5046000</v>
      </c>
      <c r="D12" s="28">
        <v>10450000</v>
      </c>
      <c r="E12" s="28">
        <v>8002000</v>
      </c>
      <c r="F12" s="28">
        <v>14670000</v>
      </c>
      <c r="G12" s="28">
        <v>3722000</v>
      </c>
      <c r="H12" s="28">
        <v>9524000</v>
      </c>
      <c r="I12" s="28">
        <v>2414000</v>
      </c>
      <c r="J12" s="28">
        <v>1914000</v>
      </c>
      <c r="K12" s="28">
        <v>2966000</v>
      </c>
      <c r="L12" s="28">
        <v>3185000</v>
      </c>
      <c r="M12" s="28">
        <v>3233000</v>
      </c>
      <c r="N12" s="28">
        <v>3643000</v>
      </c>
      <c r="O12" s="28">
        <v>3643000</v>
      </c>
      <c r="P12" s="28">
        <v>3186000</v>
      </c>
      <c r="Q12" s="28">
        <v>4030000</v>
      </c>
      <c r="R12" s="28">
        <v>2398000</v>
      </c>
      <c r="S12" s="28">
        <v>3708000</v>
      </c>
      <c r="T12" s="28">
        <v>4051000</v>
      </c>
      <c r="U12" s="28">
        <v>3708000</v>
      </c>
      <c r="V12" s="28">
        <v>3833000</v>
      </c>
      <c r="W12" s="28">
        <v>3746000</v>
      </c>
      <c r="X12" s="28">
        <v>3942000</v>
      </c>
      <c r="Y12" s="28">
        <v>2764000</v>
      </c>
      <c r="Z12" s="28">
        <v>2764000</v>
      </c>
      <c r="AA12" s="28">
        <v>2764000</v>
      </c>
      <c r="AB12" s="28">
        <v>2764000</v>
      </c>
      <c r="AC12" s="28">
        <v>2741000</v>
      </c>
      <c r="AD12" s="28">
        <v>2889000</v>
      </c>
      <c r="AE12" s="28">
        <v>2889000</v>
      </c>
      <c r="AF12" s="28">
        <v>2857000</v>
      </c>
      <c r="AG12" s="28">
        <v>2764000</v>
      </c>
      <c r="AH12" s="28">
        <v>2733000</v>
      </c>
      <c r="AI12" s="28">
        <v>2733000</v>
      </c>
      <c r="AJ12" s="28">
        <v>2733000</v>
      </c>
      <c r="AK12" s="28">
        <v>2512000</v>
      </c>
      <c r="AL12" s="28">
        <v>2362000</v>
      </c>
      <c r="AM12" s="28">
        <v>2362000</v>
      </c>
      <c r="AN12" s="28">
        <v>2512000</v>
      </c>
      <c r="AO12" s="28">
        <v>3451000</v>
      </c>
    </row>
    <row r="13" spans="1:41" ht="15" x14ac:dyDescent="0.2">
      <c r="A13" s="26" t="s">
        <v>63</v>
      </c>
      <c r="B13" s="28">
        <v>8354000</v>
      </c>
      <c r="C13" s="28">
        <v>5399000</v>
      </c>
      <c r="D13" s="28">
        <v>11297000</v>
      </c>
      <c r="E13" s="28">
        <v>8625000</v>
      </c>
      <c r="F13" s="28">
        <v>15902000</v>
      </c>
      <c r="G13" s="28">
        <v>3892000</v>
      </c>
      <c r="H13" s="28">
        <v>10425000</v>
      </c>
      <c r="I13" s="28">
        <v>2520000</v>
      </c>
      <c r="J13" s="28">
        <v>1975000</v>
      </c>
      <c r="K13" s="28">
        <v>3115000</v>
      </c>
      <c r="L13" s="28">
        <v>3351000</v>
      </c>
      <c r="M13" s="28">
        <v>3399000</v>
      </c>
      <c r="N13" s="28">
        <v>3842000</v>
      </c>
      <c r="O13" s="28">
        <v>3842000</v>
      </c>
      <c r="P13" s="28">
        <v>3355000</v>
      </c>
      <c r="Q13" s="28">
        <v>4274000</v>
      </c>
      <c r="R13" s="28">
        <v>2496000</v>
      </c>
      <c r="S13" s="28">
        <v>3922000</v>
      </c>
      <c r="T13" s="28">
        <v>4295000</v>
      </c>
      <c r="U13" s="28">
        <v>3922000</v>
      </c>
      <c r="V13" s="28">
        <v>4059000</v>
      </c>
      <c r="W13" s="28">
        <v>3964000</v>
      </c>
      <c r="X13" s="28">
        <v>4178000</v>
      </c>
      <c r="Y13" s="28">
        <v>2902000</v>
      </c>
      <c r="Z13" s="28">
        <v>2902000</v>
      </c>
      <c r="AA13" s="28">
        <v>2902000</v>
      </c>
      <c r="AB13" s="28">
        <v>2902000</v>
      </c>
      <c r="AC13" s="28">
        <v>2877000</v>
      </c>
      <c r="AD13" s="28">
        <v>3038000</v>
      </c>
      <c r="AE13" s="28">
        <v>3038000</v>
      </c>
      <c r="AF13" s="28">
        <v>3004000</v>
      </c>
      <c r="AG13" s="28">
        <v>2902000</v>
      </c>
      <c r="AH13" s="28">
        <v>2868000</v>
      </c>
      <c r="AI13" s="28">
        <v>2868000</v>
      </c>
      <c r="AJ13" s="28">
        <v>2868000</v>
      </c>
      <c r="AK13" s="28">
        <v>2610000</v>
      </c>
      <c r="AL13" s="28">
        <v>2447000</v>
      </c>
      <c r="AM13" s="28">
        <v>2447000</v>
      </c>
      <c r="AN13" s="28">
        <v>2610000</v>
      </c>
      <c r="AO13" s="28">
        <v>3640000</v>
      </c>
    </row>
    <row r="14" spans="1:41" ht="15.75" customHeight="1" x14ac:dyDescent="0.25">
      <c r="A14" s="30" t="s">
        <v>64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</row>
    <row r="15" spans="1:41" ht="15" x14ac:dyDescent="0.2">
      <c r="A15" s="31" t="s">
        <v>58</v>
      </c>
      <c r="B15" s="28">
        <v>6921000</v>
      </c>
      <c r="C15" s="28">
        <v>4415000</v>
      </c>
      <c r="D15" s="28">
        <v>8604000</v>
      </c>
      <c r="E15" s="28">
        <v>6707000</v>
      </c>
      <c r="F15" s="28">
        <v>11875000</v>
      </c>
      <c r="G15" s="28">
        <v>3570000</v>
      </c>
      <c r="H15" s="28">
        <v>7443000</v>
      </c>
      <c r="I15" s="28">
        <v>2393000</v>
      </c>
      <c r="J15" s="28">
        <v>2006000</v>
      </c>
      <c r="K15" s="28">
        <v>2843000</v>
      </c>
      <c r="L15" s="28">
        <v>3024000</v>
      </c>
      <c r="M15" s="28">
        <v>3076000</v>
      </c>
      <c r="N15" s="28">
        <v>3407000</v>
      </c>
      <c r="O15" s="28">
        <v>3407000</v>
      </c>
      <c r="P15" s="28">
        <v>3018000</v>
      </c>
      <c r="Q15" s="28">
        <v>3676000</v>
      </c>
      <c r="R15" s="28">
        <v>2402000</v>
      </c>
      <c r="S15" s="28">
        <v>3431000</v>
      </c>
      <c r="T15" s="28">
        <v>3697000</v>
      </c>
      <c r="U15" s="28">
        <v>3431000</v>
      </c>
      <c r="V15" s="28">
        <v>3524000</v>
      </c>
      <c r="W15" s="28">
        <v>3457000</v>
      </c>
      <c r="X15" s="28">
        <v>3609000</v>
      </c>
      <c r="Y15" s="28">
        <v>2666000</v>
      </c>
      <c r="Z15" s="28">
        <v>2666000</v>
      </c>
      <c r="AA15" s="28">
        <v>2666000</v>
      </c>
      <c r="AB15" s="28">
        <v>2666000</v>
      </c>
      <c r="AC15" s="28"/>
      <c r="AD15" s="28">
        <v>2763000</v>
      </c>
      <c r="AE15" s="28">
        <v>2763000</v>
      </c>
      <c r="AF15" s="28">
        <v>2739000</v>
      </c>
      <c r="AG15" s="28">
        <v>2666000</v>
      </c>
      <c r="AH15" s="28">
        <v>2642000</v>
      </c>
      <c r="AI15" s="28">
        <v>2642000</v>
      </c>
      <c r="AJ15" s="28">
        <v>2642000</v>
      </c>
      <c r="AK15" s="25"/>
      <c r="AL15" s="25"/>
      <c r="AM15" s="25"/>
      <c r="AN15" s="25"/>
      <c r="AO15" s="25"/>
    </row>
    <row r="16" spans="1:41" ht="15" x14ac:dyDescent="0.2">
      <c r="A16" s="26" t="s">
        <v>59</v>
      </c>
      <c r="B16" s="28">
        <v>7613000</v>
      </c>
      <c r="C16" s="28">
        <v>4792000</v>
      </c>
      <c r="D16" s="28">
        <v>9509000</v>
      </c>
      <c r="E16" s="28">
        <v>7372000</v>
      </c>
      <c r="F16" s="28">
        <v>13192000</v>
      </c>
      <c r="G16" s="28">
        <v>3750000</v>
      </c>
      <c r="H16" s="28">
        <v>8407000</v>
      </c>
      <c r="I16" s="28">
        <v>2506000</v>
      </c>
      <c r="J16" s="28">
        <v>2070000</v>
      </c>
      <c r="K16" s="28">
        <v>3003000</v>
      </c>
      <c r="L16" s="28">
        <v>3201000</v>
      </c>
      <c r="M16" s="28">
        <v>3253000</v>
      </c>
      <c r="N16" s="28">
        <v>3619000</v>
      </c>
      <c r="O16" s="28">
        <v>3619000</v>
      </c>
      <c r="P16" s="28">
        <v>3197000</v>
      </c>
      <c r="Q16" s="28">
        <v>3936000</v>
      </c>
      <c r="R16" s="28">
        <v>2507000</v>
      </c>
      <c r="S16" s="28">
        <v>3659000</v>
      </c>
      <c r="T16" s="28">
        <v>3958000</v>
      </c>
      <c r="U16" s="28">
        <v>3659000</v>
      </c>
      <c r="V16" s="28">
        <v>3765000</v>
      </c>
      <c r="W16" s="28">
        <v>3689000</v>
      </c>
      <c r="X16" s="28">
        <v>3860000</v>
      </c>
      <c r="Y16" s="28">
        <v>2813000</v>
      </c>
      <c r="Z16" s="28">
        <v>2813000</v>
      </c>
      <c r="AA16" s="28">
        <v>2813000</v>
      </c>
      <c r="AB16" s="28">
        <v>2813000</v>
      </c>
      <c r="AC16" s="28"/>
      <c r="AD16" s="28">
        <v>2922000</v>
      </c>
      <c r="AE16" s="28">
        <v>2922000</v>
      </c>
      <c r="AF16" s="28">
        <v>2895000</v>
      </c>
      <c r="AG16" s="28">
        <v>2813000</v>
      </c>
      <c r="AH16" s="28">
        <v>2786000</v>
      </c>
      <c r="AI16" s="28">
        <v>2786000</v>
      </c>
      <c r="AJ16" s="28">
        <v>2786000</v>
      </c>
      <c r="AK16" s="25"/>
      <c r="AL16" s="25"/>
      <c r="AM16" s="25"/>
      <c r="AN16" s="25"/>
      <c r="AO16" s="25"/>
    </row>
    <row r="17" spans="1:41" ht="15" x14ac:dyDescent="0.2">
      <c r="A17" s="26" t="s">
        <v>60</v>
      </c>
      <c r="B17" s="28">
        <v>8029000</v>
      </c>
      <c r="C17" s="28">
        <v>5018000</v>
      </c>
      <c r="D17" s="28">
        <v>10051000</v>
      </c>
      <c r="E17" s="28">
        <v>7772000</v>
      </c>
      <c r="F17" s="28">
        <v>13982000</v>
      </c>
      <c r="G17" s="28">
        <v>3858000</v>
      </c>
      <c r="H17" s="28">
        <v>8985000</v>
      </c>
      <c r="I17" s="28">
        <v>2574000</v>
      </c>
      <c r="J17" s="28">
        <v>2109000</v>
      </c>
      <c r="K17" s="28">
        <v>3098000</v>
      </c>
      <c r="L17" s="28">
        <v>3307000</v>
      </c>
      <c r="M17" s="28">
        <v>3359000</v>
      </c>
      <c r="N17" s="28">
        <v>3746000</v>
      </c>
      <c r="O17" s="28">
        <v>3746000</v>
      </c>
      <c r="P17" s="28">
        <v>3305000</v>
      </c>
      <c r="Q17" s="28">
        <v>4093000</v>
      </c>
      <c r="R17" s="28">
        <v>2569000</v>
      </c>
      <c r="S17" s="28">
        <v>3795000</v>
      </c>
      <c r="T17" s="28">
        <v>4114000</v>
      </c>
      <c r="U17" s="28">
        <v>3795000</v>
      </c>
      <c r="V17" s="28">
        <v>3910000</v>
      </c>
      <c r="W17" s="28">
        <v>3829000</v>
      </c>
      <c r="X17" s="28">
        <v>4011000</v>
      </c>
      <c r="Y17" s="28">
        <v>2902000</v>
      </c>
      <c r="Z17" s="28">
        <v>2902000</v>
      </c>
      <c r="AA17" s="28">
        <v>2902000</v>
      </c>
      <c r="AB17" s="28">
        <v>2902000</v>
      </c>
      <c r="AC17" s="28"/>
      <c r="AD17" s="28">
        <v>3017000</v>
      </c>
      <c r="AE17" s="28">
        <v>3017000</v>
      </c>
      <c r="AF17" s="28">
        <v>2988000</v>
      </c>
      <c r="AG17" s="28">
        <v>2902000</v>
      </c>
      <c r="AH17" s="28">
        <v>2873000</v>
      </c>
      <c r="AI17" s="28">
        <v>2873000</v>
      </c>
      <c r="AJ17" s="28">
        <v>2873000</v>
      </c>
      <c r="AK17" s="25"/>
      <c r="AL17" s="25"/>
      <c r="AM17" s="25"/>
      <c r="AN17" s="25"/>
      <c r="AO17" s="25"/>
    </row>
    <row r="18" spans="1:41" ht="15" x14ac:dyDescent="0.2">
      <c r="A18" s="26" t="s">
        <v>61</v>
      </c>
      <c r="B18" s="28">
        <v>8306000</v>
      </c>
      <c r="C18" s="28">
        <v>5169000</v>
      </c>
      <c r="D18" s="28">
        <v>10413000</v>
      </c>
      <c r="E18" s="28">
        <v>8038000</v>
      </c>
      <c r="F18" s="28">
        <v>14508000</v>
      </c>
      <c r="G18" s="28">
        <v>3930000</v>
      </c>
      <c r="H18" s="28">
        <v>9371000</v>
      </c>
      <c r="I18" s="28">
        <v>2620000</v>
      </c>
      <c r="J18" s="28">
        <v>2135000</v>
      </c>
      <c r="K18" s="28">
        <v>3162000</v>
      </c>
      <c r="L18" s="28">
        <v>3378000</v>
      </c>
      <c r="M18" s="28">
        <v>3429000</v>
      </c>
      <c r="N18" s="28">
        <v>3831000</v>
      </c>
      <c r="O18" s="28">
        <v>3831000</v>
      </c>
      <c r="P18" s="28">
        <v>3377000</v>
      </c>
      <c r="Q18" s="28">
        <v>4197000</v>
      </c>
      <c r="R18" s="28">
        <v>2611000</v>
      </c>
      <c r="S18" s="28">
        <v>3887000</v>
      </c>
      <c r="T18" s="28">
        <v>4219000</v>
      </c>
      <c r="U18" s="28">
        <v>3887000</v>
      </c>
      <c r="V18" s="28">
        <v>4006000</v>
      </c>
      <c r="W18" s="28">
        <v>3922000</v>
      </c>
      <c r="X18" s="28">
        <v>4112000</v>
      </c>
      <c r="Y18" s="28">
        <v>2961000</v>
      </c>
      <c r="Z18" s="28">
        <v>2961000</v>
      </c>
      <c r="AA18" s="28">
        <v>2961000</v>
      </c>
      <c r="AB18" s="28">
        <v>2961000</v>
      </c>
      <c r="AC18" s="28"/>
      <c r="AD18" s="28">
        <v>3081000</v>
      </c>
      <c r="AE18" s="28">
        <v>3081000</v>
      </c>
      <c r="AF18" s="28">
        <v>3051000</v>
      </c>
      <c r="AG18" s="28">
        <v>2961000</v>
      </c>
      <c r="AH18" s="28">
        <v>2930000</v>
      </c>
      <c r="AI18" s="28">
        <v>2930000</v>
      </c>
      <c r="AJ18" s="28">
        <v>2930000</v>
      </c>
      <c r="AK18" s="25"/>
      <c r="AL18" s="25"/>
      <c r="AM18" s="25"/>
      <c r="AN18" s="25"/>
      <c r="AO18" s="25"/>
    </row>
    <row r="19" spans="1:41" ht="15" x14ac:dyDescent="0.2">
      <c r="A19" s="26" t="s">
        <v>62</v>
      </c>
      <c r="B19" s="28">
        <v>8998000</v>
      </c>
      <c r="C19" s="28">
        <v>5546000</v>
      </c>
      <c r="D19" s="28">
        <v>11317000</v>
      </c>
      <c r="E19" s="28">
        <v>8703000</v>
      </c>
      <c r="F19" s="28">
        <v>15825000</v>
      </c>
      <c r="G19" s="28">
        <v>4111000</v>
      </c>
      <c r="H19" s="28">
        <v>10335000</v>
      </c>
      <c r="I19" s="28">
        <v>2733000</v>
      </c>
      <c r="J19" s="28">
        <v>2200000</v>
      </c>
      <c r="K19" s="28">
        <v>3322000</v>
      </c>
      <c r="L19" s="28">
        <v>3555000</v>
      </c>
      <c r="M19" s="28">
        <v>3606000</v>
      </c>
      <c r="N19" s="28">
        <v>4043000</v>
      </c>
      <c r="O19" s="28">
        <v>4043000</v>
      </c>
      <c r="P19" s="28">
        <v>3557000</v>
      </c>
      <c r="Q19" s="28">
        <v>4458000</v>
      </c>
      <c r="R19" s="28">
        <v>2715000</v>
      </c>
      <c r="S19" s="28">
        <v>4114000</v>
      </c>
      <c r="T19" s="28">
        <v>4480000</v>
      </c>
      <c r="U19" s="28">
        <v>4114000</v>
      </c>
      <c r="V19" s="28">
        <v>4248000</v>
      </c>
      <c r="W19" s="28">
        <v>4155000</v>
      </c>
      <c r="X19" s="28">
        <v>4364000</v>
      </c>
      <c r="Y19" s="28">
        <v>3108000</v>
      </c>
      <c r="Z19" s="28">
        <v>3108000</v>
      </c>
      <c r="AA19" s="28">
        <v>3108000</v>
      </c>
      <c r="AB19" s="28">
        <v>3108000</v>
      </c>
      <c r="AC19" s="28"/>
      <c r="AD19" s="28">
        <v>3240000</v>
      </c>
      <c r="AE19" s="28">
        <v>3240000</v>
      </c>
      <c r="AF19" s="28">
        <v>3207000</v>
      </c>
      <c r="AG19" s="28">
        <v>3108000</v>
      </c>
      <c r="AH19" s="28">
        <v>3075000</v>
      </c>
      <c r="AI19" s="28">
        <v>3075000</v>
      </c>
      <c r="AJ19" s="28">
        <v>3075000</v>
      </c>
      <c r="AK19" s="25"/>
      <c r="AL19" s="25"/>
      <c r="AM19" s="25"/>
      <c r="AN19" s="25"/>
      <c r="AO19" s="25"/>
    </row>
    <row r="20" spans="1:41" ht="15" x14ac:dyDescent="0.2">
      <c r="A20" s="26" t="s">
        <v>63</v>
      </c>
      <c r="B20" s="28">
        <v>9690000</v>
      </c>
      <c r="C20" s="28">
        <v>5922000</v>
      </c>
      <c r="D20" s="28">
        <v>12222000</v>
      </c>
      <c r="E20" s="28">
        <v>9369000</v>
      </c>
      <c r="F20" s="28">
        <v>17141000</v>
      </c>
      <c r="G20" s="28">
        <v>4291000</v>
      </c>
      <c r="H20" s="28">
        <v>11299000</v>
      </c>
      <c r="I20" s="28">
        <v>2847000</v>
      </c>
      <c r="J20" s="28">
        <v>2265000</v>
      </c>
      <c r="K20" s="28">
        <v>3481000</v>
      </c>
      <c r="L20" s="28">
        <v>3732000</v>
      </c>
      <c r="M20" s="28">
        <v>3782000</v>
      </c>
      <c r="N20" s="28">
        <v>4255000</v>
      </c>
      <c r="O20" s="28">
        <v>4255000</v>
      </c>
      <c r="P20" s="28">
        <v>3736000</v>
      </c>
      <c r="Q20" s="28">
        <v>4719000</v>
      </c>
      <c r="R20" s="28">
        <v>2819000</v>
      </c>
      <c r="S20" s="28">
        <v>4342000</v>
      </c>
      <c r="T20" s="28">
        <v>4741000</v>
      </c>
      <c r="U20" s="28">
        <v>4342000</v>
      </c>
      <c r="V20" s="28">
        <v>4489000</v>
      </c>
      <c r="W20" s="28">
        <v>4388000</v>
      </c>
      <c r="X20" s="28">
        <v>4616000</v>
      </c>
      <c r="Y20" s="28">
        <v>3255000</v>
      </c>
      <c r="Z20" s="28">
        <v>3255000</v>
      </c>
      <c r="AA20" s="28">
        <v>3255000</v>
      </c>
      <c r="AB20" s="28">
        <v>3255000</v>
      </c>
      <c r="AC20" s="28"/>
      <c r="AD20" s="28">
        <v>3400000</v>
      </c>
      <c r="AE20" s="28">
        <v>3400000</v>
      </c>
      <c r="AF20" s="28">
        <v>3363000</v>
      </c>
      <c r="AG20" s="28">
        <v>3255000</v>
      </c>
      <c r="AH20" s="28">
        <v>3219000</v>
      </c>
      <c r="AI20" s="28">
        <v>3219000</v>
      </c>
      <c r="AJ20" s="28">
        <v>3219000</v>
      </c>
      <c r="AK20" s="25"/>
      <c r="AL20" s="25"/>
      <c r="AM20" s="25"/>
      <c r="AN20" s="25"/>
      <c r="AO20" s="25"/>
    </row>
    <row r="21" spans="1:41" ht="15.75" customHeight="1" x14ac:dyDescent="0.25">
      <c r="A21" s="30" t="s">
        <v>65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</row>
    <row r="22" spans="1:41" ht="15" x14ac:dyDescent="0.2">
      <c r="A22" s="31" t="s">
        <v>58</v>
      </c>
      <c r="B22" s="28">
        <v>7271000</v>
      </c>
      <c r="C22" s="28">
        <v>4606000</v>
      </c>
      <c r="D22" s="28">
        <v>9062000</v>
      </c>
      <c r="E22" s="28">
        <v>7044000</v>
      </c>
      <c r="F22" s="28">
        <v>12542000</v>
      </c>
      <c r="G22" s="28">
        <v>3692000</v>
      </c>
      <c r="H22" s="28">
        <v>7827000</v>
      </c>
      <c r="I22" s="28">
        <v>2454000</v>
      </c>
      <c r="J22" s="28">
        <v>2042000</v>
      </c>
      <c r="K22" s="28">
        <v>2932000</v>
      </c>
      <c r="L22" s="28">
        <v>3124000</v>
      </c>
      <c r="M22" s="28">
        <v>3179000</v>
      </c>
      <c r="N22" s="28">
        <v>3531000</v>
      </c>
      <c r="O22" s="28">
        <v>3531000</v>
      </c>
      <c r="P22" s="28">
        <v>3118000</v>
      </c>
      <c r="Q22" s="28">
        <v>3817000</v>
      </c>
      <c r="R22" s="28">
        <v>2463000</v>
      </c>
      <c r="S22" s="28">
        <v>3557000</v>
      </c>
      <c r="T22" s="28">
        <v>3840000</v>
      </c>
      <c r="U22" s="28">
        <v>3557000</v>
      </c>
      <c r="V22" s="28">
        <v>3656000</v>
      </c>
      <c r="W22" s="28">
        <v>3584000</v>
      </c>
      <c r="X22" s="28">
        <v>3746000</v>
      </c>
      <c r="Y22" s="28">
        <v>2745000</v>
      </c>
      <c r="Z22" s="28">
        <v>2745000</v>
      </c>
      <c r="AA22" s="28">
        <v>2745000</v>
      </c>
      <c r="AB22" s="28">
        <v>2745000</v>
      </c>
      <c r="AC22" s="28"/>
      <c r="AD22" s="28">
        <v>2847000</v>
      </c>
      <c r="AE22" s="28">
        <v>2847000</v>
      </c>
      <c r="AF22" s="28">
        <v>2822000</v>
      </c>
      <c r="AG22" s="28">
        <v>2745000</v>
      </c>
      <c r="AH22" s="28">
        <v>2719000</v>
      </c>
      <c r="AI22" s="28">
        <v>2719000</v>
      </c>
      <c r="AJ22" s="28">
        <v>2719000</v>
      </c>
      <c r="AK22" s="25"/>
      <c r="AL22" s="25"/>
      <c r="AM22" s="25"/>
      <c r="AN22" s="25"/>
      <c r="AO22" s="25"/>
    </row>
    <row r="23" spans="1:41" ht="15" x14ac:dyDescent="0.2">
      <c r="A23" s="26" t="s">
        <v>59</v>
      </c>
      <c r="B23" s="28">
        <v>8008000</v>
      </c>
      <c r="C23" s="28">
        <v>5007000</v>
      </c>
      <c r="D23" s="28">
        <v>10024000</v>
      </c>
      <c r="E23" s="28">
        <v>7752000</v>
      </c>
      <c r="F23" s="28">
        <v>13942000</v>
      </c>
      <c r="G23" s="28">
        <v>3882000</v>
      </c>
      <c r="H23" s="28">
        <v>8855000</v>
      </c>
      <c r="I23" s="28">
        <v>2575000</v>
      </c>
      <c r="J23" s="28">
        <v>2111000</v>
      </c>
      <c r="K23" s="28">
        <v>3102000</v>
      </c>
      <c r="L23" s="28">
        <v>3312000</v>
      </c>
      <c r="M23" s="28">
        <v>3367000</v>
      </c>
      <c r="N23" s="28">
        <v>3756000</v>
      </c>
      <c r="O23" s="28">
        <v>3756000</v>
      </c>
      <c r="P23" s="28">
        <v>3309000</v>
      </c>
      <c r="Q23" s="28">
        <v>4095000</v>
      </c>
      <c r="R23" s="28">
        <v>2574000</v>
      </c>
      <c r="S23" s="28">
        <v>3799000</v>
      </c>
      <c r="T23" s="28">
        <v>4117000</v>
      </c>
      <c r="U23" s="28">
        <v>3799000</v>
      </c>
      <c r="V23" s="28">
        <v>3912000</v>
      </c>
      <c r="W23" s="28">
        <v>3832000</v>
      </c>
      <c r="X23" s="28">
        <v>4014000</v>
      </c>
      <c r="Y23" s="28">
        <v>2901000</v>
      </c>
      <c r="Z23" s="28">
        <v>2901000</v>
      </c>
      <c r="AA23" s="28">
        <v>2901000</v>
      </c>
      <c r="AB23" s="28">
        <v>2901000</v>
      </c>
      <c r="AC23" s="28"/>
      <c r="AD23" s="28">
        <v>3017000</v>
      </c>
      <c r="AE23" s="28">
        <v>3017000</v>
      </c>
      <c r="AF23" s="28">
        <v>2988000</v>
      </c>
      <c r="AG23" s="28">
        <v>2901000</v>
      </c>
      <c r="AH23" s="28">
        <v>2872000</v>
      </c>
      <c r="AI23" s="28">
        <v>2872000</v>
      </c>
      <c r="AJ23" s="28">
        <v>2872000</v>
      </c>
      <c r="AK23" s="25"/>
      <c r="AL23" s="25"/>
      <c r="AM23" s="25"/>
      <c r="AN23" s="25"/>
      <c r="AO23" s="25"/>
    </row>
    <row r="24" spans="1:41" ht="15" x14ac:dyDescent="0.2">
      <c r="A24" s="26" t="s">
        <v>60</v>
      </c>
      <c r="B24" s="28">
        <v>8450000</v>
      </c>
      <c r="C24" s="28">
        <v>5247000</v>
      </c>
      <c r="D24" s="28">
        <v>10601000</v>
      </c>
      <c r="E24" s="28">
        <v>8176000</v>
      </c>
      <c r="F24" s="28">
        <v>14782000</v>
      </c>
      <c r="G24" s="28">
        <v>3996000</v>
      </c>
      <c r="H24" s="28">
        <v>9471000</v>
      </c>
      <c r="I24" s="28">
        <v>2647000</v>
      </c>
      <c r="J24" s="28">
        <v>2152000</v>
      </c>
      <c r="K24" s="28">
        <v>3203000</v>
      </c>
      <c r="L24" s="28">
        <v>3425000</v>
      </c>
      <c r="M24" s="28">
        <v>3479000</v>
      </c>
      <c r="N24" s="28">
        <v>3891000</v>
      </c>
      <c r="O24" s="28">
        <v>3891000</v>
      </c>
      <c r="P24" s="28">
        <v>3423000</v>
      </c>
      <c r="Q24" s="28">
        <v>4261000</v>
      </c>
      <c r="R24" s="28">
        <v>2640000</v>
      </c>
      <c r="S24" s="28">
        <v>3944000</v>
      </c>
      <c r="T24" s="28">
        <v>4283000</v>
      </c>
      <c r="U24" s="28">
        <v>3944000</v>
      </c>
      <c r="V24" s="28">
        <v>4066000</v>
      </c>
      <c r="W24" s="28">
        <v>3980000</v>
      </c>
      <c r="X24" s="28">
        <v>4174000</v>
      </c>
      <c r="Y24" s="28">
        <v>2995000</v>
      </c>
      <c r="Z24" s="28">
        <v>2995000</v>
      </c>
      <c r="AA24" s="28">
        <v>2995000</v>
      </c>
      <c r="AB24" s="28">
        <v>2995000</v>
      </c>
      <c r="AC24" s="28"/>
      <c r="AD24" s="28">
        <v>3118000</v>
      </c>
      <c r="AE24" s="28">
        <v>3118000</v>
      </c>
      <c r="AF24" s="28">
        <v>3087000</v>
      </c>
      <c r="AG24" s="28">
        <v>2995000</v>
      </c>
      <c r="AH24" s="28">
        <v>2964000</v>
      </c>
      <c r="AI24" s="28">
        <v>2964000</v>
      </c>
      <c r="AJ24" s="28">
        <v>2964000</v>
      </c>
      <c r="AK24" s="25"/>
      <c r="AL24" s="25"/>
      <c r="AM24" s="25"/>
      <c r="AN24" s="25"/>
      <c r="AO24" s="25"/>
    </row>
    <row r="25" spans="1:41" ht="15" x14ac:dyDescent="0.2">
      <c r="A25" s="26" t="s">
        <v>61</v>
      </c>
      <c r="B25" s="28">
        <v>8744000</v>
      </c>
      <c r="C25" s="28">
        <v>5407000</v>
      </c>
      <c r="D25" s="28">
        <v>10986000</v>
      </c>
      <c r="E25" s="28">
        <v>8460000</v>
      </c>
      <c r="F25" s="28">
        <v>15343000</v>
      </c>
      <c r="G25" s="28">
        <v>4072000</v>
      </c>
      <c r="H25" s="28">
        <v>9882000</v>
      </c>
      <c r="I25" s="28">
        <v>2695000</v>
      </c>
      <c r="J25" s="28">
        <v>2180000</v>
      </c>
      <c r="K25" s="28">
        <v>3271000</v>
      </c>
      <c r="L25" s="28">
        <v>3500000</v>
      </c>
      <c r="M25" s="28">
        <v>3554000</v>
      </c>
      <c r="N25" s="28">
        <v>3981000</v>
      </c>
      <c r="O25" s="28">
        <v>3981000</v>
      </c>
      <c r="P25" s="28">
        <v>3500000</v>
      </c>
      <c r="Q25" s="28">
        <v>4372000</v>
      </c>
      <c r="R25" s="28">
        <v>2685000</v>
      </c>
      <c r="S25" s="28">
        <v>4041000</v>
      </c>
      <c r="T25" s="28">
        <v>4394000</v>
      </c>
      <c r="U25" s="28">
        <v>4041000</v>
      </c>
      <c r="V25" s="28">
        <v>4169000</v>
      </c>
      <c r="W25" s="28">
        <v>4079000</v>
      </c>
      <c r="X25" s="28">
        <v>4281000</v>
      </c>
      <c r="Y25" s="28">
        <v>3058000</v>
      </c>
      <c r="Z25" s="28">
        <v>3058000</v>
      </c>
      <c r="AA25" s="28">
        <v>3058000</v>
      </c>
      <c r="AB25" s="28">
        <v>3058000</v>
      </c>
      <c r="AC25" s="28"/>
      <c r="AD25" s="28">
        <v>3186000</v>
      </c>
      <c r="AE25" s="28">
        <v>3186000</v>
      </c>
      <c r="AF25" s="28">
        <v>3154000</v>
      </c>
      <c r="AG25" s="28">
        <v>3058000</v>
      </c>
      <c r="AH25" s="28">
        <v>3026000</v>
      </c>
      <c r="AI25" s="28">
        <v>3026000</v>
      </c>
      <c r="AJ25" s="28">
        <v>3026000</v>
      </c>
      <c r="AK25" s="25"/>
      <c r="AL25" s="25"/>
      <c r="AM25" s="25"/>
      <c r="AN25" s="25"/>
      <c r="AO25" s="25"/>
    </row>
    <row r="26" spans="1:41" ht="15" x14ac:dyDescent="0.2">
      <c r="A26" s="26" t="s">
        <v>62</v>
      </c>
      <c r="B26" s="28">
        <v>9481000</v>
      </c>
      <c r="C26" s="28">
        <v>5808000</v>
      </c>
      <c r="D26" s="28">
        <v>11948000</v>
      </c>
      <c r="E26" s="28">
        <v>9167000</v>
      </c>
      <c r="F26" s="28">
        <v>16743000</v>
      </c>
      <c r="G26" s="28">
        <v>4263000</v>
      </c>
      <c r="H26" s="28">
        <v>10909000</v>
      </c>
      <c r="I26" s="28">
        <v>2816000</v>
      </c>
      <c r="J26" s="28">
        <v>2248000</v>
      </c>
      <c r="K26" s="28">
        <v>3440000</v>
      </c>
      <c r="L26" s="28">
        <v>3688000</v>
      </c>
      <c r="M26" s="28">
        <v>3742000</v>
      </c>
      <c r="N26" s="28">
        <v>4206000</v>
      </c>
      <c r="O26" s="28">
        <v>4206000</v>
      </c>
      <c r="P26" s="28">
        <v>3690000</v>
      </c>
      <c r="Q26" s="28">
        <v>4649000</v>
      </c>
      <c r="R26" s="28">
        <v>2795000</v>
      </c>
      <c r="S26" s="28">
        <v>4283000</v>
      </c>
      <c r="T26" s="28">
        <v>4672000</v>
      </c>
      <c r="U26" s="28">
        <v>4283000</v>
      </c>
      <c r="V26" s="28">
        <v>4425000</v>
      </c>
      <c r="W26" s="28">
        <v>4326000</v>
      </c>
      <c r="X26" s="28">
        <v>4549000</v>
      </c>
      <c r="Y26" s="28">
        <v>3214000</v>
      </c>
      <c r="Z26" s="28">
        <v>3214000</v>
      </c>
      <c r="AA26" s="28">
        <v>3214000</v>
      </c>
      <c r="AB26" s="28">
        <v>3214000</v>
      </c>
      <c r="AC26" s="28"/>
      <c r="AD26" s="28">
        <v>3355000</v>
      </c>
      <c r="AE26" s="28">
        <v>3355000</v>
      </c>
      <c r="AF26" s="28">
        <v>3320000</v>
      </c>
      <c r="AG26" s="28">
        <v>3214000</v>
      </c>
      <c r="AH26" s="28">
        <v>3179000</v>
      </c>
      <c r="AI26" s="28">
        <v>3179000</v>
      </c>
      <c r="AJ26" s="28">
        <v>3179000</v>
      </c>
      <c r="AK26" s="25"/>
      <c r="AL26" s="25"/>
      <c r="AM26" s="25"/>
      <c r="AN26" s="25"/>
      <c r="AO26" s="25"/>
    </row>
    <row r="27" spans="1:41" ht="15" x14ac:dyDescent="0.2">
      <c r="A27" s="26" t="s">
        <v>63</v>
      </c>
      <c r="B27" s="28">
        <v>10217000</v>
      </c>
      <c r="C27" s="28">
        <v>6209000</v>
      </c>
      <c r="D27" s="28">
        <v>12910000</v>
      </c>
      <c r="E27" s="28">
        <v>9875000</v>
      </c>
      <c r="F27" s="28">
        <v>18143000</v>
      </c>
      <c r="G27" s="28">
        <v>4453000</v>
      </c>
      <c r="H27" s="28">
        <v>11936000</v>
      </c>
      <c r="I27" s="28">
        <v>2936000</v>
      </c>
      <c r="J27" s="28">
        <v>2317000</v>
      </c>
      <c r="K27" s="28">
        <v>3610000</v>
      </c>
      <c r="L27" s="28">
        <v>3877000</v>
      </c>
      <c r="M27" s="28">
        <v>3929000</v>
      </c>
      <c r="N27" s="28">
        <v>4431000</v>
      </c>
      <c r="O27" s="28">
        <v>4431000</v>
      </c>
      <c r="P27" s="28">
        <v>3881000</v>
      </c>
      <c r="Q27" s="28">
        <v>4926000</v>
      </c>
      <c r="R27" s="28">
        <v>2906000</v>
      </c>
      <c r="S27" s="28">
        <v>4525000</v>
      </c>
      <c r="T27" s="28">
        <v>4949000</v>
      </c>
      <c r="U27" s="28">
        <v>4525000</v>
      </c>
      <c r="V27" s="28">
        <v>4682000</v>
      </c>
      <c r="W27" s="28">
        <v>4574000</v>
      </c>
      <c r="X27" s="28">
        <v>4817000</v>
      </c>
      <c r="Y27" s="28">
        <v>3370000</v>
      </c>
      <c r="Z27" s="28">
        <v>3370000</v>
      </c>
      <c r="AA27" s="28">
        <v>3370000</v>
      </c>
      <c r="AB27" s="28">
        <v>3370000</v>
      </c>
      <c r="AC27" s="28"/>
      <c r="AD27" s="28">
        <v>3524000</v>
      </c>
      <c r="AE27" s="28">
        <v>3524000</v>
      </c>
      <c r="AF27" s="28">
        <v>3486000</v>
      </c>
      <c r="AG27" s="28">
        <v>3370000</v>
      </c>
      <c r="AH27" s="28">
        <v>3332000</v>
      </c>
      <c r="AI27" s="28">
        <v>3332000</v>
      </c>
      <c r="AJ27" s="28">
        <v>3332000</v>
      </c>
      <c r="AK27" s="25"/>
      <c r="AL27" s="25"/>
      <c r="AM27" s="25"/>
      <c r="AN27" s="25"/>
      <c r="AO27" s="25"/>
    </row>
    <row r="28" spans="1:41" ht="15.75" customHeight="1" x14ac:dyDescent="0.25">
      <c r="A28" s="30" t="s">
        <v>66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</row>
    <row r="29" spans="1:41" ht="15" x14ac:dyDescent="0.2">
      <c r="A29" s="31" t="s">
        <v>58</v>
      </c>
      <c r="B29" s="28">
        <v>5709000</v>
      </c>
      <c r="C29" s="28">
        <v>3844000</v>
      </c>
      <c r="D29" s="28">
        <v>7566000</v>
      </c>
      <c r="E29" s="28">
        <v>5880000</v>
      </c>
      <c r="F29" s="28">
        <v>10472000</v>
      </c>
      <c r="G29" s="28">
        <v>3119000</v>
      </c>
      <c r="H29" s="28">
        <v>6532000</v>
      </c>
      <c r="I29" s="28">
        <v>2049000</v>
      </c>
      <c r="J29" s="28">
        <v>1705000</v>
      </c>
      <c r="K29" s="28">
        <v>2451000</v>
      </c>
      <c r="L29" s="28">
        <v>2611000</v>
      </c>
      <c r="M29" s="28">
        <v>2659000</v>
      </c>
      <c r="N29" s="28">
        <v>2954000</v>
      </c>
      <c r="O29" s="28">
        <v>2954000</v>
      </c>
      <c r="P29" s="28">
        <v>2606000</v>
      </c>
      <c r="Q29" s="28">
        <v>3191000</v>
      </c>
      <c r="R29" s="28">
        <v>2059000</v>
      </c>
      <c r="S29" s="28">
        <v>2974000</v>
      </c>
      <c r="T29" s="28">
        <v>3209000</v>
      </c>
      <c r="U29" s="28">
        <v>2974000</v>
      </c>
      <c r="V29" s="28">
        <v>3056000</v>
      </c>
      <c r="W29" s="28">
        <v>2996000</v>
      </c>
      <c r="X29" s="28">
        <v>3131000</v>
      </c>
      <c r="Y29" s="28">
        <v>2292000</v>
      </c>
      <c r="Z29" s="28">
        <v>2292000</v>
      </c>
      <c r="AA29" s="28">
        <v>2292000</v>
      </c>
      <c r="AB29" s="28">
        <v>2292000</v>
      </c>
      <c r="AC29" s="28">
        <v>2276000</v>
      </c>
      <c r="AD29" s="28">
        <v>2377000</v>
      </c>
      <c r="AE29" s="28">
        <v>2377000</v>
      </c>
      <c r="AF29" s="28">
        <v>2356000</v>
      </c>
      <c r="AG29" s="28">
        <v>2292000</v>
      </c>
      <c r="AH29" s="28">
        <v>2271000</v>
      </c>
      <c r="AI29" s="28">
        <v>2271000</v>
      </c>
      <c r="AJ29" s="28">
        <v>2271000</v>
      </c>
      <c r="AK29" s="28">
        <v>2168000</v>
      </c>
      <c r="AL29" s="28">
        <v>2065000</v>
      </c>
      <c r="AM29" s="28">
        <v>2065000</v>
      </c>
      <c r="AN29" s="28">
        <v>2168000</v>
      </c>
      <c r="AO29" s="28">
        <v>2802000</v>
      </c>
    </row>
    <row r="30" spans="1:41" ht="15" x14ac:dyDescent="0.2">
      <c r="A30" s="26" t="s">
        <v>59</v>
      </c>
      <c r="B30" s="28">
        <v>6279000</v>
      </c>
      <c r="C30" s="28">
        <v>4179000</v>
      </c>
      <c r="D30" s="28">
        <v>8370000</v>
      </c>
      <c r="E30" s="28">
        <v>6472000</v>
      </c>
      <c r="F30" s="28">
        <v>11642000</v>
      </c>
      <c r="G30" s="28">
        <v>3282000</v>
      </c>
      <c r="H30" s="28">
        <v>7386000</v>
      </c>
      <c r="I30" s="28">
        <v>2150000</v>
      </c>
      <c r="J30" s="28">
        <v>1762000</v>
      </c>
      <c r="K30" s="28">
        <v>2593000</v>
      </c>
      <c r="L30" s="28">
        <v>2769000</v>
      </c>
      <c r="M30" s="28">
        <v>2817000</v>
      </c>
      <c r="N30" s="28">
        <v>3143000</v>
      </c>
      <c r="O30" s="28">
        <v>3143000</v>
      </c>
      <c r="P30" s="28">
        <v>2766000</v>
      </c>
      <c r="Q30" s="28">
        <v>3423000</v>
      </c>
      <c r="R30" s="28">
        <v>2152000</v>
      </c>
      <c r="S30" s="28">
        <v>3176000</v>
      </c>
      <c r="T30" s="28">
        <v>3442000</v>
      </c>
      <c r="U30" s="28">
        <v>3176000</v>
      </c>
      <c r="V30" s="28">
        <v>3271000</v>
      </c>
      <c r="W30" s="28">
        <v>3203000</v>
      </c>
      <c r="X30" s="28">
        <v>3355000</v>
      </c>
      <c r="Y30" s="28">
        <v>2423000</v>
      </c>
      <c r="Z30" s="28">
        <v>2423000</v>
      </c>
      <c r="AA30" s="28">
        <v>2423000</v>
      </c>
      <c r="AB30" s="28">
        <v>2423000</v>
      </c>
      <c r="AC30" s="28">
        <v>2405000</v>
      </c>
      <c r="AD30" s="28">
        <v>2519000</v>
      </c>
      <c r="AE30" s="28">
        <v>2519000</v>
      </c>
      <c r="AF30" s="28">
        <v>2495000</v>
      </c>
      <c r="AG30" s="28">
        <v>2423000</v>
      </c>
      <c r="AH30" s="28">
        <v>2399000</v>
      </c>
      <c r="AI30" s="28">
        <v>2399000</v>
      </c>
      <c r="AJ30" s="28">
        <v>2399000</v>
      </c>
      <c r="AK30" s="28">
        <v>2261000</v>
      </c>
      <c r="AL30" s="28">
        <v>2145000</v>
      </c>
      <c r="AM30" s="28">
        <v>2145000</v>
      </c>
      <c r="AN30" s="28">
        <v>2261000</v>
      </c>
      <c r="AO30" s="28">
        <v>2980000</v>
      </c>
    </row>
    <row r="31" spans="1:41" ht="15" x14ac:dyDescent="0.2">
      <c r="A31" s="26" t="s">
        <v>60</v>
      </c>
      <c r="B31" s="28">
        <v>6621000</v>
      </c>
      <c r="C31" s="28">
        <v>4380000</v>
      </c>
      <c r="D31" s="28">
        <v>8852000</v>
      </c>
      <c r="E31" s="28">
        <v>6826000</v>
      </c>
      <c r="F31" s="28">
        <v>12344000</v>
      </c>
      <c r="G31" s="28">
        <v>3379000</v>
      </c>
      <c r="H31" s="28">
        <v>7898000</v>
      </c>
      <c r="I31" s="28">
        <v>2210000</v>
      </c>
      <c r="J31" s="28">
        <v>1797000</v>
      </c>
      <c r="K31" s="28">
        <v>2678000</v>
      </c>
      <c r="L31" s="28">
        <v>2864000</v>
      </c>
      <c r="M31" s="28">
        <v>2911000</v>
      </c>
      <c r="N31" s="28">
        <v>3256000</v>
      </c>
      <c r="O31" s="28">
        <v>3256000</v>
      </c>
      <c r="P31" s="28">
        <v>2862000</v>
      </c>
      <c r="Q31" s="28">
        <v>3562000</v>
      </c>
      <c r="R31" s="28">
        <v>2208000</v>
      </c>
      <c r="S31" s="28">
        <v>3298000</v>
      </c>
      <c r="T31" s="28">
        <v>3581000</v>
      </c>
      <c r="U31" s="28">
        <v>3298000</v>
      </c>
      <c r="V31" s="28">
        <v>3399000</v>
      </c>
      <c r="W31" s="28">
        <v>3328000</v>
      </c>
      <c r="X31" s="28">
        <v>3490000</v>
      </c>
      <c r="Y31" s="28">
        <v>2501000</v>
      </c>
      <c r="Z31" s="28">
        <v>2501000</v>
      </c>
      <c r="AA31" s="28">
        <v>2501000</v>
      </c>
      <c r="AB31" s="28">
        <v>2501000</v>
      </c>
      <c r="AC31" s="28">
        <v>2482000</v>
      </c>
      <c r="AD31" s="28">
        <v>2604000</v>
      </c>
      <c r="AE31" s="28">
        <v>2604000</v>
      </c>
      <c r="AF31" s="28">
        <v>2578000</v>
      </c>
      <c r="AG31" s="28">
        <v>2501000</v>
      </c>
      <c r="AH31" s="28">
        <v>2476000</v>
      </c>
      <c r="AI31" s="28">
        <v>2476000</v>
      </c>
      <c r="AJ31" s="28">
        <v>2476000</v>
      </c>
      <c r="AK31" s="28">
        <v>2317000</v>
      </c>
      <c r="AL31" s="28">
        <v>2193000</v>
      </c>
      <c r="AM31" s="28">
        <v>2193000</v>
      </c>
      <c r="AN31" s="28">
        <v>2317000</v>
      </c>
      <c r="AO31" s="28">
        <v>3088000</v>
      </c>
    </row>
    <row r="32" spans="1:41" ht="15" x14ac:dyDescent="0.2">
      <c r="A32" s="26" t="s">
        <v>61</v>
      </c>
      <c r="B32" s="28">
        <v>6849000</v>
      </c>
      <c r="C32" s="28">
        <v>4514000</v>
      </c>
      <c r="D32" s="28">
        <v>9173000</v>
      </c>
      <c r="E32" s="28">
        <v>7063000</v>
      </c>
      <c r="F32" s="28">
        <v>12812000</v>
      </c>
      <c r="G32" s="28">
        <v>3445000</v>
      </c>
      <c r="H32" s="28">
        <v>8240000</v>
      </c>
      <c r="I32" s="28">
        <v>2251000</v>
      </c>
      <c r="J32" s="28">
        <v>1820000</v>
      </c>
      <c r="K32" s="28">
        <v>2735000</v>
      </c>
      <c r="L32" s="28">
        <v>2927000</v>
      </c>
      <c r="M32" s="28">
        <v>2974000</v>
      </c>
      <c r="N32" s="28">
        <v>3332000</v>
      </c>
      <c r="O32" s="28">
        <v>3332000</v>
      </c>
      <c r="P32" s="28">
        <v>2926000</v>
      </c>
      <c r="Q32" s="28">
        <v>3655000</v>
      </c>
      <c r="R32" s="28">
        <v>2245000</v>
      </c>
      <c r="S32" s="28">
        <v>3379000</v>
      </c>
      <c r="T32" s="28">
        <v>3674000</v>
      </c>
      <c r="U32" s="28">
        <v>3379000</v>
      </c>
      <c r="V32" s="28">
        <v>3485000</v>
      </c>
      <c r="W32" s="28">
        <v>3410000</v>
      </c>
      <c r="X32" s="28">
        <v>3579000</v>
      </c>
      <c r="Y32" s="28">
        <v>2554000</v>
      </c>
      <c r="Z32" s="28">
        <v>2554000</v>
      </c>
      <c r="AA32" s="28">
        <v>2554000</v>
      </c>
      <c r="AB32" s="28">
        <v>2554000</v>
      </c>
      <c r="AC32" s="28">
        <v>2534000</v>
      </c>
      <c r="AD32" s="28">
        <v>2661000</v>
      </c>
      <c r="AE32" s="28">
        <v>2661000</v>
      </c>
      <c r="AF32" s="28">
        <v>2634000</v>
      </c>
      <c r="AG32" s="28">
        <v>2554000</v>
      </c>
      <c r="AH32" s="28">
        <v>2527000</v>
      </c>
      <c r="AI32" s="28">
        <v>2527000</v>
      </c>
      <c r="AJ32" s="28">
        <v>2527000</v>
      </c>
      <c r="AK32" s="28">
        <v>2354000</v>
      </c>
      <c r="AL32" s="28">
        <v>2225000</v>
      </c>
      <c r="AM32" s="28">
        <v>2225000</v>
      </c>
      <c r="AN32" s="28">
        <v>2354000</v>
      </c>
      <c r="AO32" s="28">
        <v>3159000</v>
      </c>
    </row>
    <row r="33" spans="1:41" ht="15" x14ac:dyDescent="0.2">
      <c r="A33" s="26" t="s">
        <v>62</v>
      </c>
      <c r="B33" s="28">
        <v>7418000</v>
      </c>
      <c r="C33" s="28">
        <v>4849000</v>
      </c>
      <c r="D33" s="28">
        <v>9977000</v>
      </c>
      <c r="E33" s="28">
        <v>7654000</v>
      </c>
      <c r="F33" s="28">
        <v>13981000</v>
      </c>
      <c r="G33" s="28">
        <v>3608000</v>
      </c>
      <c r="H33" s="28">
        <v>9094000</v>
      </c>
      <c r="I33" s="28">
        <v>2352000</v>
      </c>
      <c r="J33" s="28">
        <v>1878000</v>
      </c>
      <c r="K33" s="28">
        <v>2876000</v>
      </c>
      <c r="L33" s="28">
        <v>3085000</v>
      </c>
      <c r="M33" s="28">
        <v>3131000</v>
      </c>
      <c r="N33" s="28">
        <v>3521000</v>
      </c>
      <c r="O33" s="28">
        <v>3521000</v>
      </c>
      <c r="P33" s="28">
        <v>3086000</v>
      </c>
      <c r="Q33" s="28">
        <v>3887000</v>
      </c>
      <c r="R33" s="28">
        <v>2338000</v>
      </c>
      <c r="S33" s="28">
        <v>3582000</v>
      </c>
      <c r="T33" s="28">
        <v>3906000</v>
      </c>
      <c r="U33" s="28">
        <v>3582000</v>
      </c>
      <c r="V33" s="28">
        <v>3700000</v>
      </c>
      <c r="W33" s="28">
        <v>3618000</v>
      </c>
      <c r="X33" s="28">
        <v>3803000</v>
      </c>
      <c r="Y33" s="28">
        <v>2684000</v>
      </c>
      <c r="Z33" s="28">
        <v>2684000</v>
      </c>
      <c r="AA33" s="28">
        <v>2684000</v>
      </c>
      <c r="AB33" s="28">
        <v>2684000</v>
      </c>
      <c r="AC33" s="28">
        <v>2662000</v>
      </c>
      <c r="AD33" s="28">
        <v>2802000</v>
      </c>
      <c r="AE33" s="28">
        <v>2802000</v>
      </c>
      <c r="AF33" s="28">
        <v>2773000</v>
      </c>
      <c r="AG33" s="28">
        <v>2684000</v>
      </c>
      <c r="AH33" s="28">
        <v>2655000</v>
      </c>
      <c r="AI33" s="28">
        <v>2655000</v>
      </c>
      <c r="AJ33" s="28">
        <v>2655000</v>
      </c>
      <c r="AK33" s="28">
        <v>2447000</v>
      </c>
      <c r="AL33" s="28">
        <v>2305000</v>
      </c>
      <c r="AM33" s="28">
        <v>2305000</v>
      </c>
      <c r="AN33" s="28">
        <v>2447000</v>
      </c>
      <c r="AO33" s="28">
        <v>3338000</v>
      </c>
    </row>
    <row r="34" spans="1:41" ht="15" x14ac:dyDescent="0.2">
      <c r="A34" s="26" t="s">
        <v>63</v>
      </c>
      <c r="B34" s="28">
        <v>7988000</v>
      </c>
      <c r="C34" s="28">
        <v>5183000</v>
      </c>
      <c r="D34" s="28">
        <v>10780000</v>
      </c>
      <c r="E34" s="28">
        <v>8245000</v>
      </c>
      <c r="F34" s="28">
        <v>15151000</v>
      </c>
      <c r="G34" s="28">
        <v>3770000</v>
      </c>
      <c r="H34" s="28">
        <v>9947000</v>
      </c>
      <c r="I34" s="28">
        <v>2453000</v>
      </c>
      <c r="J34" s="28">
        <v>1935000</v>
      </c>
      <c r="K34" s="28">
        <v>3018000</v>
      </c>
      <c r="L34" s="28">
        <v>3243000</v>
      </c>
      <c r="M34" s="28">
        <v>3289000</v>
      </c>
      <c r="N34" s="28">
        <v>3710000</v>
      </c>
      <c r="O34" s="28">
        <v>3710000</v>
      </c>
      <c r="P34" s="28">
        <v>3246000</v>
      </c>
      <c r="Q34" s="28">
        <v>4119000</v>
      </c>
      <c r="R34" s="28">
        <v>2431000</v>
      </c>
      <c r="S34" s="28">
        <v>3784000</v>
      </c>
      <c r="T34" s="28">
        <v>4139000</v>
      </c>
      <c r="U34" s="28">
        <v>3784000</v>
      </c>
      <c r="V34" s="28">
        <v>3915000</v>
      </c>
      <c r="W34" s="28">
        <v>3825000</v>
      </c>
      <c r="X34" s="28">
        <v>4028000</v>
      </c>
      <c r="Y34" s="28">
        <v>2815000</v>
      </c>
      <c r="Z34" s="28">
        <v>2815000</v>
      </c>
      <c r="AA34" s="28">
        <v>2815000</v>
      </c>
      <c r="AB34" s="28">
        <v>2815000</v>
      </c>
      <c r="AC34" s="28">
        <v>2791000</v>
      </c>
      <c r="AD34" s="28">
        <v>2944000</v>
      </c>
      <c r="AE34" s="28">
        <v>2944000</v>
      </c>
      <c r="AF34" s="28">
        <v>2912000</v>
      </c>
      <c r="AG34" s="28">
        <v>2815000</v>
      </c>
      <c r="AH34" s="28">
        <v>2783000</v>
      </c>
      <c r="AI34" s="28">
        <v>2783000</v>
      </c>
      <c r="AJ34" s="28">
        <v>2783000</v>
      </c>
      <c r="AK34" s="28">
        <v>2540000</v>
      </c>
      <c r="AL34" s="28">
        <v>2386000</v>
      </c>
      <c r="AM34" s="28">
        <v>2386000</v>
      </c>
      <c r="AN34" s="28">
        <v>2540000</v>
      </c>
      <c r="AO34" s="28">
        <v>3517000</v>
      </c>
    </row>
    <row r="35" spans="1:41" ht="15.75" customHeight="1" x14ac:dyDescent="0.25">
      <c r="A35" s="30" t="s">
        <v>67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</row>
    <row r="36" spans="1:41" ht="15" x14ac:dyDescent="0.2">
      <c r="A36" s="31" t="s">
        <v>58</v>
      </c>
      <c r="B36" s="28">
        <v>5303000</v>
      </c>
      <c r="C36" s="28">
        <v>3606000</v>
      </c>
      <c r="D36" s="28">
        <v>6994000</v>
      </c>
      <c r="E36" s="28">
        <v>5459000</v>
      </c>
      <c r="F36" s="28">
        <v>9639000</v>
      </c>
      <c r="G36" s="28">
        <v>2966000</v>
      </c>
      <c r="H36" s="28">
        <v>6051000</v>
      </c>
      <c r="I36" s="28">
        <v>1972000</v>
      </c>
      <c r="J36" s="28">
        <v>1659000</v>
      </c>
      <c r="K36" s="28">
        <v>2339000</v>
      </c>
      <c r="L36" s="28">
        <v>2486000</v>
      </c>
      <c r="M36" s="28">
        <v>2531000</v>
      </c>
      <c r="N36" s="28">
        <v>2800000</v>
      </c>
      <c r="O36" s="28">
        <v>2800000</v>
      </c>
      <c r="P36" s="28">
        <v>2481000</v>
      </c>
      <c r="Q36" s="28">
        <v>3013000</v>
      </c>
      <c r="R36" s="28">
        <v>1983000</v>
      </c>
      <c r="S36" s="28">
        <v>2816000</v>
      </c>
      <c r="T36" s="28">
        <v>3031000</v>
      </c>
      <c r="U36" s="28">
        <v>2816000</v>
      </c>
      <c r="V36" s="28">
        <v>2891000</v>
      </c>
      <c r="W36" s="28">
        <v>2836000</v>
      </c>
      <c r="X36" s="28">
        <v>2959000</v>
      </c>
      <c r="Y36" s="28">
        <v>2194000</v>
      </c>
      <c r="Z36" s="28">
        <v>2194000</v>
      </c>
      <c r="AA36" s="28">
        <v>2194000</v>
      </c>
      <c r="AB36" s="28">
        <v>2194000</v>
      </c>
      <c r="AC36" s="28">
        <v>2179000</v>
      </c>
      <c r="AD36" s="28">
        <v>2272000</v>
      </c>
      <c r="AE36" s="28">
        <v>2272000</v>
      </c>
      <c r="AF36" s="28">
        <v>2252000</v>
      </c>
      <c r="AG36" s="28">
        <v>2194000</v>
      </c>
      <c r="AH36" s="28">
        <v>2174000</v>
      </c>
      <c r="AI36" s="28">
        <v>2174000</v>
      </c>
      <c r="AJ36" s="28">
        <v>2174000</v>
      </c>
      <c r="AK36" s="28">
        <v>2084000</v>
      </c>
      <c r="AL36" s="28">
        <v>1990000</v>
      </c>
      <c r="AM36" s="28">
        <v>1990000</v>
      </c>
      <c r="AN36" s="28">
        <v>2084000</v>
      </c>
      <c r="AO36" s="28">
        <v>2660000</v>
      </c>
    </row>
    <row r="37" spans="1:41" ht="15" x14ac:dyDescent="0.2">
      <c r="A37" s="26" t="s">
        <v>59</v>
      </c>
      <c r="B37" s="28">
        <v>5822000</v>
      </c>
      <c r="C37" s="28">
        <v>3910000</v>
      </c>
      <c r="D37" s="28">
        <v>7725000</v>
      </c>
      <c r="E37" s="28">
        <v>5997000</v>
      </c>
      <c r="F37" s="28">
        <v>10704000</v>
      </c>
      <c r="G37" s="28">
        <v>3116000</v>
      </c>
      <c r="H37" s="28">
        <v>6826000</v>
      </c>
      <c r="I37" s="28">
        <v>2064000</v>
      </c>
      <c r="J37" s="28">
        <v>1712000</v>
      </c>
      <c r="K37" s="28">
        <v>2469000</v>
      </c>
      <c r="L37" s="28">
        <v>2630000</v>
      </c>
      <c r="M37" s="28">
        <v>2674000</v>
      </c>
      <c r="N37" s="28">
        <v>2972000</v>
      </c>
      <c r="O37" s="28">
        <v>2972000</v>
      </c>
      <c r="P37" s="28">
        <v>2627000</v>
      </c>
      <c r="Q37" s="28">
        <v>3225000</v>
      </c>
      <c r="R37" s="28">
        <v>2068000</v>
      </c>
      <c r="S37" s="28">
        <v>3001000</v>
      </c>
      <c r="T37" s="28">
        <v>3243000</v>
      </c>
      <c r="U37" s="28">
        <v>3001000</v>
      </c>
      <c r="V37" s="28">
        <v>3087000</v>
      </c>
      <c r="W37" s="28">
        <v>3025000</v>
      </c>
      <c r="X37" s="28">
        <v>3164000</v>
      </c>
      <c r="Y37" s="28">
        <v>2313000</v>
      </c>
      <c r="Z37" s="28">
        <v>2313000</v>
      </c>
      <c r="AA37" s="28">
        <v>2313000</v>
      </c>
      <c r="AB37" s="28">
        <v>2313000</v>
      </c>
      <c r="AC37" s="28">
        <v>2297000</v>
      </c>
      <c r="AD37" s="28">
        <v>2401000</v>
      </c>
      <c r="AE37" s="28">
        <v>2401000</v>
      </c>
      <c r="AF37" s="28">
        <v>2379000</v>
      </c>
      <c r="AG37" s="28">
        <v>2313000</v>
      </c>
      <c r="AH37" s="28">
        <v>2291000</v>
      </c>
      <c r="AI37" s="28">
        <v>2291000</v>
      </c>
      <c r="AJ37" s="28">
        <v>2291000</v>
      </c>
      <c r="AK37" s="28">
        <v>2169000</v>
      </c>
      <c r="AL37" s="28">
        <v>2063000</v>
      </c>
      <c r="AM37" s="28">
        <v>2063000</v>
      </c>
      <c r="AN37" s="28">
        <v>2169000</v>
      </c>
      <c r="AO37" s="28">
        <v>2823000</v>
      </c>
    </row>
    <row r="38" spans="1:41" ht="15" x14ac:dyDescent="0.2">
      <c r="A38" s="26" t="s">
        <v>60</v>
      </c>
      <c r="B38" s="28">
        <v>6133000</v>
      </c>
      <c r="C38" s="28">
        <v>4093000</v>
      </c>
      <c r="D38" s="28">
        <v>8164000</v>
      </c>
      <c r="E38" s="28">
        <v>6320000</v>
      </c>
      <c r="F38" s="28">
        <v>11343000</v>
      </c>
      <c r="G38" s="28">
        <v>3207000</v>
      </c>
      <c r="H38" s="28">
        <v>7291000</v>
      </c>
      <c r="I38" s="28">
        <v>2120000</v>
      </c>
      <c r="J38" s="28">
        <v>1743000</v>
      </c>
      <c r="K38" s="28">
        <v>2547000</v>
      </c>
      <c r="L38" s="28">
        <v>2717000</v>
      </c>
      <c r="M38" s="28">
        <v>2761000</v>
      </c>
      <c r="N38" s="28">
        <v>3076000</v>
      </c>
      <c r="O38" s="28">
        <v>3076000</v>
      </c>
      <c r="P38" s="28">
        <v>2714000</v>
      </c>
      <c r="Q38" s="28">
        <v>3352000</v>
      </c>
      <c r="R38" s="28">
        <v>2118000</v>
      </c>
      <c r="S38" s="28">
        <v>3112000</v>
      </c>
      <c r="T38" s="28">
        <v>3370000</v>
      </c>
      <c r="U38" s="28">
        <v>3112000</v>
      </c>
      <c r="V38" s="28">
        <v>3204000</v>
      </c>
      <c r="W38" s="28">
        <v>3139000</v>
      </c>
      <c r="X38" s="28">
        <v>3286000</v>
      </c>
      <c r="Y38" s="28">
        <v>2385000</v>
      </c>
      <c r="Z38" s="28">
        <v>2385000</v>
      </c>
      <c r="AA38" s="28">
        <v>2385000</v>
      </c>
      <c r="AB38" s="28">
        <v>2385000</v>
      </c>
      <c r="AC38" s="28">
        <v>2367000</v>
      </c>
      <c r="AD38" s="28">
        <v>2478000</v>
      </c>
      <c r="AE38" s="28">
        <v>2478000</v>
      </c>
      <c r="AF38" s="28">
        <v>2455000</v>
      </c>
      <c r="AG38" s="28">
        <v>2385000</v>
      </c>
      <c r="AH38" s="28">
        <v>2361000</v>
      </c>
      <c r="AI38" s="28">
        <v>2361000</v>
      </c>
      <c r="AJ38" s="28">
        <v>2361000</v>
      </c>
      <c r="AK38" s="28">
        <v>2220000</v>
      </c>
      <c r="AL38" s="28">
        <v>2107000</v>
      </c>
      <c r="AM38" s="28">
        <v>2107000</v>
      </c>
      <c r="AN38" s="28">
        <v>2220000</v>
      </c>
      <c r="AO38" s="28">
        <v>2921000</v>
      </c>
    </row>
    <row r="39" spans="1:41" ht="15" x14ac:dyDescent="0.2">
      <c r="A39" s="26" t="s">
        <v>61</v>
      </c>
      <c r="B39" s="28">
        <v>6341000</v>
      </c>
      <c r="C39" s="28">
        <v>4215000</v>
      </c>
      <c r="D39" s="28">
        <v>8457000</v>
      </c>
      <c r="E39" s="28">
        <v>6536000</v>
      </c>
      <c r="F39" s="28">
        <v>11769000</v>
      </c>
      <c r="G39" s="28">
        <v>3267000</v>
      </c>
      <c r="H39" s="28">
        <v>7601000</v>
      </c>
      <c r="I39" s="28">
        <v>2156000</v>
      </c>
      <c r="J39" s="28">
        <v>1764000</v>
      </c>
      <c r="K39" s="28">
        <v>2598000</v>
      </c>
      <c r="L39" s="28">
        <v>2774000</v>
      </c>
      <c r="M39" s="28">
        <v>2818000</v>
      </c>
      <c r="N39" s="28">
        <v>3145000</v>
      </c>
      <c r="O39" s="28">
        <v>3145000</v>
      </c>
      <c r="P39" s="28">
        <v>2773000</v>
      </c>
      <c r="Q39" s="28">
        <v>3437000</v>
      </c>
      <c r="R39" s="28">
        <v>2152000</v>
      </c>
      <c r="S39" s="28">
        <v>3186000</v>
      </c>
      <c r="T39" s="28">
        <v>3455000</v>
      </c>
      <c r="U39" s="28">
        <v>3186000</v>
      </c>
      <c r="V39" s="28">
        <v>3282000</v>
      </c>
      <c r="W39" s="28">
        <v>3214000</v>
      </c>
      <c r="X39" s="28">
        <v>3368000</v>
      </c>
      <c r="Y39" s="28">
        <v>2432000</v>
      </c>
      <c r="Z39" s="28">
        <v>2432000</v>
      </c>
      <c r="AA39" s="28">
        <v>2432000</v>
      </c>
      <c r="AB39" s="28">
        <v>2432000</v>
      </c>
      <c r="AC39" s="28">
        <v>2414000</v>
      </c>
      <c r="AD39" s="28">
        <v>2530000</v>
      </c>
      <c r="AE39" s="28">
        <v>2530000</v>
      </c>
      <c r="AF39" s="28">
        <v>2505000</v>
      </c>
      <c r="AG39" s="28">
        <v>2432000</v>
      </c>
      <c r="AH39" s="28">
        <v>2408000</v>
      </c>
      <c r="AI39" s="28">
        <v>2408000</v>
      </c>
      <c r="AJ39" s="28">
        <v>2408000</v>
      </c>
      <c r="AK39" s="28">
        <v>2254000</v>
      </c>
      <c r="AL39" s="28">
        <v>2137000</v>
      </c>
      <c r="AM39" s="28">
        <v>2137000</v>
      </c>
      <c r="AN39" s="28">
        <v>2254000</v>
      </c>
      <c r="AO39" s="28">
        <v>2986000</v>
      </c>
    </row>
    <row r="40" spans="1:41" ht="15" x14ac:dyDescent="0.2">
      <c r="A40" s="26" t="s">
        <v>62</v>
      </c>
      <c r="B40" s="28">
        <v>6859000</v>
      </c>
      <c r="C40" s="28">
        <v>4520000</v>
      </c>
      <c r="D40" s="28">
        <v>9188000</v>
      </c>
      <c r="E40" s="28">
        <v>7074000</v>
      </c>
      <c r="F40" s="28">
        <v>12834000</v>
      </c>
      <c r="G40" s="28">
        <v>3418000</v>
      </c>
      <c r="H40" s="28">
        <v>8376000</v>
      </c>
      <c r="I40" s="28">
        <v>2248000</v>
      </c>
      <c r="J40" s="28">
        <v>1817000</v>
      </c>
      <c r="K40" s="28">
        <v>2728000</v>
      </c>
      <c r="L40" s="28">
        <v>2918000</v>
      </c>
      <c r="M40" s="28">
        <v>2962000</v>
      </c>
      <c r="N40" s="28">
        <v>3317000</v>
      </c>
      <c r="O40" s="28">
        <v>3317000</v>
      </c>
      <c r="P40" s="28">
        <v>2919000</v>
      </c>
      <c r="Q40" s="28">
        <v>3648000</v>
      </c>
      <c r="R40" s="28">
        <v>2237000</v>
      </c>
      <c r="S40" s="28">
        <v>3371000</v>
      </c>
      <c r="T40" s="28">
        <v>3666000</v>
      </c>
      <c r="U40" s="28">
        <v>3371000</v>
      </c>
      <c r="V40" s="28">
        <v>3478000</v>
      </c>
      <c r="W40" s="28">
        <v>3403000</v>
      </c>
      <c r="X40" s="28">
        <v>3572000</v>
      </c>
      <c r="Y40" s="28">
        <v>2552000</v>
      </c>
      <c r="Z40" s="28">
        <v>2552000</v>
      </c>
      <c r="AA40" s="28">
        <v>2552000</v>
      </c>
      <c r="AB40" s="28">
        <v>2552000</v>
      </c>
      <c r="AC40" s="28">
        <v>2531000</v>
      </c>
      <c r="AD40" s="28">
        <v>2659000</v>
      </c>
      <c r="AE40" s="28">
        <v>2659000</v>
      </c>
      <c r="AF40" s="28">
        <v>2632000</v>
      </c>
      <c r="AG40" s="28">
        <v>2552000</v>
      </c>
      <c r="AH40" s="28">
        <v>2525000</v>
      </c>
      <c r="AI40" s="28">
        <v>2525000</v>
      </c>
      <c r="AJ40" s="28">
        <v>2525000</v>
      </c>
      <c r="AK40" s="28">
        <v>2339000</v>
      </c>
      <c r="AL40" s="28">
        <v>2210000</v>
      </c>
      <c r="AM40" s="28">
        <v>2210000</v>
      </c>
      <c r="AN40" s="28">
        <v>2339000</v>
      </c>
      <c r="AO40" s="28">
        <v>3149000</v>
      </c>
    </row>
    <row r="41" spans="1:41" ht="15" x14ac:dyDescent="0.2">
      <c r="A41" s="26" t="s">
        <v>63</v>
      </c>
      <c r="B41" s="28">
        <v>7378000</v>
      </c>
      <c r="C41" s="28">
        <v>4825000</v>
      </c>
      <c r="D41" s="28">
        <v>9920000</v>
      </c>
      <c r="E41" s="28">
        <v>7612000</v>
      </c>
      <c r="F41" s="28">
        <v>13898000</v>
      </c>
      <c r="G41" s="28">
        <v>3568000</v>
      </c>
      <c r="H41" s="28">
        <v>9151000</v>
      </c>
      <c r="I41" s="28">
        <v>2340000</v>
      </c>
      <c r="J41" s="28">
        <v>1870000</v>
      </c>
      <c r="K41" s="28">
        <v>2857000</v>
      </c>
      <c r="L41" s="28">
        <v>3062000</v>
      </c>
      <c r="M41" s="28">
        <v>3106000</v>
      </c>
      <c r="N41" s="28">
        <v>3490000</v>
      </c>
      <c r="O41" s="28">
        <v>3490000</v>
      </c>
      <c r="P41" s="28">
        <v>3065000</v>
      </c>
      <c r="Q41" s="28">
        <v>3860000</v>
      </c>
      <c r="R41" s="28">
        <v>2322000</v>
      </c>
      <c r="S41" s="28">
        <v>3556000</v>
      </c>
      <c r="T41" s="28">
        <v>3878000</v>
      </c>
      <c r="U41" s="28">
        <v>3556000</v>
      </c>
      <c r="V41" s="28">
        <v>3674000</v>
      </c>
      <c r="W41" s="28">
        <v>3592000</v>
      </c>
      <c r="X41" s="28">
        <v>3777000</v>
      </c>
      <c r="Y41" s="28">
        <v>2671000</v>
      </c>
      <c r="Z41" s="28">
        <v>2671000</v>
      </c>
      <c r="AA41" s="28">
        <v>2671000</v>
      </c>
      <c r="AB41" s="28">
        <v>2671000</v>
      </c>
      <c r="AC41" s="28">
        <v>2649000</v>
      </c>
      <c r="AD41" s="28">
        <v>2788000</v>
      </c>
      <c r="AE41" s="28">
        <v>2788000</v>
      </c>
      <c r="AF41" s="28">
        <v>2759000</v>
      </c>
      <c r="AG41" s="28">
        <v>2671000</v>
      </c>
      <c r="AH41" s="28">
        <v>2642000</v>
      </c>
      <c r="AI41" s="28">
        <v>2642000</v>
      </c>
      <c r="AJ41" s="28">
        <v>2642000</v>
      </c>
      <c r="AK41" s="28">
        <v>2425000</v>
      </c>
      <c r="AL41" s="28">
        <v>2284000</v>
      </c>
      <c r="AM41" s="28">
        <v>2284000</v>
      </c>
      <c r="AN41" s="28">
        <v>2425000</v>
      </c>
      <c r="AO41" s="28">
        <v>3313000</v>
      </c>
    </row>
    <row r="42" spans="1:41" ht="15.75" customHeight="1" x14ac:dyDescent="0.25">
      <c r="A42" s="30" t="s">
        <v>68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</row>
    <row r="43" spans="1:41" ht="15" x14ac:dyDescent="0.2">
      <c r="A43" s="31" t="s">
        <v>58</v>
      </c>
      <c r="B43" s="28">
        <v>1205000</v>
      </c>
      <c r="C43" s="28">
        <v>904000</v>
      </c>
      <c r="D43" s="28">
        <v>1505000</v>
      </c>
      <c r="E43" s="28">
        <v>1232000</v>
      </c>
      <c r="F43" s="28">
        <v>1974000</v>
      </c>
      <c r="G43" s="28">
        <v>978000</v>
      </c>
      <c r="H43" s="28">
        <v>1322000</v>
      </c>
      <c r="I43" s="28">
        <v>623000</v>
      </c>
      <c r="J43" s="28">
        <v>568000</v>
      </c>
      <c r="K43" s="28">
        <v>699000</v>
      </c>
      <c r="L43" s="28">
        <v>730000</v>
      </c>
      <c r="M43" s="28">
        <v>746000</v>
      </c>
      <c r="N43" s="28">
        <v>800000</v>
      </c>
      <c r="O43" s="28">
        <v>800000</v>
      </c>
      <c r="P43" s="28">
        <v>726000</v>
      </c>
      <c r="Q43" s="28">
        <v>822000</v>
      </c>
      <c r="R43" s="28">
        <v>636000</v>
      </c>
      <c r="S43" s="28">
        <v>790000</v>
      </c>
      <c r="T43" s="28">
        <v>828000</v>
      </c>
      <c r="U43" s="28">
        <v>790000</v>
      </c>
      <c r="V43" s="28">
        <v>801000</v>
      </c>
      <c r="W43" s="28">
        <v>791000</v>
      </c>
      <c r="X43" s="28">
        <v>813000</v>
      </c>
      <c r="Y43" s="28">
        <v>663000</v>
      </c>
      <c r="Z43" s="28">
        <v>663000</v>
      </c>
      <c r="AA43" s="28">
        <v>663000</v>
      </c>
      <c r="AB43" s="28">
        <v>663000</v>
      </c>
      <c r="AC43" s="28">
        <v>661000</v>
      </c>
      <c r="AD43" s="28">
        <v>677000</v>
      </c>
      <c r="AE43" s="28">
        <v>677000</v>
      </c>
      <c r="AF43" s="28">
        <v>674000</v>
      </c>
      <c r="AG43" s="28">
        <v>663000</v>
      </c>
      <c r="AH43" s="28">
        <v>660000</v>
      </c>
      <c r="AI43" s="28">
        <v>660000</v>
      </c>
      <c r="AJ43" s="28">
        <v>660000</v>
      </c>
      <c r="AK43" s="28">
        <v>669000</v>
      </c>
      <c r="AL43" s="28">
        <v>653000</v>
      </c>
      <c r="AM43" s="28">
        <v>653000</v>
      </c>
      <c r="AN43" s="28">
        <v>669000</v>
      </c>
      <c r="AO43" s="28">
        <v>765000</v>
      </c>
    </row>
    <row r="44" spans="1:41" ht="15" x14ac:dyDescent="0.2">
      <c r="A44" s="26" t="s">
        <v>60</v>
      </c>
      <c r="B44" s="28">
        <v>1352000</v>
      </c>
      <c r="C44" s="28">
        <v>990000</v>
      </c>
      <c r="D44" s="28">
        <v>1712000</v>
      </c>
      <c r="E44" s="28">
        <v>1385000</v>
      </c>
      <c r="F44" s="28">
        <v>2276000</v>
      </c>
      <c r="G44" s="28">
        <v>1054000</v>
      </c>
      <c r="H44" s="28">
        <v>1510000</v>
      </c>
      <c r="I44" s="28">
        <v>651000</v>
      </c>
      <c r="J44" s="28">
        <v>584000</v>
      </c>
      <c r="K44" s="28">
        <v>740000</v>
      </c>
      <c r="L44" s="28">
        <v>776000</v>
      </c>
      <c r="M44" s="28">
        <v>793000</v>
      </c>
      <c r="N44" s="28">
        <v>857000</v>
      </c>
      <c r="O44" s="28">
        <v>857000</v>
      </c>
      <c r="P44" s="28">
        <v>772000</v>
      </c>
      <c r="Q44" s="28">
        <v>887000</v>
      </c>
      <c r="R44" s="28">
        <v>664000</v>
      </c>
      <c r="S44" s="28">
        <v>848000</v>
      </c>
      <c r="T44" s="28">
        <v>893000</v>
      </c>
      <c r="U44" s="28">
        <v>848000</v>
      </c>
      <c r="V44" s="28">
        <v>862000</v>
      </c>
      <c r="W44" s="28">
        <v>850000</v>
      </c>
      <c r="X44" s="28">
        <v>876000</v>
      </c>
      <c r="Y44" s="28">
        <v>699000</v>
      </c>
      <c r="Z44" s="28">
        <v>699000</v>
      </c>
      <c r="AA44" s="28">
        <v>699000</v>
      </c>
      <c r="AB44" s="28">
        <v>699000</v>
      </c>
      <c r="AC44" s="28">
        <v>696000</v>
      </c>
      <c r="AD44" s="28">
        <v>716000</v>
      </c>
      <c r="AE44" s="28">
        <v>716000</v>
      </c>
      <c r="AF44" s="28">
        <v>711000</v>
      </c>
      <c r="AG44" s="28">
        <v>699000</v>
      </c>
      <c r="AH44" s="28">
        <v>695000</v>
      </c>
      <c r="AI44" s="28">
        <v>695000</v>
      </c>
      <c r="AJ44" s="28">
        <v>695000</v>
      </c>
      <c r="AK44" s="28">
        <v>701000</v>
      </c>
      <c r="AL44" s="28">
        <v>681000</v>
      </c>
      <c r="AM44" s="28">
        <v>681000</v>
      </c>
      <c r="AN44" s="28">
        <v>701000</v>
      </c>
      <c r="AO44" s="28">
        <v>817000</v>
      </c>
    </row>
    <row r="45" spans="1:41" ht="15" x14ac:dyDescent="0.2">
      <c r="A45" s="26" t="s">
        <v>61</v>
      </c>
      <c r="B45" s="28">
        <v>1389000</v>
      </c>
      <c r="C45" s="28">
        <v>1012000</v>
      </c>
      <c r="D45" s="28">
        <v>1764000</v>
      </c>
      <c r="E45" s="28">
        <v>1423000</v>
      </c>
      <c r="F45" s="28">
        <v>2351000</v>
      </c>
      <c r="G45" s="28">
        <v>1073000</v>
      </c>
      <c r="H45" s="28">
        <v>1557000</v>
      </c>
      <c r="I45" s="28">
        <v>658000</v>
      </c>
      <c r="J45" s="28">
        <v>588000</v>
      </c>
      <c r="K45" s="28">
        <v>750000</v>
      </c>
      <c r="L45" s="28">
        <v>788000</v>
      </c>
      <c r="M45" s="28">
        <v>805000</v>
      </c>
      <c r="N45" s="28">
        <v>871000</v>
      </c>
      <c r="O45" s="28">
        <v>871000</v>
      </c>
      <c r="P45" s="28">
        <v>783000</v>
      </c>
      <c r="Q45" s="28">
        <v>903000</v>
      </c>
      <c r="R45" s="28">
        <v>671000</v>
      </c>
      <c r="S45" s="28">
        <v>862000</v>
      </c>
      <c r="T45" s="28">
        <v>910000</v>
      </c>
      <c r="U45" s="28">
        <v>862000</v>
      </c>
      <c r="V45" s="28">
        <v>877000</v>
      </c>
      <c r="W45" s="28">
        <v>865000</v>
      </c>
      <c r="X45" s="28">
        <v>892000</v>
      </c>
      <c r="Y45" s="28">
        <v>708000</v>
      </c>
      <c r="Z45" s="28">
        <v>708000</v>
      </c>
      <c r="AA45" s="28">
        <v>708000</v>
      </c>
      <c r="AB45" s="28">
        <v>708000</v>
      </c>
      <c r="AC45" s="28">
        <v>705000</v>
      </c>
      <c r="AD45" s="28">
        <v>725000</v>
      </c>
      <c r="AE45" s="28">
        <v>725000</v>
      </c>
      <c r="AF45" s="28">
        <v>721000</v>
      </c>
      <c r="AG45" s="28">
        <v>708000</v>
      </c>
      <c r="AH45" s="28">
        <v>704000</v>
      </c>
      <c r="AI45" s="28">
        <v>704000</v>
      </c>
      <c r="AJ45" s="28">
        <v>704000</v>
      </c>
      <c r="AK45" s="28">
        <v>708000</v>
      </c>
      <c r="AL45" s="28">
        <v>688000</v>
      </c>
      <c r="AM45" s="28">
        <v>688000</v>
      </c>
      <c r="AN45" s="28">
        <v>708000</v>
      </c>
      <c r="AO45" s="28">
        <v>830000</v>
      </c>
    </row>
    <row r="46" spans="1:41" ht="15" x14ac:dyDescent="0.2">
      <c r="A46" s="26" t="s">
        <v>62</v>
      </c>
      <c r="B46" s="28">
        <v>1481000</v>
      </c>
      <c r="C46" s="28">
        <v>1066000</v>
      </c>
      <c r="D46" s="28">
        <v>1894000</v>
      </c>
      <c r="E46" s="28">
        <v>1519000</v>
      </c>
      <c r="F46" s="28">
        <v>2540000</v>
      </c>
      <c r="G46" s="28">
        <v>1120000</v>
      </c>
      <c r="H46" s="28">
        <v>1674000</v>
      </c>
      <c r="I46" s="28">
        <v>675000</v>
      </c>
      <c r="J46" s="28">
        <v>599000</v>
      </c>
      <c r="K46" s="28">
        <v>776000</v>
      </c>
      <c r="L46" s="28">
        <v>817000</v>
      </c>
      <c r="M46" s="28">
        <v>835000</v>
      </c>
      <c r="N46" s="28">
        <v>907000</v>
      </c>
      <c r="O46" s="28">
        <v>907000</v>
      </c>
      <c r="P46" s="28">
        <v>812000</v>
      </c>
      <c r="Q46" s="28">
        <v>944000</v>
      </c>
      <c r="R46" s="28">
        <v>688000</v>
      </c>
      <c r="S46" s="28">
        <v>898000</v>
      </c>
      <c r="T46" s="28">
        <v>951000</v>
      </c>
      <c r="U46" s="28">
        <v>898000</v>
      </c>
      <c r="V46" s="28">
        <v>914000</v>
      </c>
      <c r="W46" s="28">
        <v>901000</v>
      </c>
      <c r="X46" s="28">
        <v>931000</v>
      </c>
      <c r="Y46" s="28">
        <v>730000</v>
      </c>
      <c r="Z46" s="28">
        <v>730000</v>
      </c>
      <c r="AA46" s="28">
        <v>730000</v>
      </c>
      <c r="AB46" s="28">
        <v>730000</v>
      </c>
      <c r="AC46" s="28">
        <v>727000</v>
      </c>
      <c r="AD46" s="28">
        <v>749000</v>
      </c>
      <c r="AE46" s="28">
        <v>749000</v>
      </c>
      <c r="AF46" s="28">
        <v>745000</v>
      </c>
      <c r="AG46" s="28">
        <v>730000</v>
      </c>
      <c r="AH46" s="28">
        <v>726000</v>
      </c>
      <c r="AI46" s="28">
        <v>726000</v>
      </c>
      <c r="AJ46" s="28">
        <v>726000</v>
      </c>
      <c r="AK46" s="28">
        <v>728000</v>
      </c>
      <c r="AL46" s="28">
        <v>705000</v>
      </c>
      <c r="AM46" s="28">
        <v>705000</v>
      </c>
      <c r="AN46" s="28">
        <v>728000</v>
      </c>
      <c r="AO46" s="28">
        <v>862000</v>
      </c>
    </row>
    <row r="47" spans="1:41" ht="15" x14ac:dyDescent="0.2">
      <c r="A47" s="26" t="s">
        <v>63</v>
      </c>
      <c r="B47" s="28">
        <v>1573000</v>
      </c>
      <c r="C47" s="28">
        <v>1120000</v>
      </c>
      <c r="D47" s="28">
        <v>2023000</v>
      </c>
      <c r="E47" s="28">
        <v>1614000</v>
      </c>
      <c r="F47" s="28">
        <v>2729000</v>
      </c>
      <c r="G47" s="28">
        <v>1168000</v>
      </c>
      <c r="H47" s="28">
        <v>1791000</v>
      </c>
      <c r="I47" s="28">
        <v>693000</v>
      </c>
      <c r="J47" s="28">
        <v>609000</v>
      </c>
      <c r="K47" s="28">
        <v>801000</v>
      </c>
      <c r="L47" s="28">
        <v>845000</v>
      </c>
      <c r="M47" s="28">
        <v>864000</v>
      </c>
      <c r="N47" s="28">
        <v>942000</v>
      </c>
      <c r="O47" s="28">
        <v>942000</v>
      </c>
      <c r="P47" s="28">
        <v>841000</v>
      </c>
      <c r="Q47" s="28">
        <v>984000</v>
      </c>
      <c r="R47" s="28">
        <v>706000</v>
      </c>
      <c r="S47" s="28">
        <v>934000</v>
      </c>
      <c r="T47" s="28">
        <v>992000</v>
      </c>
      <c r="U47" s="28">
        <v>934000</v>
      </c>
      <c r="V47" s="28">
        <v>952000</v>
      </c>
      <c r="W47" s="28">
        <v>938000</v>
      </c>
      <c r="X47" s="28">
        <v>970000</v>
      </c>
      <c r="Y47" s="28">
        <v>753000</v>
      </c>
      <c r="Z47" s="28">
        <v>753000</v>
      </c>
      <c r="AA47" s="28">
        <v>753000</v>
      </c>
      <c r="AB47" s="28">
        <v>753000</v>
      </c>
      <c r="AC47" s="28">
        <v>749000</v>
      </c>
      <c r="AD47" s="28">
        <v>774000</v>
      </c>
      <c r="AE47" s="28">
        <v>774000</v>
      </c>
      <c r="AF47" s="28">
        <v>768000</v>
      </c>
      <c r="AG47" s="28">
        <v>753000</v>
      </c>
      <c r="AH47" s="28">
        <v>748000</v>
      </c>
      <c r="AI47" s="28">
        <v>748000</v>
      </c>
      <c r="AJ47" s="28">
        <v>748000</v>
      </c>
      <c r="AK47" s="28">
        <v>748000</v>
      </c>
      <c r="AL47" s="28">
        <v>723000</v>
      </c>
      <c r="AM47" s="28">
        <v>723000</v>
      </c>
      <c r="AN47" s="28">
        <v>748000</v>
      </c>
      <c r="AO47" s="28">
        <v>895000</v>
      </c>
    </row>
    <row r="48" spans="1:41" ht="15" x14ac:dyDescent="0.2">
      <c r="A48" s="26" t="s">
        <v>69</v>
      </c>
      <c r="B48" s="28">
        <v>1467000</v>
      </c>
      <c r="C48" s="28">
        <v>862000</v>
      </c>
      <c r="D48" s="25"/>
      <c r="E48" s="28">
        <v>1522000</v>
      </c>
      <c r="F48" s="25"/>
      <c r="G48" s="28">
        <v>883000</v>
      </c>
      <c r="H48" s="25"/>
      <c r="I48" s="28">
        <v>289000</v>
      </c>
      <c r="J48" s="28">
        <v>177000</v>
      </c>
      <c r="K48" s="28">
        <v>429000</v>
      </c>
      <c r="L48" s="28">
        <v>486000</v>
      </c>
      <c r="M48" s="28">
        <v>509000</v>
      </c>
      <c r="N48" s="28">
        <v>610000</v>
      </c>
      <c r="O48" s="28">
        <v>610000</v>
      </c>
      <c r="P48" s="28">
        <v>481000</v>
      </c>
      <c r="Q48" s="28">
        <v>673000</v>
      </c>
      <c r="R48" s="28">
        <v>302000</v>
      </c>
      <c r="S48" s="28">
        <v>605000</v>
      </c>
      <c r="T48" s="28">
        <v>681000</v>
      </c>
      <c r="U48" s="28">
        <v>605000</v>
      </c>
      <c r="V48" s="28">
        <v>629000</v>
      </c>
      <c r="W48" s="28">
        <v>610000</v>
      </c>
      <c r="X48" s="28">
        <v>654000</v>
      </c>
      <c r="Y48" s="28">
        <v>368000</v>
      </c>
      <c r="Z48" s="28">
        <v>368000</v>
      </c>
      <c r="AA48" s="28">
        <v>368000</v>
      </c>
      <c r="AB48" s="28">
        <v>368000</v>
      </c>
      <c r="AC48" s="28">
        <v>363000</v>
      </c>
      <c r="AD48" s="28">
        <v>396000</v>
      </c>
      <c r="AE48" s="28">
        <v>396000</v>
      </c>
      <c r="AF48" s="28">
        <v>389000</v>
      </c>
      <c r="AG48" s="28">
        <v>368000</v>
      </c>
      <c r="AH48" s="28">
        <v>361000</v>
      </c>
      <c r="AI48" s="28">
        <v>361000</v>
      </c>
      <c r="AJ48" s="28">
        <v>361000</v>
      </c>
      <c r="AK48" s="28">
        <v>352000</v>
      </c>
      <c r="AL48" s="28">
        <v>319000</v>
      </c>
      <c r="AM48" s="28">
        <v>319000</v>
      </c>
      <c r="AN48" s="28">
        <v>352000</v>
      </c>
      <c r="AO48" s="28">
        <v>551000</v>
      </c>
    </row>
    <row r="49" spans="1:41" ht="15" x14ac:dyDescent="0.2">
      <c r="A49" s="26" t="s">
        <v>70</v>
      </c>
      <c r="B49" s="28">
        <v>1651000</v>
      </c>
      <c r="C49" s="28">
        <v>970000</v>
      </c>
      <c r="D49" s="25"/>
      <c r="E49" s="28">
        <v>1713000</v>
      </c>
      <c r="F49" s="25"/>
      <c r="G49" s="28">
        <v>978000</v>
      </c>
      <c r="H49" s="33"/>
      <c r="I49" s="28">
        <v>324000</v>
      </c>
      <c r="J49" s="28">
        <v>198000</v>
      </c>
      <c r="K49" s="28">
        <v>481000</v>
      </c>
      <c r="L49" s="28">
        <v>544000</v>
      </c>
      <c r="M49" s="28">
        <v>568000</v>
      </c>
      <c r="N49" s="28">
        <v>682000</v>
      </c>
      <c r="O49" s="28">
        <v>682000</v>
      </c>
      <c r="P49" s="28">
        <v>539000</v>
      </c>
      <c r="Q49" s="28">
        <v>754000</v>
      </c>
      <c r="R49" s="28">
        <v>337000</v>
      </c>
      <c r="S49" s="28">
        <v>677000</v>
      </c>
      <c r="T49" s="28">
        <v>763000</v>
      </c>
      <c r="U49" s="28">
        <v>677000</v>
      </c>
      <c r="V49" s="28">
        <v>705000</v>
      </c>
      <c r="W49" s="28">
        <v>683000</v>
      </c>
      <c r="X49" s="28">
        <v>732000</v>
      </c>
      <c r="Y49" s="28">
        <v>413000</v>
      </c>
      <c r="Z49" s="28">
        <v>413000</v>
      </c>
      <c r="AA49" s="28">
        <v>413000</v>
      </c>
      <c r="AB49" s="28">
        <v>413000</v>
      </c>
      <c r="AC49" s="28">
        <v>407000</v>
      </c>
      <c r="AD49" s="28">
        <v>444000</v>
      </c>
      <c r="AE49" s="28">
        <v>444000</v>
      </c>
      <c r="AF49" s="28">
        <v>436000</v>
      </c>
      <c r="AG49" s="28">
        <v>413000</v>
      </c>
      <c r="AH49" s="28">
        <v>405000</v>
      </c>
      <c r="AI49" s="28">
        <v>405000</v>
      </c>
      <c r="AJ49" s="28">
        <v>405000</v>
      </c>
      <c r="AK49" s="28">
        <v>391000</v>
      </c>
      <c r="AL49" s="28">
        <v>354000</v>
      </c>
      <c r="AM49" s="28">
        <v>354000</v>
      </c>
      <c r="AN49" s="28">
        <v>391000</v>
      </c>
      <c r="AO49" s="28">
        <v>616000</v>
      </c>
    </row>
    <row r="50" spans="1:41" ht="15" x14ac:dyDescent="0.2">
      <c r="A50" s="26" t="s">
        <v>71</v>
      </c>
      <c r="B50" s="28">
        <v>1834000</v>
      </c>
      <c r="C50" s="28">
        <v>1078000</v>
      </c>
      <c r="D50" s="25"/>
      <c r="E50" s="28">
        <v>1904000</v>
      </c>
      <c r="F50" s="25"/>
      <c r="G50" s="28">
        <v>1073000</v>
      </c>
      <c r="H50" s="33"/>
      <c r="I50" s="28">
        <v>359000</v>
      </c>
      <c r="J50" s="28">
        <v>219000</v>
      </c>
      <c r="K50" s="28">
        <v>532000</v>
      </c>
      <c r="L50" s="28">
        <v>601000</v>
      </c>
      <c r="M50" s="28">
        <v>627000</v>
      </c>
      <c r="N50" s="28">
        <v>753000</v>
      </c>
      <c r="O50" s="28">
        <v>753000</v>
      </c>
      <c r="P50" s="28">
        <v>596000</v>
      </c>
      <c r="Q50" s="28">
        <v>835000</v>
      </c>
      <c r="R50" s="28">
        <v>372000</v>
      </c>
      <c r="S50" s="28">
        <v>749000</v>
      </c>
      <c r="T50" s="28">
        <v>845000</v>
      </c>
      <c r="U50" s="28">
        <v>749000</v>
      </c>
      <c r="V50" s="28">
        <v>780000</v>
      </c>
      <c r="W50" s="28">
        <v>756000</v>
      </c>
      <c r="X50" s="28">
        <v>811000</v>
      </c>
      <c r="Y50" s="28">
        <v>458000</v>
      </c>
      <c r="Z50" s="28">
        <v>458000</v>
      </c>
      <c r="AA50" s="28">
        <v>458000</v>
      </c>
      <c r="AB50" s="28">
        <v>458000</v>
      </c>
      <c r="AC50" s="28">
        <v>451000</v>
      </c>
      <c r="AD50" s="28">
        <v>493000</v>
      </c>
      <c r="AE50" s="28">
        <v>493000</v>
      </c>
      <c r="AF50" s="28">
        <v>484000</v>
      </c>
      <c r="AG50" s="28">
        <v>458000</v>
      </c>
      <c r="AH50" s="28">
        <v>449000</v>
      </c>
      <c r="AI50" s="28">
        <v>449000</v>
      </c>
      <c r="AJ50" s="28">
        <v>449000</v>
      </c>
      <c r="AK50" s="28">
        <v>431000</v>
      </c>
      <c r="AL50" s="28">
        <v>389000</v>
      </c>
      <c r="AM50" s="28">
        <v>389000</v>
      </c>
      <c r="AN50" s="28">
        <v>431000</v>
      </c>
      <c r="AO50" s="28">
        <v>681000</v>
      </c>
    </row>
    <row r="51" spans="1:41" ht="15" x14ac:dyDescent="0.2">
      <c r="A51" s="26" t="s">
        <v>72</v>
      </c>
      <c r="B51" s="28">
        <v>2018000</v>
      </c>
      <c r="C51" s="28">
        <v>1186000</v>
      </c>
      <c r="D51" s="25"/>
      <c r="E51" s="28">
        <v>2095000</v>
      </c>
      <c r="F51" s="25"/>
      <c r="G51" s="28">
        <v>1168000</v>
      </c>
      <c r="H51" s="33"/>
      <c r="I51" s="28">
        <v>393000</v>
      </c>
      <c r="J51" s="28">
        <v>240000</v>
      </c>
      <c r="K51" s="28">
        <v>583000</v>
      </c>
      <c r="L51" s="28">
        <v>659000</v>
      </c>
      <c r="M51" s="28">
        <v>687000</v>
      </c>
      <c r="N51" s="28">
        <v>824000</v>
      </c>
      <c r="O51" s="28">
        <v>824000</v>
      </c>
      <c r="P51" s="28">
        <v>653000</v>
      </c>
      <c r="Q51" s="28">
        <v>916000</v>
      </c>
      <c r="R51" s="28">
        <v>407000</v>
      </c>
      <c r="S51" s="28">
        <v>821000</v>
      </c>
      <c r="T51" s="28">
        <v>926000</v>
      </c>
      <c r="U51" s="28">
        <v>821000</v>
      </c>
      <c r="V51" s="28">
        <v>856000</v>
      </c>
      <c r="W51" s="28">
        <v>829000</v>
      </c>
      <c r="X51" s="28">
        <v>889000</v>
      </c>
      <c r="Y51" s="28">
        <v>503000</v>
      </c>
      <c r="Z51" s="28">
        <v>503000</v>
      </c>
      <c r="AA51" s="28">
        <v>503000</v>
      </c>
      <c r="AB51" s="28">
        <v>503000</v>
      </c>
      <c r="AC51" s="28">
        <v>496000</v>
      </c>
      <c r="AD51" s="28">
        <v>541000</v>
      </c>
      <c r="AE51" s="28">
        <v>541000</v>
      </c>
      <c r="AF51" s="28">
        <v>531000</v>
      </c>
      <c r="AG51" s="28">
        <v>503000</v>
      </c>
      <c r="AH51" s="28">
        <v>493000</v>
      </c>
      <c r="AI51" s="28">
        <v>493000</v>
      </c>
      <c r="AJ51" s="28">
        <v>493000</v>
      </c>
      <c r="AK51" s="28">
        <v>470000</v>
      </c>
      <c r="AL51" s="28">
        <v>424000</v>
      </c>
      <c r="AM51" s="28">
        <v>424000</v>
      </c>
      <c r="AN51" s="28">
        <v>470000</v>
      </c>
      <c r="AO51" s="28">
        <v>747000</v>
      </c>
    </row>
    <row r="52" spans="1:41" ht="15" x14ac:dyDescent="0.2">
      <c r="A52" s="26" t="s">
        <v>73</v>
      </c>
      <c r="B52" s="28">
        <v>2202000</v>
      </c>
      <c r="C52" s="28">
        <v>1295000</v>
      </c>
      <c r="D52" s="25"/>
      <c r="E52" s="28">
        <v>2286000</v>
      </c>
      <c r="F52" s="25"/>
      <c r="G52" s="28">
        <v>1263000</v>
      </c>
      <c r="H52" s="33"/>
      <c r="I52" s="28">
        <v>428000</v>
      </c>
      <c r="J52" s="28">
        <v>261000</v>
      </c>
      <c r="K52" s="28">
        <v>634000</v>
      </c>
      <c r="L52" s="28">
        <v>716000</v>
      </c>
      <c r="M52" s="28">
        <v>746000</v>
      </c>
      <c r="N52" s="28">
        <v>895000</v>
      </c>
      <c r="O52" s="28">
        <v>895000</v>
      </c>
      <c r="P52" s="28">
        <v>710000</v>
      </c>
      <c r="Q52" s="28">
        <v>997000</v>
      </c>
      <c r="R52" s="28">
        <v>442000</v>
      </c>
      <c r="S52" s="28">
        <v>893000</v>
      </c>
      <c r="T52" s="28">
        <v>1008000</v>
      </c>
      <c r="U52" s="28">
        <v>893000</v>
      </c>
      <c r="V52" s="28">
        <v>932000</v>
      </c>
      <c r="W52" s="28">
        <v>902000</v>
      </c>
      <c r="X52" s="28">
        <v>968000</v>
      </c>
      <c r="Y52" s="28">
        <v>547000</v>
      </c>
      <c r="Z52" s="28">
        <v>547000</v>
      </c>
      <c r="AA52" s="28">
        <v>547000</v>
      </c>
      <c r="AB52" s="28">
        <v>547000</v>
      </c>
      <c r="AC52" s="28">
        <v>540000</v>
      </c>
      <c r="AD52" s="28">
        <v>589000</v>
      </c>
      <c r="AE52" s="28">
        <v>589000</v>
      </c>
      <c r="AF52" s="28">
        <v>579000</v>
      </c>
      <c r="AG52" s="28">
        <v>547000</v>
      </c>
      <c r="AH52" s="28">
        <v>537000</v>
      </c>
      <c r="AI52" s="28">
        <v>537000</v>
      </c>
      <c r="AJ52" s="28">
        <v>537000</v>
      </c>
      <c r="AK52" s="28">
        <v>509000</v>
      </c>
      <c r="AL52" s="28">
        <v>459000</v>
      </c>
      <c r="AM52" s="28">
        <v>459000</v>
      </c>
      <c r="AN52" s="28">
        <v>509000</v>
      </c>
      <c r="AO52" s="28">
        <v>812000</v>
      </c>
    </row>
    <row r="53" spans="1:41" ht="18" x14ac:dyDescent="0.25">
      <c r="A53" s="30" t="s">
        <v>74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</row>
    <row r="54" spans="1:41" ht="15" x14ac:dyDescent="0.2">
      <c r="A54" s="31" t="s">
        <v>58</v>
      </c>
      <c r="B54" s="28">
        <v>1448000</v>
      </c>
      <c r="C54" s="28">
        <v>1047000</v>
      </c>
      <c r="D54" s="28">
        <v>1848000</v>
      </c>
      <c r="E54" s="28">
        <v>1485000</v>
      </c>
      <c r="F54" s="28">
        <v>2473000</v>
      </c>
      <c r="G54" s="28">
        <v>1070000</v>
      </c>
      <c r="H54" s="28">
        <v>1611000</v>
      </c>
      <c r="I54" s="28">
        <v>669000</v>
      </c>
      <c r="J54" s="28">
        <v>595000</v>
      </c>
      <c r="K54" s="28">
        <v>766000</v>
      </c>
      <c r="L54" s="28">
        <v>806000</v>
      </c>
      <c r="M54" s="28">
        <v>823000</v>
      </c>
      <c r="N54" s="28">
        <v>893000</v>
      </c>
      <c r="O54" s="28">
        <v>893000</v>
      </c>
      <c r="P54" s="28">
        <v>801000</v>
      </c>
      <c r="Q54" s="28">
        <v>929000</v>
      </c>
      <c r="R54" s="28">
        <v>681000</v>
      </c>
      <c r="S54" s="28">
        <v>884000</v>
      </c>
      <c r="T54" s="28">
        <v>935000</v>
      </c>
      <c r="U54" s="28">
        <v>884000</v>
      </c>
      <c r="V54" s="28">
        <v>900000</v>
      </c>
      <c r="W54" s="28">
        <v>887000</v>
      </c>
      <c r="X54" s="28">
        <v>916000</v>
      </c>
      <c r="Y54" s="28">
        <v>722000</v>
      </c>
      <c r="Z54" s="28">
        <v>722000</v>
      </c>
      <c r="AA54" s="28">
        <v>722000</v>
      </c>
      <c r="AB54" s="28">
        <v>722000</v>
      </c>
      <c r="AC54" s="28">
        <v>719000</v>
      </c>
      <c r="AD54" s="28">
        <v>740000</v>
      </c>
      <c r="AE54" s="28">
        <v>740000</v>
      </c>
      <c r="AF54" s="28">
        <v>736000</v>
      </c>
      <c r="AG54" s="28">
        <v>722000</v>
      </c>
      <c r="AH54" s="28">
        <v>717000</v>
      </c>
      <c r="AI54" s="28">
        <v>717000</v>
      </c>
      <c r="AJ54" s="28">
        <v>717000</v>
      </c>
      <c r="AK54" s="28">
        <v>720000</v>
      </c>
      <c r="AL54" s="28">
        <v>698000</v>
      </c>
      <c r="AM54" s="28">
        <v>698000</v>
      </c>
      <c r="AN54" s="28">
        <v>720000</v>
      </c>
      <c r="AO54" s="28">
        <v>850000</v>
      </c>
    </row>
    <row r="55" spans="1:41" ht="15" x14ac:dyDescent="0.2">
      <c r="A55" s="26" t="s">
        <v>59</v>
      </c>
      <c r="B55" s="28">
        <v>1571000</v>
      </c>
      <c r="C55" s="28">
        <v>1119000</v>
      </c>
      <c r="D55" s="28">
        <v>2021000</v>
      </c>
      <c r="E55" s="28">
        <v>1612000</v>
      </c>
      <c r="F55" s="28">
        <v>2725000</v>
      </c>
      <c r="G55" s="28">
        <v>1124000</v>
      </c>
      <c r="H55" s="28">
        <v>1776000</v>
      </c>
      <c r="I55" s="28">
        <v>692000</v>
      </c>
      <c r="J55" s="28">
        <v>608000</v>
      </c>
      <c r="K55" s="28">
        <v>799000</v>
      </c>
      <c r="L55" s="28">
        <v>843000</v>
      </c>
      <c r="M55" s="28">
        <v>861000</v>
      </c>
      <c r="N55" s="28">
        <v>938000</v>
      </c>
      <c r="O55" s="28">
        <v>938000</v>
      </c>
      <c r="P55" s="28">
        <v>838000</v>
      </c>
      <c r="Q55" s="28">
        <v>982000</v>
      </c>
      <c r="R55" s="28">
        <v>704000</v>
      </c>
      <c r="S55" s="28">
        <v>931000</v>
      </c>
      <c r="T55" s="28">
        <v>988000</v>
      </c>
      <c r="U55" s="28">
        <v>931000</v>
      </c>
      <c r="V55" s="28">
        <v>949000</v>
      </c>
      <c r="W55" s="28">
        <v>935000</v>
      </c>
      <c r="X55" s="28">
        <v>968000</v>
      </c>
      <c r="Y55" s="28">
        <v>751000</v>
      </c>
      <c r="Z55" s="28">
        <v>751000</v>
      </c>
      <c r="AA55" s="28">
        <v>751000</v>
      </c>
      <c r="AB55" s="28">
        <v>751000</v>
      </c>
      <c r="AC55" s="28">
        <v>748000</v>
      </c>
      <c r="AD55" s="28">
        <v>772000</v>
      </c>
      <c r="AE55" s="28">
        <v>772000</v>
      </c>
      <c r="AF55" s="28">
        <v>767000</v>
      </c>
      <c r="AG55" s="28">
        <v>751000</v>
      </c>
      <c r="AH55" s="28">
        <v>746000</v>
      </c>
      <c r="AI55" s="28">
        <v>746000</v>
      </c>
      <c r="AJ55" s="28">
        <v>746000</v>
      </c>
      <c r="AK55" s="28">
        <v>744000</v>
      </c>
      <c r="AL55" s="28">
        <v>719000</v>
      </c>
      <c r="AM55" s="28">
        <v>719000</v>
      </c>
      <c r="AN55" s="28">
        <v>744000</v>
      </c>
      <c r="AO55" s="28">
        <v>892000</v>
      </c>
    </row>
    <row r="56" spans="1:41" ht="15" x14ac:dyDescent="0.2">
      <c r="A56" s="26" t="s">
        <v>60</v>
      </c>
      <c r="B56" s="28">
        <v>1644000</v>
      </c>
      <c r="C56" s="28">
        <v>1162000</v>
      </c>
      <c r="D56" s="28">
        <v>2125000</v>
      </c>
      <c r="E56" s="28">
        <v>1689000</v>
      </c>
      <c r="F56" s="28">
        <v>2876000</v>
      </c>
      <c r="G56" s="28">
        <v>1157000</v>
      </c>
      <c r="H56" s="28">
        <v>1874000</v>
      </c>
      <c r="I56" s="28">
        <v>705000</v>
      </c>
      <c r="J56" s="28">
        <v>616000</v>
      </c>
      <c r="K56" s="28">
        <v>819000</v>
      </c>
      <c r="L56" s="28">
        <v>865000</v>
      </c>
      <c r="M56" s="28">
        <v>884000</v>
      </c>
      <c r="N56" s="28">
        <v>965000</v>
      </c>
      <c r="O56" s="28">
        <v>965000</v>
      </c>
      <c r="P56" s="28">
        <v>860000</v>
      </c>
      <c r="Q56" s="28">
        <v>1013000</v>
      </c>
      <c r="R56" s="28">
        <v>717000</v>
      </c>
      <c r="S56" s="28">
        <v>959000</v>
      </c>
      <c r="T56" s="28">
        <v>1020000</v>
      </c>
      <c r="U56" s="28">
        <v>959000</v>
      </c>
      <c r="V56" s="28">
        <v>979000</v>
      </c>
      <c r="W56" s="28">
        <v>963000</v>
      </c>
      <c r="X56" s="28">
        <v>998000</v>
      </c>
      <c r="Y56" s="28">
        <v>769000</v>
      </c>
      <c r="Z56" s="28">
        <v>769000</v>
      </c>
      <c r="AA56" s="28">
        <v>769000</v>
      </c>
      <c r="AB56" s="28">
        <v>769000</v>
      </c>
      <c r="AC56" s="28">
        <v>765000</v>
      </c>
      <c r="AD56" s="28">
        <v>791000</v>
      </c>
      <c r="AE56" s="28">
        <v>791000</v>
      </c>
      <c r="AF56" s="28">
        <v>786000</v>
      </c>
      <c r="AG56" s="28">
        <v>769000</v>
      </c>
      <c r="AH56" s="28">
        <v>763000</v>
      </c>
      <c r="AI56" s="28">
        <v>763000</v>
      </c>
      <c r="AJ56" s="28">
        <v>763000</v>
      </c>
      <c r="AK56" s="28">
        <v>759000</v>
      </c>
      <c r="AL56" s="28">
        <v>732000</v>
      </c>
      <c r="AM56" s="28">
        <v>732000</v>
      </c>
      <c r="AN56" s="28">
        <v>759000</v>
      </c>
      <c r="AO56" s="28">
        <v>917000</v>
      </c>
    </row>
    <row r="57" spans="1:41" ht="15" x14ac:dyDescent="0.2">
      <c r="A57" s="26" t="s">
        <v>61</v>
      </c>
      <c r="B57" s="28">
        <v>1693000</v>
      </c>
      <c r="C57" s="28">
        <v>1191000</v>
      </c>
      <c r="D57" s="28">
        <v>2194000</v>
      </c>
      <c r="E57" s="28">
        <v>1740000</v>
      </c>
      <c r="F57" s="28">
        <v>2977000</v>
      </c>
      <c r="G57" s="28">
        <v>1179000</v>
      </c>
      <c r="H57" s="28">
        <v>1940000</v>
      </c>
      <c r="I57" s="28">
        <v>715000</v>
      </c>
      <c r="J57" s="28">
        <v>622000</v>
      </c>
      <c r="K57" s="28">
        <v>832000</v>
      </c>
      <c r="L57" s="28">
        <v>880000</v>
      </c>
      <c r="M57" s="28">
        <v>899000</v>
      </c>
      <c r="N57" s="28">
        <v>983000</v>
      </c>
      <c r="O57" s="28">
        <v>983000</v>
      </c>
      <c r="P57" s="28">
        <v>875000</v>
      </c>
      <c r="Q57" s="28">
        <v>1034000</v>
      </c>
      <c r="R57" s="28">
        <v>726000</v>
      </c>
      <c r="S57" s="28">
        <v>978000</v>
      </c>
      <c r="T57" s="28">
        <v>1042000</v>
      </c>
      <c r="U57" s="28">
        <v>978000</v>
      </c>
      <c r="V57" s="28">
        <v>998000</v>
      </c>
      <c r="W57" s="28">
        <v>982000</v>
      </c>
      <c r="X57" s="28">
        <v>1019000</v>
      </c>
      <c r="Y57" s="28">
        <v>781000</v>
      </c>
      <c r="Z57" s="28">
        <v>781000</v>
      </c>
      <c r="AA57" s="28">
        <v>781000</v>
      </c>
      <c r="AB57" s="28">
        <v>781000</v>
      </c>
      <c r="AC57" s="28">
        <v>776000</v>
      </c>
      <c r="AD57" s="28">
        <v>804000</v>
      </c>
      <c r="AE57" s="28">
        <v>804000</v>
      </c>
      <c r="AF57" s="28">
        <v>798000</v>
      </c>
      <c r="AG57" s="28">
        <v>781000</v>
      </c>
      <c r="AH57" s="28">
        <v>775000</v>
      </c>
      <c r="AI57" s="28">
        <v>775000</v>
      </c>
      <c r="AJ57" s="28">
        <v>775000</v>
      </c>
      <c r="AK57" s="28">
        <v>768000</v>
      </c>
      <c r="AL57" s="28">
        <v>741000</v>
      </c>
      <c r="AM57" s="28">
        <v>741000</v>
      </c>
      <c r="AN57" s="28">
        <v>768000</v>
      </c>
      <c r="AO57" s="28">
        <v>934000</v>
      </c>
    </row>
    <row r="58" spans="1:41" ht="15" x14ac:dyDescent="0.2">
      <c r="A58" s="26" t="s">
        <v>62</v>
      </c>
      <c r="B58" s="28">
        <v>1816000</v>
      </c>
      <c r="C58" s="28">
        <v>1263000</v>
      </c>
      <c r="D58" s="28">
        <v>2367000</v>
      </c>
      <c r="E58" s="28">
        <v>1867000</v>
      </c>
      <c r="F58" s="28">
        <v>3229000</v>
      </c>
      <c r="G58" s="28">
        <v>1234000</v>
      </c>
      <c r="H58" s="28">
        <v>2104000</v>
      </c>
      <c r="I58" s="28">
        <v>737000</v>
      </c>
      <c r="J58" s="28">
        <v>635000</v>
      </c>
      <c r="K58" s="28">
        <v>865000</v>
      </c>
      <c r="L58" s="28">
        <v>917000</v>
      </c>
      <c r="M58" s="28">
        <v>936000</v>
      </c>
      <c r="N58" s="28">
        <v>1029000</v>
      </c>
      <c r="O58" s="28">
        <v>1029000</v>
      </c>
      <c r="P58" s="28">
        <v>912000</v>
      </c>
      <c r="Q58" s="28">
        <v>1087000</v>
      </c>
      <c r="R58" s="28">
        <v>749000</v>
      </c>
      <c r="S58" s="28">
        <v>1025000</v>
      </c>
      <c r="T58" s="28">
        <v>1095000</v>
      </c>
      <c r="U58" s="28">
        <v>1025000</v>
      </c>
      <c r="V58" s="28">
        <v>1048000</v>
      </c>
      <c r="W58" s="28">
        <v>1030000</v>
      </c>
      <c r="X58" s="28">
        <v>1070000</v>
      </c>
      <c r="Y58" s="28">
        <v>810000</v>
      </c>
      <c r="Z58" s="28">
        <v>810000</v>
      </c>
      <c r="AA58" s="28">
        <v>810000</v>
      </c>
      <c r="AB58" s="28">
        <v>810000</v>
      </c>
      <c r="AC58" s="28">
        <v>805000</v>
      </c>
      <c r="AD58" s="28">
        <v>836000</v>
      </c>
      <c r="AE58" s="28">
        <v>836000</v>
      </c>
      <c r="AF58" s="28">
        <v>829000</v>
      </c>
      <c r="AG58" s="28">
        <v>810000</v>
      </c>
      <c r="AH58" s="28">
        <v>804000</v>
      </c>
      <c r="AI58" s="28">
        <v>804000</v>
      </c>
      <c r="AJ58" s="28">
        <v>804000</v>
      </c>
      <c r="AK58" s="28">
        <v>793000</v>
      </c>
      <c r="AL58" s="28">
        <v>762000</v>
      </c>
      <c r="AM58" s="28">
        <v>762000</v>
      </c>
      <c r="AN58" s="28">
        <v>793000</v>
      </c>
      <c r="AO58" s="28">
        <v>976000</v>
      </c>
    </row>
    <row r="59" spans="1:41" ht="15" x14ac:dyDescent="0.2">
      <c r="A59" s="26" t="s">
        <v>63</v>
      </c>
      <c r="B59" s="28">
        <v>1939000</v>
      </c>
      <c r="C59" s="28">
        <v>1335000</v>
      </c>
      <c r="D59" s="28">
        <v>2540000</v>
      </c>
      <c r="E59" s="28">
        <v>1994000</v>
      </c>
      <c r="F59" s="28">
        <v>3481000</v>
      </c>
      <c r="G59" s="28">
        <v>1289000</v>
      </c>
      <c r="H59" s="28">
        <v>2269000</v>
      </c>
      <c r="I59" s="28">
        <v>760000</v>
      </c>
      <c r="J59" s="28">
        <v>649000</v>
      </c>
      <c r="K59" s="28">
        <v>898000</v>
      </c>
      <c r="L59" s="28">
        <v>954000</v>
      </c>
      <c r="M59" s="28">
        <v>974000</v>
      </c>
      <c r="N59" s="28">
        <v>1074000</v>
      </c>
      <c r="O59" s="28">
        <v>1074000</v>
      </c>
      <c r="P59" s="28">
        <v>949000</v>
      </c>
      <c r="Q59" s="28">
        <v>1140000</v>
      </c>
      <c r="R59" s="28">
        <v>771000</v>
      </c>
      <c r="S59" s="28">
        <v>1072000</v>
      </c>
      <c r="T59" s="28">
        <v>1148000</v>
      </c>
      <c r="U59" s="28">
        <v>1072000</v>
      </c>
      <c r="V59" s="28">
        <v>1097000</v>
      </c>
      <c r="W59" s="28">
        <v>1077000</v>
      </c>
      <c r="X59" s="28">
        <v>1121000</v>
      </c>
      <c r="Y59" s="28">
        <v>839000</v>
      </c>
      <c r="Z59" s="28">
        <v>839000</v>
      </c>
      <c r="AA59" s="28">
        <v>839000</v>
      </c>
      <c r="AB59" s="28">
        <v>839000</v>
      </c>
      <c r="AC59" s="28">
        <v>834000</v>
      </c>
      <c r="AD59" s="28">
        <v>867000</v>
      </c>
      <c r="AE59" s="28">
        <v>867000</v>
      </c>
      <c r="AF59" s="28">
        <v>860000</v>
      </c>
      <c r="AG59" s="28">
        <v>839000</v>
      </c>
      <c r="AH59" s="28">
        <v>833000</v>
      </c>
      <c r="AI59" s="28">
        <v>833000</v>
      </c>
      <c r="AJ59" s="28">
        <v>833000</v>
      </c>
      <c r="AK59" s="28">
        <v>817000</v>
      </c>
      <c r="AL59" s="28">
        <v>784000</v>
      </c>
      <c r="AM59" s="28">
        <v>784000</v>
      </c>
      <c r="AN59" s="28">
        <v>817000</v>
      </c>
      <c r="AO59" s="28">
        <v>1018000</v>
      </c>
    </row>
    <row r="60" spans="1:41" ht="18" x14ac:dyDescent="0.25">
      <c r="A60" s="30" t="s">
        <v>75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</row>
    <row r="61" spans="1:41" ht="15" x14ac:dyDescent="0.2">
      <c r="A61" s="31" t="s">
        <v>58</v>
      </c>
      <c r="B61" s="28">
        <v>1692000</v>
      </c>
      <c r="C61" s="28">
        <v>1190000</v>
      </c>
      <c r="D61" s="28">
        <v>2191000</v>
      </c>
      <c r="E61" s="28">
        <v>1738000</v>
      </c>
      <c r="F61" s="28">
        <v>2973000</v>
      </c>
      <c r="G61" s="28">
        <v>1161000</v>
      </c>
      <c r="H61" s="28">
        <v>1900000</v>
      </c>
      <c r="I61" s="28">
        <v>715000</v>
      </c>
      <c r="J61" s="28">
        <v>622000</v>
      </c>
      <c r="K61" s="28">
        <v>833000</v>
      </c>
      <c r="L61" s="28">
        <v>881000</v>
      </c>
      <c r="M61" s="28">
        <v>900000</v>
      </c>
      <c r="N61" s="28">
        <v>985000</v>
      </c>
      <c r="O61" s="28">
        <v>985000</v>
      </c>
      <c r="P61" s="28">
        <v>876000</v>
      </c>
      <c r="Q61" s="28">
        <v>1035000</v>
      </c>
      <c r="R61" s="28">
        <v>727000</v>
      </c>
      <c r="S61" s="28">
        <v>979000</v>
      </c>
      <c r="T61" s="28">
        <v>1042000</v>
      </c>
      <c r="U61" s="28">
        <v>979000</v>
      </c>
      <c r="V61" s="28">
        <v>999000</v>
      </c>
      <c r="W61" s="28">
        <v>983000</v>
      </c>
      <c r="X61" s="28">
        <v>1019000</v>
      </c>
      <c r="Y61" s="28">
        <v>781000</v>
      </c>
      <c r="Z61" s="28">
        <v>781000</v>
      </c>
      <c r="AA61" s="28">
        <v>781000</v>
      </c>
      <c r="AB61" s="28">
        <v>781000</v>
      </c>
      <c r="AC61" s="28">
        <v>777000</v>
      </c>
      <c r="AD61" s="28">
        <v>804000</v>
      </c>
      <c r="AE61" s="28">
        <v>804000</v>
      </c>
      <c r="AF61" s="28">
        <v>798000</v>
      </c>
      <c r="AG61" s="28">
        <v>781000</v>
      </c>
      <c r="AH61" s="28">
        <v>775000</v>
      </c>
      <c r="AI61" s="28">
        <v>775000</v>
      </c>
      <c r="AJ61" s="28">
        <v>775000</v>
      </c>
      <c r="AK61" s="28">
        <v>770000</v>
      </c>
      <c r="AL61" s="28">
        <v>743000</v>
      </c>
      <c r="AM61" s="28">
        <v>743000</v>
      </c>
      <c r="AN61" s="28">
        <v>770000</v>
      </c>
      <c r="AO61" s="28">
        <v>935000</v>
      </c>
    </row>
    <row r="62" spans="1:41" ht="15" x14ac:dyDescent="0.2">
      <c r="A62" s="26" t="s">
        <v>59</v>
      </c>
      <c r="B62" s="28">
        <v>1845000</v>
      </c>
      <c r="C62" s="28">
        <v>1280000</v>
      </c>
      <c r="D62" s="28">
        <v>2407000</v>
      </c>
      <c r="E62" s="28">
        <v>1897000</v>
      </c>
      <c r="F62" s="28">
        <v>3288000</v>
      </c>
      <c r="G62" s="28">
        <v>1224000</v>
      </c>
      <c r="H62" s="28">
        <v>2111000</v>
      </c>
      <c r="I62" s="28">
        <v>743000</v>
      </c>
      <c r="J62" s="28">
        <v>639000</v>
      </c>
      <c r="K62" s="28">
        <v>873000</v>
      </c>
      <c r="L62" s="28">
        <v>926000</v>
      </c>
      <c r="M62" s="28">
        <v>946000</v>
      </c>
      <c r="N62" s="28">
        <v>1041000</v>
      </c>
      <c r="O62" s="28">
        <v>1041000</v>
      </c>
      <c r="P62" s="28">
        <v>922000</v>
      </c>
      <c r="Q62" s="28">
        <v>1100000</v>
      </c>
      <c r="R62" s="28">
        <v>754000</v>
      </c>
      <c r="S62" s="28">
        <v>1036000</v>
      </c>
      <c r="T62" s="28">
        <v>1108000</v>
      </c>
      <c r="U62" s="28">
        <v>1036000</v>
      </c>
      <c r="V62" s="28">
        <v>1060000</v>
      </c>
      <c r="W62" s="28">
        <v>1042000</v>
      </c>
      <c r="X62" s="28">
        <v>1082000</v>
      </c>
      <c r="Y62" s="28">
        <v>817000</v>
      </c>
      <c r="Z62" s="28">
        <v>817000</v>
      </c>
      <c r="AA62" s="28">
        <v>817000</v>
      </c>
      <c r="AB62" s="28">
        <v>817000</v>
      </c>
      <c r="AC62" s="28">
        <v>812000</v>
      </c>
      <c r="AD62" s="28">
        <v>843000</v>
      </c>
      <c r="AE62" s="28">
        <v>843000</v>
      </c>
      <c r="AF62" s="28">
        <v>837000</v>
      </c>
      <c r="AG62" s="28">
        <v>817000</v>
      </c>
      <c r="AH62" s="28">
        <v>811000</v>
      </c>
      <c r="AI62" s="28">
        <v>811000</v>
      </c>
      <c r="AJ62" s="28">
        <v>811000</v>
      </c>
      <c r="AK62" s="28">
        <v>799000</v>
      </c>
      <c r="AL62" s="28">
        <v>768000</v>
      </c>
      <c r="AM62" s="28">
        <v>768000</v>
      </c>
      <c r="AN62" s="28">
        <v>799000</v>
      </c>
      <c r="AO62" s="28">
        <v>986000</v>
      </c>
    </row>
    <row r="63" spans="1:41" ht="15" x14ac:dyDescent="0.2">
      <c r="A63" s="26" t="s">
        <v>60</v>
      </c>
      <c r="B63" s="28">
        <v>1937000</v>
      </c>
      <c r="C63" s="28">
        <v>1334000</v>
      </c>
      <c r="D63" s="28">
        <v>2537000</v>
      </c>
      <c r="E63" s="28">
        <v>1992000</v>
      </c>
      <c r="F63" s="28">
        <v>3477000</v>
      </c>
      <c r="G63" s="28">
        <v>1261000</v>
      </c>
      <c r="H63" s="28">
        <v>2239000</v>
      </c>
      <c r="I63" s="28">
        <v>760000</v>
      </c>
      <c r="J63" s="28">
        <v>649000</v>
      </c>
      <c r="K63" s="28">
        <v>898000</v>
      </c>
      <c r="L63" s="28">
        <v>953000</v>
      </c>
      <c r="M63" s="28">
        <v>974000</v>
      </c>
      <c r="N63" s="28">
        <v>1074000</v>
      </c>
      <c r="O63" s="28">
        <v>1074000</v>
      </c>
      <c r="P63" s="28">
        <v>949000</v>
      </c>
      <c r="Q63" s="28">
        <v>1139000</v>
      </c>
      <c r="R63" s="28">
        <v>771000</v>
      </c>
      <c r="S63" s="28">
        <v>1071000</v>
      </c>
      <c r="T63" s="28">
        <v>1147000</v>
      </c>
      <c r="U63" s="28">
        <v>1071000</v>
      </c>
      <c r="V63" s="28">
        <v>1096000</v>
      </c>
      <c r="W63" s="28">
        <v>1077000</v>
      </c>
      <c r="X63" s="28">
        <v>1120000</v>
      </c>
      <c r="Y63" s="28">
        <v>839000</v>
      </c>
      <c r="Z63" s="28">
        <v>839000</v>
      </c>
      <c r="AA63" s="28">
        <v>839000</v>
      </c>
      <c r="AB63" s="28">
        <v>839000</v>
      </c>
      <c r="AC63" s="28">
        <v>834000</v>
      </c>
      <c r="AD63" s="28">
        <v>867000</v>
      </c>
      <c r="AE63" s="28">
        <v>867000</v>
      </c>
      <c r="AF63" s="28">
        <v>860000</v>
      </c>
      <c r="AG63" s="28">
        <v>839000</v>
      </c>
      <c r="AH63" s="28">
        <v>832000</v>
      </c>
      <c r="AI63" s="28">
        <v>832000</v>
      </c>
      <c r="AJ63" s="28">
        <v>832000</v>
      </c>
      <c r="AK63" s="28">
        <v>817000</v>
      </c>
      <c r="AL63" s="28">
        <v>784000</v>
      </c>
      <c r="AM63" s="28">
        <v>784000</v>
      </c>
      <c r="AN63" s="28">
        <v>817000</v>
      </c>
      <c r="AO63" s="28">
        <v>1017000</v>
      </c>
    </row>
    <row r="64" spans="1:41" ht="15" x14ac:dyDescent="0.2">
      <c r="A64" s="26" t="s">
        <v>61</v>
      </c>
      <c r="B64" s="28">
        <v>1998000</v>
      </c>
      <c r="C64" s="28">
        <v>1370000</v>
      </c>
      <c r="D64" s="28">
        <v>2624000</v>
      </c>
      <c r="E64" s="28">
        <v>2056000</v>
      </c>
      <c r="F64" s="28">
        <v>3603000</v>
      </c>
      <c r="G64" s="28">
        <v>1286000</v>
      </c>
      <c r="H64" s="28">
        <v>2323000</v>
      </c>
      <c r="I64" s="28">
        <v>771000</v>
      </c>
      <c r="J64" s="28">
        <v>655000</v>
      </c>
      <c r="K64" s="28">
        <v>914000</v>
      </c>
      <c r="L64" s="28">
        <v>971000</v>
      </c>
      <c r="M64" s="28">
        <v>992000</v>
      </c>
      <c r="N64" s="28">
        <v>1096000</v>
      </c>
      <c r="O64" s="28">
        <v>1096000</v>
      </c>
      <c r="P64" s="28">
        <v>967000</v>
      </c>
      <c r="Q64" s="28">
        <v>1165000</v>
      </c>
      <c r="R64" s="28">
        <v>782000</v>
      </c>
      <c r="S64" s="28">
        <v>1094000</v>
      </c>
      <c r="T64" s="28">
        <v>1173000</v>
      </c>
      <c r="U64" s="28">
        <v>1094000</v>
      </c>
      <c r="V64" s="28">
        <v>1120000</v>
      </c>
      <c r="W64" s="28">
        <v>1100000</v>
      </c>
      <c r="X64" s="28">
        <v>1146000</v>
      </c>
      <c r="Y64" s="28">
        <v>854000</v>
      </c>
      <c r="Z64" s="28">
        <v>854000</v>
      </c>
      <c r="AA64" s="28">
        <v>854000</v>
      </c>
      <c r="AB64" s="28">
        <v>854000</v>
      </c>
      <c r="AC64" s="28">
        <v>848000</v>
      </c>
      <c r="AD64" s="28">
        <v>882000</v>
      </c>
      <c r="AE64" s="28">
        <v>882000</v>
      </c>
      <c r="AF64" s="28">
        <v>875000</v>
      </c>
      <c r="AG64" s="28">
        <v>854000</v>
      </c>
      <c r="AH64" s="28">
        <v>846000</v>
      </c>
      <c r="AI64" s="28">
        <v>846000</v>
      </c>
      <c r="AJ64" s="28">
        <v>846000</v>
      </c>
      <c r="AK64" s="28">
        <v>828000</v>
      </c>
      <c r="AL64" s="28">
        <v>794000</v>
      </c>
      <c r="AM64" s="28">
        <v>794000</v>
      </c>
      <c r="AN64" s="28">
        <v>828000</v>
      </c>
      <c r="AO64" s="28">
        <v>1038000</v>
      </c>
    </row>
    <row r="65" spans="1:41" ht="15" x14ac:dyDescent="0.2">
      <c r="A65" s="26" t="s">
        <v>62</v>
      </c>
      <c r="B65" s="28">
        <v>2151000</v>
      </c>
      <c r="C65" s="28">
        <v>1460000</v>
      </c>
      <c r="D65" s="28">
        <v>2840000</v>
      </c>
      <c r="E65" s="28">
        <v>2215000</v>
      </c>
      <c r="F65" s="28">
        <v>3917000</v>
      </c>
      <c r="G65" s="28">
        <v>1348000</v>
      </c>
      <c r="H65" s="28">
        <v>2535000</v>
      </c>
      <c r="I65" s="28">
        <v>799000</v>
      </c>
      <c r="J65" s="28">
        <v>672000</v>
      </c>
      <c r="K65" s="28">
        <v>954000</v>
      </c>
      <c r="L65" s="28">
        <v>1017000</v>
      </c>
      <c r="M65" s="28">
        <v>1038000</v>
      </c>
      <c r="N65" s="28">
        <v>1151000</v>
      </c>
      <c r="O65" s="28">
        <v>1151000</v>
      </c>
      <c r="P65" s="28">
        <v>1013000</v>
      </c>
      <c r="Q65" s="28">
        <v>1230000</v>
      </c>
      <c r="R65" s="28">
        <v>809000</v>
      </c>
      <c r="S65" s="28">
        <v>1151000</v>
      </c>
      <c r="T65" s="28">
        <v>1239000</v>
      </c>
      <c r="U65" s="28">
        <v>1151000</v>
      </c>
      <c r="V65" s="28">
        <v>1181000</v>
      </c>
      <c r="W65" s="28">
        <v>1159000</v>
      </c>
      <c r="X65" s="28">
        <v>1209000</v>
      </c>
      <c r="Y65" s="28">
        <v>890000</v>
      </c>
      <c r="Z65" s="28">
        <v>890000</v>
      </c>
      <c r="AA65" s="28">
        <v>890000</v>
      </c>
      <c r="AB65" s="28">
        <v>890000</v>
      </c>
      <c r="AC65" s="28">
        <v>884000</v>
      </c>
      <c r="AD65" s="28">
        <v>922000</v>
      </c>
      <c r="AE65" s="28">
        <v>922000</v>
      </c>
      <c r="AF65" s="28">
        <v>914000</v>
      </c>
      <c r="AG65" s="28">
        <v>890000</v>
      </c>
      <c r="AH65" s="28">
        <v>882000</v>
      </c>
      <c r="AI65" s="28">
        <v>882000</v>
      </c>
      <c r="AJ65" s="28">
        <v>882000</v>
      </c>
      <c r="AK65" s="28">
        <v>857000</v>
      </c>
      <c r="AL65" s="28">
        <v>819000</v>
      </c>
      <c r="AM65" s="28">
        <v>819000</v>
      </c>
      <c r="AN65" s="28">
        <v>857000</v>
      </c>
      <c r="AO65" s="28">
        <v>1089000</v>
      </c>
    </row>
    <row r="66" spans="1:41" ht="15" x14ac:dyDescent="0.2">
      <c r="A66" s="26" t="s">
        <v>63</v>
      </c>
      <c r="B66" s="28">
        <v>2305000</v>
      </c>
      <c r="C66" s="28">
        <v>1550000</v>
      </c>
      <c r="D66" s="28">
        <v>3056000</v>
      </c>
      <c r="E66" s="28">
        <v>2374000</v>
      </c>
      <c r="F66" s="28">
        <v>4232000</v>
      </c>
      <c r="G66" s="28">
        <v>1410000</v>
      </c>
      <c r="H66" s="28">
        <v>2747000</v>
      </c>
      <c r="I66" s="28">
        <v>827000</v>
      </c>
      <c r="J66" s="28">
        <v>688000</v>
      </c>
      <c r="K66" s="28">
        <v>995000</v>
      </c>
      <c r="L66" s="28">
        <v>1062000</v>
      </c>
      <c r="M66" s="28">
        <v>1084000</v>
      </c>
      <c r="N66" s="28">
        <v>1206000</v>
      </c>
      <c r="O66" s="28">
        <v>1206000</v>
      </c>
      <c r="P66" s="28">
        <v>1058000</v>
      </c>
      <c r="Q66" s="28">
        <v>1296000</v>
      </c>
      <c r="R66" s="28">
        <v>836000</v>
      </c>
      <c r="S66" s="28">
        <v>1209000</v>
      </c>
      <c r="T66" s="28">
        <v>1304000</v>
      </c>
      <c r="U66" s="28">
        <v>1209000</v>
      </c>
      <c r="V66" s="28">
        <v>1241000</v>
      </c>
      <c r="W66" s="28">
        <v>1217000</v>
      </c>
      <c r="X66" s="28">
        <v>1272000</v>
      </c>
      <c r="Y66" s="28">
        <v>926000</v>
      </c>
      <c r="Z66" s="28">
        <v>926000</v>
      </c>
      <c r="AA66" s="28">
        <v>926000</v>
      </c>
      <c r="AB66" s="28">
        <v>926000</v>
      </c>
      <c r="AC66" s="28">
        <v>920000</v>
      </c>
      <c r="AD66" s="28">
        <v>961000</v>
      </c>
      <c r="AE66" s="28">
        <v>961000</v>
      </c>
      <c r="AF66" s="28">
        <v>952000</v>
      </c>
      <c r="AG66" s="28">
        <v>926000</v>
      </c>
      <c r="AH66" s="28">
        <v>918000</v>
      </c>
      <c r="AI66" s="28">
        <v>918000</v>
      </c>
      <c r="AJ66" s="28">
        <v>918000</v>
      </c>
      <c r="AK66" s="28">
        <v>887000</v>
      </c>
      <c r="AL66" s="28">
        <v>845000</v>
      </c>
      <c r="AM66" s="28">
        <v>845000</v>
      </c>
      <c r="AN66" s="28">
        <v>887000</v>
      </c>
      <c r="AO66" s="28">
        <v>1140000</v>
      </c>
    </row>
    <row r="67" spans="1:41" ht="18" x14ac:dyDescent="0.25">
      <c r="A67" s="30" t="s">
        <v>76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</row>
    <row r="68" spans="1:41" ht="15" x14ac:dyDescent="0.2">
      <c r="A68" s="31" t="s">
        <v>58</v>
      </c>
      <c r="B68" s="28">
        <v>2334000</v>
      </c>
      <c r="C68" s="28">
        <v>1665000</v>
      </c>
      <c r="D68" s="28">
        <v>3000000</v>
      </c>
      <c r="E68" s="28">
        <v>2396000</v>
      </c>
      <c r="F68" s="28">
        <v>4043000</v>
      </c>
      <c r="G68" s="28">
        <v>1551000</v>
      </c>
      <c r="H68" s="28">
        <v>2618000</v>
      </c>
      <c r="I68" s="28">
        <v>1028000</v>
      </c>
      <c r="J68" s="28">
        <v>905000</v>
      </c>
      <c r="K68" s="28">
        <v>1181000</v>
      </c>
      <c r="L68" s="28">
        <v>1243000</v>
      </c>
      <c r="M68" s="28">
        <v>1266000</v>
      </c>
      <c r="N68" s="28">
        <v>1377000</v>
      </c>
      <c r="O68" s="28">
        <v>1377000</v>
      </c>
      <c r="P68" s="28">
        <v>1238000</v>
      </c>
      <c r="Q68" s="28">
        <v>1449000</v>
      </c>
      <c r="R68" s="28">
        <v>1040000</v>
      </c>
      <c r="S68" s="28">
        <v>1374000</v>
      </c>
      <c r="T68" s="28">
        <v>1458000</v>
      </c>
      <c r="U68" s="28">
        <v>1374000</v>
      </c>
      <c r="V68" s="28">
        <v>1401000</v>
      </c>
      <c r="W68" s="28">
        <v>1380000</v>
      </c>
      <c r="X68" s="28">
        <v>1428000</v>
      </c>
      <c r="Y68" s="28">
        <v>1116000</v>
      </c>
      <c r="Z68" s="28">
        <v>1116000</v>
      </c>
      <c r="AA68" s="28">
        <v>1116000</v>
      </c>
      <c r="AB68" s="28">
        <v>1116000</v>
      </c>
      <c r="AC68" s="28">
        <v>1110000</v>
      </c>
      <c r="AD68" s="28">
        <v>1147000</v>
      </c>
      <c r="AE68" s="28">
        <v>1147000</v>
      </c>
      <c r="AF68" s="28">
        <v>1139000</v>
      </c>
      <c r="AG68" s="28">
        <v>1116000</v>
      </c>
      <c r="AH68" s="28">
        <v>1108000</v>
      </c>
      <c r="AI68" s="28">
        <v>1108000</v>
      </c>
      <c r="AJ68" s="28">
        <v>1108000</v>
      </c>
      <c r="AK68" s="28">
        <v>1092000</v>
      </c>
      <c r="AL68" s="28">
        <v>1055000</v>
      </c>
      <c r="AM68" s="28">
        <v>1055000</v>
      </c>
      <c r="AN68" s="28">
        <v>1092000</v>
      </c>
      <c r="AO68" s="28">
        <v>1314000</v>
      </c>
    </row>
    <row r="69" spans="1:41" ht="15" x14ac:dyDescent="0.2">
      <c r="A69" s="26" t="s">
        <v>59</v>
      </c>
      <c r="B69" s="28">
        <v>2539000</v>
      </c>
      <c r="C69" s="28">
        <v>1785000</v>
      </c>
      <c r="D69" s="28">
        <v>3289000</v>
      </c>
      <c r="E69" s="28">
        <v>2608000</v>
      </c>
      <c r="F69" s="28">
        <v>4463000</v>
      </c>
      <c r="G69" s="28">
        <v>1626000</v>
      </c>
      <c r="H69" s="28">
        <v>2908000</v>
      </c>
      <c r="I69" s="28">
        <v>1065000</v>
      </c>
      <c r="J69" s="28">
        <v>926000</v>
      </c>
      <c r="K69" s="28">
        <v>1234000</v>
      </c>
      <c r="L69" s="28">
        <v>1302000</v>
      </c>
      <c r="M69" s="28">
        <v>1325000</v>
      </c>
      <c r="N69" s="28">
        <v>1448000</v>
      </c>
      <c r="O69" s="28">
        <v>1448000</v>
      </c>
      <c r="P69" s="28">
        <v>1298000</v>
      </c>
      <c r="Q69" s="28">
        <v>1535000</v>
      </c>
      <c r="R69" s="28">
        <v>1076000</v>
      </c>
      <c r="S69" s="28">
        <v>1449000</v>
      </c>
      <c r="T69" s="28">
        <v>1544000</v>
      </c>
      <c r="U69" s="28">
        <v>1449000</v>
      </c>
      <c r="V69" s="28">
        <v>1481000</v>
      </c>
      <c r="W69" s="28">
        <v>1457000</v>
      </c>
      <c r="X69" s="28">
        <v>1511000</v>
      </c>
      <c r="Y69" s="28">
        <v>1164000</v>
      </c>
      <c r="Z69" s="28">
        <v>1164000</v>
      </c>
      <c r="AA69" s="28">
        <v>1164000</v>
      </c>
      <c r="AB69" s="28">
        <v>1164000</v>
      </c>
      <c r="AC69" s="28">
        <v>1158000</v>
      </c>
      <c r="AD69" s="28">
        <v>1199000</v>
      </c>
      <c r="AE69" s="28">
        <v>1199000</v>
      </c>
      <c r="AF69" s="28">
        <v>1190000</v>
      </c>
      <c r="AG69" s="28">
        <v>1164000</v>
      </c>
      <c r="AH69" s="28">
        <v>1155000</v>
      </c>
      <c r="AI69" s="28">
        <v>1155000</v>
      </c>
      <c r="AJ69" s="28">
        <v>1155000</v>
      </c>
      <c r="AK69" s="28">
        <v>1128000</v>
      </c>
      <c r="AL69" s="28">
        <v>1087000</v>
      </c>
      <c r="AM69" s="28">
        <v>1087000</v>
      </c>
      <c r="AN69" s="28">
        <v>1128000</v>
      </c>
      <c r="AO69" s="28">
        <v>1381000</v>
      </c>
    </row>
    <row r="70" spans="1:41" ht="15" x14ac:dyDescent="0.2">
      <c r="A70" s="26" t="s">
        <v>60</v>
      </c>
      <c r="B70" s="28">
        <v>2661000</v>
      </c>
      <c r="C70" s="28">
        <v>1857000</v>
      </c>
      <c r="D70" s="28">
        <v>3462000</v>
      </c>
      <c r="E70" s="28">
        <v>2735000</v>
      </c>
      <c r="F70" s="28">
        <v>4714000</v>
      </c>
      <c r="G70" s="28">
        <v>1671000</v>
      </c>
      <c r="H70" s="28">
        <v>3083000</v>
      </c>
      <c r="I70" s="28">
        <v>1088000</v>
      </c>
      <c r="J70" s="28">
        <v>939000</v>
      </c>
      <c r="K70" s="28">
        <v>1266000</v>
      </c>
      <c r="L70" s="28">
        <v>1337000</v>
      </c>
      <c r="M70" s="28">
        <v>1361000</v>
      </c>
      <c r="N70" s="28">
        <v>1491000</v>
      </c>
      <c r="O70" s="28">
        <v>1491000</v>
      </c>
      <c r="P70" s="28">
        <v>1333000</v>
      </c>
      <c r="Q70" s="28">
        <v>1586000</v>
      </c>
      <c r="R70" s="28">
        <v>1097000</v>
      </c>
      <c r="S70" s="28">
        <v>1494000</v>
      </c>
      <c r="T70" s="28">
        <v>1596000</v>
      </c>
      <c r="U70" s="28">
        <v>1494000</v>
      </c>
      <c r="V70" s="28">
        <v>1528000</v>
      </c>
      <c r="W70" s="28">
        <v>1503000</v>
      </c>
      <c r="X70" s="28">
        <v>1561000</v>
      </c>
      <c r="Y70" s="28">
        <v>1193000</v>
      </c>
      <c r="Z70" s="28">
        <v>1193000</v>
      </c>
      <c r="AA70" s="28">
        <v>1193000</v>
      </c>
      <c r="AB70" s="28">
        <v>1193000</v>
      </c>
      <c r="AC70" s="28">
        <v>1186000</v>
      </c>
      <c r="AD70" s="28">
        <v>1230000</v>
      </c>
      <c r="AE70" s="28">
        <v>1230000</v>
      </c>
      <c r="AF70" s="28">
        <v>1220000</v>
      </c>
      <c r="AG70" s="28">
        <v>1193000</v>
      </c>
      <c r="AH70" s="28">
        <v>1184000</v>
      </c>
      <c r="AI70" s="28">
        <v>1184000</v>
      </c>
      <c r="AJ70" s="28">
        <v>1184000</v>
      </c>
      <c r="AK70" s="28">
        <v>1151000</v>
      </c>
      <c r="AL70" s="28">
        <v>1106000</v>
      </c>
      <c r="AM70" s="28">
        <v>1106000</v>
      </c>
      <c r="AN70" s="28">
        <v>1151000</v>
      </c>
      <c r="AO70" s="28">
        <v>1421000</v>
      </c>
    </row>
    <row r="71" spans="1:41" ht="15" x14ac:dyDescent="0.2">
      <c r="A71" s="26" t="s">
        <v>61</v>
      </c>
      <c r="B71" s="28">
        <v>2743000</v>
      </c>
      <c r="C71" s="28">
        <v>1905000</v>
      </c>
      <c r="D71" s="28">
        <v>3577000</v>
      </c>
      <c r="E71" s="28">
        <v>2820000</v>
      </c>
      <c r="F71" s="28">
        <v>4882000</v>
      </c>
      <c r="G71" s="28">
        <v>1700000</v>
      </c>
      <c r="H71" s="28">
        <v>3199000</v>
      </c>
      <c r="I71" s="28">
        <v>1102000</v>
      </c>
      <c r="J71" s="28">
        <v>948000</v>
      </c>
      <c r="K71" s="28">
        <v>1287000</v>
      </c>
      <c r="L71" s="28">
        <v>1361000</v>
      </c>
      <c r="M71" s="28">
        <v>1385000</v>
      </c>
      <c r="N71" s="28">
        <v>1520000</v>
      </c>
      <c r="O71" s="28">
        <v>1520000</v>
      </c>
      <c r="P71" s="28">
        <v>1357000</v>
      </c>
      <c r="Q71" s="28">
        <v>1621000</v>
      </c>
      <c r="R71" s="28">
        <v>1111000</v>
      </c>
      <c r="S71" s="28">
        <v>1524000</v>
      </c>
      <c r="T71" s="28">
        <v>1630000</v>
      </c>
      <c r="U71" s="28">
        <v>1524000</v>
      </c>
      <c r="V71" s="28">
        <v>1560000</v>
      </c>
      <c r="W71" s="28">
        <v>1533000</v>
      </c>
      <c r="X71" s="28">
        <v>1594000</v>
      </c>
      <c r="Y71" s="28">
        <v>1212000</v>
      </c>
      <c r="Z71" s="28">
        <v>1212000</v>
      </c>
      <c r="AA71" s="28">
        <v>1212000</v>
      </c>
      <c r="AB71" s="28">
        <v>1212000</v>
      </c>
      <c r="AC71" s="28">
        <v>1205000</v>
      </c>
      <c r="AD71" s="28">
        <v>1250000</v>
      </c>
      <c r="AE71" s="28">
        <v>1250000</v>
      </c>
      <c r="AF71" s="28">
        <v>1241000</v>
      </c>
      <c r="AG71" s="28">
        <v>1212000</v>
      </c>
      <c r="AH71" s="28">
        <v>1202000</v>
      </c>
      <c r="AI71" s="28">
        <v>1202000</v>
      </c>
      <c r="AJ71" s="28">
        <v>1202000</v>
      </c>
      <c r="AK71" s="28">
        <v>1165000</v>
      </c>
      <c r="AL71" s="28">
        <v>1119000</v>
      </c>
      <c r="AM71" s="28">
        <v>1119000</v>
      </c>
      <c r="AN71" s="28">
        <v>1165000</v>
      </c>
      <c r="AO71" s="28">
        <v>1448000</v>
      </c>
    </row>
    <row r="72" spans="1:41" ht="15" x14ac:dyDescent="0.2">
      <c r="A72" s="26" t="s">
        <v>62</v>
      </c>
      <c r="B72" s="28">
        <v>2947000</v>
      </c>
      <c r="C72" s="28">
        <v>2026000</v>
      </c>
      <c r="D72" s="28">
        <v>3865000</v>
      </c>
      <c r="E72" s="28">
        <v>3032000</v>
      </c>
      <c r="F72" s="28">
        <v>5302000</v>
      </c>
      <c r="G72" s="28">
        <v>1775000</v>
      </c>
      <c r="H72" s="28">
        <v>3489000</v>
      </c>
      <c r="I72" s="28">
        <v>1140000</v>
      </c>
      <c r="J72" s="28">
        <v>970000</v>
      </c>
      <c r="K72" s="28">
        <v>1340000</v>
      </c>
      <c r="L72" s="28">
        <v>1420000</v>
      </c>
      <c r="M72" s="28">
        <v>1445000</v>
      </c>
      <c r="N72" s="28">
        <v>1592000</v>
      </c>
      <c r="O72" s="28">
        <v>1592000</v>
      </c>
      <c r="P72" s="28">
        <v>1417000</v>
      </c>
      <c r="Q72" s="28">
        <v>1706000</v>
      </c>
      <c r="R72" s="28">
        <v>1146000</v>
      </c>
      <c r="S72" s="28">
        <v>1599000</v>
      </c>
      <c r="T72" s="28">
        <v>1716000</v>
      </c>
      <c r="U72" s="28">
        <v>1599000</v>
      </c>
      <c r="V72" s="28">
        <v>1640000</v>
      </c>
      <c r="W72" s="28">
        <v>1610000</v>
      </c>
      <c r="X72" s="28">
        <v>1677000</v>
      </c>
      <c r="Y72" s="28">
        <v>1260000</v>
      </c>
      <c r="Z72" s="28">
        <v>1260000</v>
      </c>
      <c r="AA72" s="28">
        <v>1260000</v>
      </c>
      <c r="AB72" s="28">
        <v>1260000</v>
      </c>
      <c r="AC72" s="28">
        <v>1252000</v>
      </c>
      <c r="AD72" s="28">
        <v>1302000</v>
      </c>
      <c r="AE72" s="28">
        <v>1302000</v>
      </c>
      <c r="AF72" s="28">
        <v>1292000</v>
      </c>
      <c r="AG72" s="28">
        <v>1260000</v>
      </c>
      <c r="AH72" s="28">
        <v>1249000</v>
      </c>
      <c r="AI72" s="28">
        <v>1249000</v>
      </c>
      <c r="AJ72" s="28">
        <v>1249000</v>
      </c>
      <c r="AK72" s="28">
        <v>1202000</v>
      </c>
      <c r="AL72" s="28">
        <v>1151000</v>
      </c>
      <c r="AM72" s="28">
        <v>1151000</v>
      </c>
      <c r="AN72" s="28">
        <v>1202000</v>
      </c>
      <c r="AO72" s="28">
        <v>1515000</v>
      </c>
    </row>
    <row r="73" spans="1:41" ht="15" x14ac:dyDescent="0.2">
      <c r="A73" s="26" t="s">
        <v>63</v>
      </c>
      <c r="B73" s="28">
        <v>3152000</v>
      </c>
      <c r="C73" s="28">
        <v>2146000</v>
      </c>
      <c r="D73" s="28">
        <v>4154000</v>
      </c>
      <c r="E73" s="28">
        <v>3244000</v>
      </c>
      <c r="F73" s="28">
        <v>5722000</v>
      </c>
      <c r="G73" s="28">
        <v>1850000</v>
      </c>
      <c r="H73" s="28">
        <v>3780000</v>
      </c>
      <c r="I73" s="28">
        <v>1177000</v>
      </c>
      <c r="J73" s="28">
        <v>991000</v>
      </c>
      <c r="K73" s="28">
        <v>1393000</v>
      </c>
      <c r="L73" s="28">
        <v>1479000</v>
      </c>
      <c r="M73" s="28">
        <v>1504000</v>
      </c>
      <c r="N73" s="28">
        <v>1663000</v>
      </c>
      <c r="O73" s="28">
        <v>1663000</v>
      </c>
      <c r="P73" s="28">
        <v>1476000</v>
      </c>
      <c r="Q73" s="28">
        <v>1792000</v>
      </c>
      <c r="R73" s="28">
        <v>1181000</v>
      </c>
      <c r="S73" s="28">
        <v>1675000</v>
      </c>
      <c r="T73" s="28">
        <v>1802000</v>
      </c>
      <c r="U73" s="28">
        <v>1675000</v>
      </c>
      <c r="V73" s="28">
        <v>1719000</v>
      </c>
      <c r="W73" s="28">
        <v>1687000</v>
      </c>
      <c r="X73" s="28">
        <v>1760000</v>
      </c>
      <c r="Y73" s="28">
        <v>1308000</v>
      </c>
      <c r="Z73" s="28">
        <v>1308000</v>
      </c>
      <c r="AA73" s="28">
        <v>1308000</v>
      </c>
      <c r="AB73" s="28">
        <v>1308000</v>
      </c>
      <c r="AC73" s="28">
        <v>1299000</v>
      </c>
      <c r="AD73" s="28">
        <v>1354000</v>
      </c>
      <c r="AE73" s="28">
        <v>1354000</v>
      </c>
      <c r="AF73" s="28">
        <v>1342000</v>
      </c>
      <c r="AG73" s="28">
        <v>1308000</v>
      </c>
      <c r="AH73" s="28">
        <v>1296000</v>
      </c>
      <c r="AI73" s="28">
        <v>1296000</v>
      </c>
      <c r="AJ73" s="28">
        <v>1296000</v>
      </c>
      <c r="AK73" s="28">
        <v>1239000</v>
      </c>
      <c r="AL73" s="28">
        <v>1184000</v>
      </c>
      <c r="AM73" s="28">
        <v>1184000</v>
      </c>
      <c r="AN73" s="28">
        <v>1239000</v>
      </c>
      <c r="AO73" s="28">
        <v>1582000</v>
      </c>
    </row>
    <row r="74" spans="1:41" ht="18" x14ac:dyDescent="0.25">
      <c r="A74" s="30" t="s">
        <v>77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</row>
    <row r="75" spans="1:41" ht="15" x14ac:dyDescent="0.2">
      <c r="A75" s="31" t="s">
        <v>58</v>
      </c>
      <c r="B75" s="28">
        <v>2740000</v>
      </c>
      <c r="C75" s="28">
        <v>1904000</v>
      </c>
      <c r="D75" s="28">
        <v>3573000</v>
      </c>
      <c r="E75" s="28">
        <v>2817000</v>
      </c>
      <c r="F75" s="28">
        <v>4876000</v>
      </c>
      <c r="G75" s="28">
        <v>1704000</v>
      </c>
      <c r="H75" s="28">
        <v>3099000</v>
      </c>
      <c r="I75" s="28">
        <v>1105000</v>
      </c>
      <c r="J75" s="28">
        <v>950000</v>
      </c>
      <c r="K75" s="28">
        <v>1292000</v>
      </c>
      <c r="L75" s="28">
        <v>1368000</v>
      </c>
      <c r="M75" s="28">
        <v>1394000</v>
      </c>
      <c r="N75" s="28">
        <v>1531000</v>
      </c>
      <c r="O75" s="28">
        <v>1531000</v>
      </c>
      <c r="P75" s="28">
        <v>1363000</v>
      </c>
      <c r="Q75" s="28">
        <v>1627000</v>
      </c>
      <c r="R75" s="28">
        <v>1116000</v>
      </c>
      <c r="S75" s="28">
        <v>1531000</v>
      </c>
      <c r="T75" s="28">
        <v>1637000</v>
      </c>
      <c r="U75" s="28">
        <v>1531000</v>
      </c>
      <c r="V75" s="28">
        <v>1566000</v>
      </c>
      <c r="W75" s="28">
        <v>1540000</v>
      </c>
      <c r="X75" s="28">
        <v>1600000</v>
      </c>
      <c r="Y75" s="28">
        <v>1214000</v>
      </c>
      <c r="Z75" s="28">
        <v>1214000</v>
      </c>
      <c r="AA75" s="28">
        <v>1214000</v>
      </c>
      <c r="AB75" s="28">
        <v>1214000</v>
      </c>
      <c r="AC75" s="28">
        <v>1207000</v>
      </c>
      <c r="AD75" s="28">
        <v>1253000</v>
      </c>
      <c r="AE75" s="28">
        <v>1253000</v>
      </c>
      <c r="AF75" s="28">
        <v>1243000</v>
      </c>
      <c r="AG75" s="28">
        <v>1214000</v>
      </c>
      <c r="AH75" s="28">
        <v>1205000</v>
      </c>
      <c r="AI75" s="28">
        <v>1205000</v>
      </c>
      <c r="AJ75" s="28">
        <v>1205000</v>
      </c>
      <c r="AK75" s="28">
        <v>1176000</v>
      </c>
      <c r="AL75" s="28">
        <v>1130000</v>
      </c>
      <c r="AM75" s="28">
        <v>1130000</v>
      </c>
      <c r="AN75" s="28">
        <v>1176000</v>
      </c>
      <c r="AO75" s="28">
        <v>1456000</v>
      </c>
    </row>
    <row r="76" spans="1:41" ht="15" x14ac:dyDescent="0.2">
      <c r="A76" s="26" t="s">
        <v>59</v>
      </c>
      <c r="B76" s="28">
        <v>2996000</v>
      </c>
      <c r="C76" s="28">
        <v>2054000</v>
      </c>
      <c r="D76" s="28">
        <v>3933000</v>
      </c>
      <c r="E76" s="28">
        <v>3082000</v>
      </c>
      <c r="F76" s="28">
        <v>5401000</v>
      </c>
      <c r="G76" s="28">
        <v>1791000</v>
      </c>
      <c r="H76" s="28">
        <v>3468000</v>
      </c>
      <c r="I76" s="28">
        <v>1151000</v>
      </c>
      <c r="J76" s="28">
        <v>977000</v>
      </c>
      <c r="K76" s="28">
        <v>1358000</v>
      </c>
      <c r="L76" s="28">
        <v>1441000</v>
      </c>
      <c r="M76" s="28">
        <v>1468000</v>
      </c>
      <c r="N76" s="28">
        <v>1619000</v>
      </c>
      <c r="O76" s="28">
        <v>1619000</v>
      </c>
      <c r="P76" s="28">
        <v>1437000</v>
      </c>
      <c r="Q76" s="28">
        <v>1733000</v>
      </c>
      <c r="R76" s="28">
        <v>1160000</v>
      </c>
      <c r="S76" s="28">
        <v>1624000</v>
      </c>
      <c r="T76" s="28">
        <v>1743000</v>
      </c>
      <c r="U76" s="28">
        <v>1624000</v>
      </c>
      <c r="V76" s="28">
        <v>1665000</v>
      </c>
      <c r="W76" s="28">
        <v>1635000</v>
      </c>
      <c r="X76" s="28">
        <v>1703000</v>
      </c>
      <c r="Y76" s="28">
        <v>1274000</v>
      </c>
      <c r="Z76" s="28">
        <v>1274000</v>
      </c>
      <c r="AA76" s="28">
        <v>1274000</v>
      </c>
      <c r="AB76" s="28">
        <v>1274000</v>
      </c>
      <c r="AC76" s="28">
        <v>1266000</v>
      </c>
      <c r="AD76" s="28">
        <v>1317000</v>
      </c>
      <c r="AE76" s="28">
        <v>1317000</v>
      </c>
      <c r="AF76" s="28">
        <v>1306000</v>
      </c>
      <c r="AG76" s="28">
        <v>1274000</v>
      </c>
      <c r="AH76" s="28">
        <v>1263000</v>
      </c>
      <c r="AI76" s="28">
        <v>1263000</v>
      </c>
      <c r="AJ76" s="28">
        <v>1263000</v>
      </c>
      <c r="AK76" s="28">
        <v>1221000</v>
      </c>
      <c r="AL76" s="28">
        <v>1169000</v>
      </c>
      <c r="AM76" s="28">
        <v>1169000</v>
      </c>
      <c r="AN76" s="28">
        <v>1221000</v>
      </c>
      <c r="AO76" s="28">
        <v>1538000</v>
      </c>
    </row>
    <row r="77" spans="1:41" ht="15" x14ac:dyDescent="0.2">
      <c r="A77" s="26" t="s">
        <v>60</v>
      </c>
      <c r="B77" s="28">
        <v>3149000</v>
      </c>
      <c r="C77" s="28">
        <v>2144000</v>
      </c>
      <c r="D77" s="28">
        <v>4149000</v>
      </c>
      <c r="E77" s="28">
        <v>3241000</v>
      </c>
      <c r="F77" s="28">
        <v>5715000</v>
      </c>
      <c r="G77" s="28">
        <v>1843000</v>
      </c>
      <c r="H77" s="28">
        <v>3690000</v>
      </c>
      <c r="I77" s="28">
        <v>1178000</v>
      </c>
      <c r="J77" s="28">
        <v>993000</v>
      </c>
      <c r="K77" s="28">
        <v>1397000</v>
      </c>
      <c r="L77" s="28">
        <v>1485000</v>
      </c>
      <c r="M77" s="28">
        <v>1512000</v>
      </c>
      <c r="N77" s="28">
        <v>1672000</v>
      </c>
      <c r="O77" s="28">
        <v>1672000</v>
      </c>
      <c r="P77" s="28">
        <v>1481000</v>
      </c>
      <c r="Q77" s="28">
        <v>1796000</v>
      </c>
      <c r="R77" s="28">
        <v>1186000</v>
      </c>
      <c r="S77" s="28">
        <v>1680000</v>
      </c>
      <c r="T77" s="28">
        <v>1807000</v>
      </c>
      <c r="U77" s="28">
        <v>1680000</v>
      </c>
      <c r="V77" s="28">
        <v>1724000</v>
      </c>
      <c r="W77" s="28">
        <v>1692000</v>
      </c>
      <c r="X77" s="28">
        <v>1764000</v>
      </c>
      <c r="Y77" s="28">
        <v>1309000</v>
      </c>
      <c r="Z77" s="28">
        <v>1309000</v>
      </c>
      <c r="AA77" s="28">
        <v>1309000</v>
      </c>
      <c r="AB77" s="28">
        <v>1309000</v>
      </c>
      <c r="AC77" s="28">
        <v>1301000</v>
      </c>
      <c r="AD77" s="28">
        <v>1356000</v>
      </c>
      <c r="AE77" s="28">
        <v>1356000</v>
      </c>
      <c r="AF77" s="28">
        <v>1344000</v>
      </c>
      <c r="AG77" s="28">
        <v>1309000</v>
      </c>
      <c r="AH77" s="28">
        <v>1298000</v>
      </c>
      <c r="AI77" s="28">
        <v>1298000</v>
      </c>
      <c r="AJ77" s="28">
        <v>1298000</v>
      </c>
      <c r="AK77" s="28">
        <v>1247000</v>
      </c>
      <c r="AL77" s="28">
        <v>1192000</v>
      </c>
      <c r="AM77" s="28">
        <v>1192000</v>
      </c>
      <c r="AN77" s="28">
        <v>1247000</v>
      </c>
      <c r="AO77" s="28">
        <v>1588000</v>
      </c>
    </row>
    <row r="78" spans="1:41" ht="15" x14ac:dyDescent="0.2">
      <c r="A78" s="26" t="s">
        <v>61</v>
      </c>
      <c r="B78" s="28">
        <v>3251000</v>
      </c>
      <c r="C78" s="28">
        <v>2204000</v>
      </c>
      <c r="D78" s="28">
        <v>4293000</v>
      </c>
      <c r="E78" s="28">
        <v>3347000</v>
      </c>
      <c r="F78" s="28">
        <v>5925000</v>
      </c>
      <c r="G78" s="28">
        <v>1878000</v>
      </c>
      <c r="H78" s="28">
        <v>3838000</v>
      </c>
      <c r="I78" s="28">
        <v>1197000</v>
      </c>
      <c r="J78" s="28">
        <v>1004000</v>
      </c>
      <c r="K78" s="28">
        <v>1423000</v>
      </c>
      <c r="L78" s="28">
        <v>1514000</v>
      </c>
      <c r="M78" s="28">
        <v>1541000</v>
      </c>
      <c r="N78" s="28">
        <v>1707000</v>
      </c>
      <c r="O78" s="28">
        <v>1707000</v>
      </c>
      <c r="P78" s="28">
        <v>1510000</v>
      </c>
      <c r="Q78" s="28">
        <v>1839000</v>
      </c>
      <c r="R78" s="28">
        <v>1203000</v>
      </c>
      <c r="S78" s="28">
        <v>1717000</v>
      </c>
      <c r="T78" s="28">
        <v>1850000</v>
      </c>
      <c r="U78" s="28">
        <v>1717000</v>
      </c>
      <c r="V78" s="28">
        <v>1763000</v>
      </c>
      <c r="W78" s="28">
        <v>1730000</v>
      </c>
      <c r="X78" s="28">
        <v>1805000</v>
      </c>
      <c r="Y78" s="28">
        <v>1333000</v>
      </c>
      <c r="Z78" s="28">
        <v>1333000</v>
      </c>
      <c r="AA78" s="28">
        <v>1333000</v>
      </c>
      <c r="AB78" s="28">
        <v>1333000</v>
      </c>
      <c r="AC78" s="28">
        <v>1324000</v>
      </c>
      <c r="AD78" s="28">
        <v>1381000</v>
      </c>
      <c r="AE78" s="28">
        <v>1381000</v>
      </c>
      <c r="AF78" s="28">
        <v>1369000</v>
      </c>
      <c r="AG78" s="28">
        <v>1333000</v>
      </c>
      <c r="AH78" s="28">
        <v>1321000</v>
      </c>
      <c r="AI78" s="28">
        <v>1321000</v>
      </c>
      <c r="AJ78" s="28">
        <v>1321000</v>
      </c>
      <c r="AK78" s="28">
        <v>1265000</v>
      </c>
      <c r="AL78" s="28">
        <v>1208000</v>
      </c>
      <c r="AM78" s="28">
        <v>1208000</v>
      </c>
      <c r="AN78" s="28">
        <v>1265000</v>
      </c>
      <c r="AO78" s="28">
        <v>1621000</v>
      </c>
    </row>
    <row r="79" spans="1:41" ht="15" x14ac:dyDescent="0.2">
      <c r="A79" s="26" t="s">
        <v>62</v>
      </c>
      <c r="B79" s="28">
        <v>3506000</v>
      </c>
      <c r="C79" s="28">
        <v>2354000</v>
      </c>
      <c r="D79" s="28">
        <v>4654000</v>
      </c>
      <c r="E79" s="28">
        <v>3612000</v>
      </c>
      <c r="F79" s="28">
        <v>6450000</v>
      </c>
      <c r="G79" s="28">
        <v>1965000</v>
      </c>
      <c r="H79" s="28">
        <v>4207000</v>
      </c>
      <c r="I79" s="28">
        <v>1243000</v>
      </c>
      <c r="J79" s="28">
        <v>1030000</v>
      </c>
      <c r="K79" s="28">
        <v>1488000</v>
      </c>
      <c r="L79" s="28">
        <v>1587000</v>
      </c>
      <c r="M79" s="28">
        <v>1614000</v>
      </c>
      <c r="N79" s="28">
        <v>1795000</v>
      </c>
      <c r="O79" s="28">
        <v>1795000</v>
      </c>
      <c r="P79" s="28">
        <v>1584000</v>
      </c>
      <c r="Q79" s="28">
        <v>1945000</v>
      </c>
      <c r="R79" s="28">
        <v>1246000</v>
      </c>
      <c r="S79" s="28">
        <v>1810000</v>
      </c>
      <c r="T79" s="28">
        <v>1956000</v>
      </c>
      <c r="U79" s="28">
        <v>1810000</v>
      </c>
      <c r="V79" s="28">
        <v>1861000</v>
      </c>
      <c r="W79" s="28">
        <v>1825000</v>
      </c>
      <c r="X79" s="28">
        <v>1908000</v>
      </c>
      <c r="Y79" s="28">
        <v>1393000</v>
      </c>
      <c r="Z79" s="28">
        <v>1393000</v>
      </c>
      <c r="AA79" s="28">
        <v>1393000</v>
      </c>
      <c r="AB79" s="28">
        <v>1393000</v>
      </c>
      <c r="AC79" s="28">
        <v>1383000</v>
      </c>
      <c r="AD79" s="28">
        <v>1446000</v>
      </c>
      <c r="AE79" s="28">
        <v>1446000</v>
      </c>
      <c r="AF79" s="28">
        <v>1432000</v>
      </c>
      <c r="AG79" s="28">
        <v>1393000</v>
      </c>
      <c r="AH79" s="28">
        <v>1380000</v>
      </c>
      <c r="AI79" s="28">
        <v>1380000</v>
      </c>
      <c r="AJ79" s="28">
        <v>1380000</v>
      </c>
      <c r="AK79" s="28">
        <v>1310000</v>
      </c>
      <c r="AL79" s="28">
        <v>1247000</v>
      </c>
      <c r="AM79" s="28">
        <v>1247000</v>
      </c>
      <c r="AN79" s="28">
        <v>1310000</v>
      </c>
      <c r="AO79" s="28">
        <v>1703000</v>
      </c>
    </row>
    <row r="80" spans="1:41" ht="15" x14ac:dyDescent="0.2">
      <c r="A80" s="26" t="s">
        <v>63</v>
      </c>
      <c r="B80" s="28">
        <v>3762000</v>
      </c>
      <c r="C80" s="28">
        <v>2504000</v>
      </c>
      <c r="D80" s="28">
        <v>5014000</v>
      </c>
      <c r="E80" s="28">
        <v>3877000</v>
      </c>
      <c r="F80" s="28">
        <v>6974000</v>
      </c>
      <c r="G80" s="28">
        <v>2052000</v>
      </c>
      <c r="H80" s="28">
        <v>4576000</v>
      </c>
      <c r="I80" s="28">
        <v>1289000</v>
      </c>
      <c r="J80" s="28">
        <v>1057000</v>
      </c>
      <c r="K80" s="28">
        <v>1554000</v>
      </c>
      <c r="L80" s="28">
        <v>1660000</v>
      </c>
      <c r="M80" s="28">
        <v>1688000</v>
      </c>
      <c r="N80" s="28">
        <v>1883000</v>
      </c>
      <c r="O80" s="28">
        <v>1883000</v>
      </c>
      <c r="P80" s="28">
        <v>1657000</v>
      </c>
      <c r="Q80" s="28">
        <v>2051000</v>
      </c>
      <c r="R80" s="28">
        <v>1290000</v>
      </c>
      <c r="S80" s="28">
        <v>1903000</v>
      </c>
      <c r="T80" s="28">
        <v>2062000</v>
      </c>
      <c r="U80" s="28">
        <v>1903000</v>
      </c>
      <c r="V80" s="28">
        <v>1960000</v>
      </c>
      <c r="W80" s="28">
        <v>1919000</v>
      </c>
      <c r="X80" s="28">
        <v>2010000</v>
      </c>
      <c r="Y80" s="28">
        <v>1452000</v>
      </c>
      <c r="Z80" s="28">
        <v>1452000</v>
      </c>
      <c r="AA80" s="28">
        <v>1452000</v>
      </c>
      <c r="AB80" s="28">
        <v>1452000</v>
      </c>
      <c r="AC80" s="28">
        <v>1442000</v>
      </c>
      <c r="AD80" s="28">
        <v>1510000</v>
      </c>
      <c r="AE80" s="28">
        <v>1510000</v>
      </c>
      <c r="AF80" s="28">
        <v>1496000</v>
      </c>
      <c r="AG80" s="28">
        <v>1452000</v>
      </c>
      <c r="AH80" s="28">
        <v>1438000</v>
      </c>
      <c r="AI80" s="28">
        <v>1438000</v>
      </c>
      <c r="AJ80" s="28">
        <v>1438000</v>
      </c>
      <c r="AK80" s="28">
        <v>1355000</v>
      </c>
      <c r="AL80" s="28">
        <v>1285000</v>
      </c>
      <c r="AM80" s="28">
        <v>1285000</v>
      </c>
      <c r="AN80" s="28">
        <v>1355000</v>
      </c>
      <c r="AO80" s="28">
        <v>1786000</v>
      </c>
    </row>
    <row r="81" spans="1:41" ht="18" x14ac:dyDescent="0.25">
      <c r="A81" s="30" t="s">
        <v>78</v>
      </c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</row>
    <row r="82" spans="1:41" ht="15" x14ac:dyDescent="0.2">
      <c r="A82" s="31" t="s">
        <v>58</v>
      </c>
      <c r="B82" s="28">
        <v>3146000</v>
      </c>
      <c r="C82" s="28">
        <v>2142000</v>
      </c>
      <c r="D82" s="28">
        <v>4145000</v>
      </c>
      <c r="E82" s="28">
        <v>3238000</v>
      </c>
      <c r="F82" s="28">
        <v>5709000</v>
      </c>
      <c r="G82" s="28">
        <v>1857000</v>
      </c>
      <c r="H82" s="28">
        <v>3580000</v>
      </c>
      <c r="I82" s="28">
        <v>1181000</v>
      </c>
      <c r="J82" s="28">
        <v>996000</v>
      </c>
      <c r="K82" s="28">
        <v>1404000</v>
      </c>
      <c r="L82" s="28">
        <v>1493000</v>
      </c>
      <c r="M82" s="28">
        <v>1523000</v>
      </c>
      <c r="N82" s="28">
        <v>1685000</v>
      </c>
      <c r="O82" s="28">
        <v>1685000</v>
      </c>
      <c r="P82" s="28">
        <v>1488000</v>
      </c>
      <c r="Q82" s="28">
        <v>1804000</v>
      </c>
      <c r="R82" s="28">
        <v>1193000</v>
      </c>
      <c r="S82" s="28">
        <v>1689000</v>
      </c>
      <c r="T82" s="28">
        <v>1815000</v>
      </c>
      <c r="U82" s="28">
        <v>1689000</v>
      </c>
      <c r="V82" s="28">
        <v>1732000</v>
      </c>
      <c r="W82" s="28">
        <v>1699000</v>
      </c>
      <c r="X82" s="28">
        <v>1772000</v>
      </c>
      <c r="Y82" s="28">
        <v>1312000</v>
      </c>
      <c r="Z82" s="28">
        <v>1312000</v>
      </c>
      <c r="AA82" s="28">
        <v>1312000</v>
      </c>
      <c r="AB82" s="28">
        <v>1312000</v>
      </c>
      <c r="AC82" s="28">
        <v>1304000</v>
      </c>
      <c r="AD82" s="28">
        <v>1358000</v>
      </c>
      <c r="AE82" s="28">
        <v>1358000</v>
      </c>
      <c r="AF82" s="28">
        <v>1347000</v>
      </c>
      <c r="AG82" s="28">
        <v>1312000</v>
      </c>
      <c r="AH82" s="28">
        <v>1301000</v>
      </c>
      <c r="AI82" s="28">
        <v>1301000</v>
      </c>
      <c r="AJ82" s="28">
        <v>1301000</v>
      </c>
      <c r="AK82" s="28">
        <v>1260000</v>
      </c>
      <c r="AL82" s="28">
        <v>1205000</v>
      </c>
      <c r="AM82" s="28">
        <v>1205000</v>
      </c>
      <c r="AN82" s="28">
        <v>1260000</v>
      </c>
      <c r="AO82" s="28">
        <v>1597000</v>
      </c>
    </row>
    <row r="83" spans="1:41" ht="15" x14ac:dyDescent="0.2">
      <c r="A83" s="26" t="s">
        <v>59</v>
      </c>
      <c r="B83" s="28">
        <v>3452000</v>
      </c>
      <c r="C83" s="28">
        <v>2322000</v>
      </c>
      <c r="D83" s="28">
        <v>4577000</v>
      </c>
      <c r="E83" s="28">
        <v>3556000</v>
      </c>
      <c r="F83" s="28">
        <v>6338000</v>
      </c>
      <c r="G83" s="28">
        <v>1956000</v>
      </c>
      <c r="H83" s="28">
        <v>4028000</v>
      </c>
      <c r="I83" s="28">
        <v>1236000</v>
      </c>
      <c r="J83" s="28">
        <v>1028000</v>
      </c>
      <c r="K83" s="28">
        <v>1481000</v>
      </c>
      <c r="L83" s="28">
        <v>1580000</v>
      </c>
      <c r="M83" s="28">
        <v>1610000</v>
      </c>
      <c r="N83" s="28">
        <v>1790000</v>
      </c>
      <c r="O83" s="28">
        <v>1790000</v>
      </c>
      <c r="P83" s="28">
        <v>1576000</v>
      </c>
      <c r="Q83" s="28">
        <v>1930000</v>
      </c>
      <c r="R83" s="28">
        <v>1244000</v>
      </c>
      <c r="S83" s="28">
        <v>1799000</v>
      </c>
      <c r="T83" s="28">
        <v>1942000</v>
      </c>
      <c r="U83" s="28">
        <v>1799000</v>
      </c>
      <c r="V83" s="28">
        <v>1849000</v>
      </c>
      <c r="W83" s="28">
        <v>1813000</v>
      </c>
      <c r="X83" s="28">
        <v>1894000</v>
      </c>
      <c r="Y83" s="28">
        <v>1384000</v>
      </c>
      <c r="Z83" s="28">
        <v>1384000</v>
      </c>
      <c r="AA83" s="28">
        <v>1384000</v>
      </c>
      <c r="AB83" s="28">
        <v>1384000</v>
      </c>
      <c r="AC83" s="28">
        <v>1374000</v>
      </c>
      <c r="AD83" s="28">
        <v>1435000</v>
      </c>
      <c r="AE83" s="28">
        <v>1435000</v>
      </c>
      <c r="AF83" s="28">
        <v>1422000</v>
      </c>
      <c r="AG83" s="28">
        <v>1384000</v>
      </c>
      <c r="AH83" s="28">
        <v>1371000</v>
      </c>
      <c r="AI83" s="28">
        <v>1371000</v>
      </c>
      <c r="AJ83" s="28">
        <v>1371000</v>
      </c>
      <c r="AK83" s="28">
        <v>1313000</v>
      </c>
      <c r="AL83" s="28">
        <v>1250000</v>
      </c>
      <c r="AM83" s="28">
        <v>1250000</v>
      </c>
      <c r="AN83" s="28">
        <v>1313000</v>
      </c>
      <c r="AO83" s="28">
        <v>1696000</v>
      </c>
    </row>
    <row r="84" spans="1:41" ht="15" x14ac:dyDescent="0.2">
      <c r="A84" s="26" t="s">
        <v>60</v>
      </c>
      <c r="B84" s="28">
        <v>3636000</v>
      </c>
      <c r="C84" s="28">
        <v>2430000</v>
      </c>
      <c r="D84" s="28">
        <v>4837000</v>
      </c>
      <c r="E84" s="28">
        <v>3747000</v>
      </c>
      <c r="F84" s="28">
        <v>6716000</v>
      </c>
      <c r="G84" s="28">
        <v>2016000</v>
      </c>
      <c r="H84" s="28">
        <v>4297000</v>
      </c>
      <c r="I84" s="28">
        <v>1269000</v>
      </c>
      <c r="J84" s="28">
        <v>1047000</v>
      </c>
      <c r="K84" s="28">
        <v>1528000</v>
      </c>
      <c r="L84" s="28">
        <v>1632000</v>
      </c>
      <c r="M84" s="28">
        <v>1662000</v>
      </c>
      <c r="N84" s="28">
        <v>1852000</v>
      </c>
      <c r="O84" s="28">
        <v>1852000</v>
      </c>
      <c r="P84" s="28">
        <v>1628000</v>
      </c>
      <c r="Q84" s="28">
        <v>2006000</v>
      </c>
      <c r="R84" s="28">
        <v>1275000</v>
      </c>
      <c r="S84" s="28">
        <v>1866000</v>
      </c>
      <c r="T84" s="28">
        <v>2018000</v>
      </c>
      <c r="U84" s="28">
        <v>1866000</v>
      </c>
      <c r="V84" s="28">
        <v>1919000</v>
      </c>
      <c r="W84" s="28">
        <v>1881000</v>
      </c>
      <c r="X84" s="28">
        <v>1968000</v>
      </c>
      <c r="Y84" s="28">
        <v>1426000</v>
      </c>
      <c r="Z84" s="28">
        <v>1426000</v>
      </c>
      <c r="AA84" s="28">
        <v>1426000</v>
      </c>
      <c r="AB84" s="28">
        <v>1426000</v>
      </c>
      <c r="AC84" s="28">
        <v>1416000</v>
      </c>
      <c r="AD84" s="28">
        <v>1482000</v>
      </c>
      <c r="AE84" s="28">
        <v>1482000</v>
      </c>
      <c r="AF84" s="28">
        <v>1468000</v>
      </c>
      <c r="AG84" s="28">
        <v>1426000</v>
      </c>
      <c r="AH84" s="28">
        <v>1412000</v>
      </c>
      <c r="AI84" s="28">
        <v>1412000</v>
      </c>
      <c r="AJ84" s="28">
        <v>1412000</v>
      </c>
      <c r="AK84" s="28">
        <v>1344000</v>
      </c>
      <c r="AL84" s="28">
        <v>1278000</v>
      </c>
      <c r="AM84" s="28">
        <v>1278000</v>
      </c>
      <c r="AN84" s="28">
        <v>1344000</v>
      </c>
      <c r="AO84" s="28">
        <v>1755000</v>
      </c>
    </row>
    <row r="85" spans="1:41" ht="15" x14ac:dyDescent="0.2">
      <c r="A85" s="26" t="s">
        <v>61</v>
      </c>
      <c r="B85" s="28">
        <v>3759000</v>
      </c>
      <c r="C85" s="28">
        <v>2502000</v>
      </c>
      <c r="D85" s="28">
        <v>5010000</v>
      </c>
      <c r="E85" s="28">
        <v>3874000</v>
      </c>
      <c r="F85" s="28">
        <v>6968000</v>
      </c>
      <c r="G85" s="28">
        <v>2056000</v>
      </c>
      <c r="H85" s="28">
        <v>4476000</v>
      </c>
      <c r="I85" s="28">
        <v>1291000</v>
      </c>
      <c r="J85" s="28">
        <v>1059000</v>
      </c>
      <c r="K85" s="28">
        <v>1559000</v>
      </c>
      <c r="L85" s="28">
        <v>1666000</v>
      </c>
      <c r="M85" s="28">
        <v>1697000</v>
      </c>
      <c r="N85" s="28">
        <v>1894000</v>
      </c>
      <c r="O85" s="28">
        <v>1894000</v>
      </c>
      <c r="P85" s="28">
        <v>1663000</v>
      </c>
      <c r="Q85" s="28">
        <v>2057000</v>
      </c>
      <c r="R85" s="28">
        <v>1295000</v>
      </c>
      <c r="S85" s="28">
        <v>1910000</v>
      </c>
      <c r="T85" s="28">
        <v>2069000</v>
      </c>
      <c r="U85" s="28">
        <v>1910000</v>
      </c>
      <c r="V85" s="28">
        <v>1966000</v>
      </c>
      <c r="W85" s="28">
        <v>1926000</v>
      </c>
      <c r="X85" s="28">
        <v>2017000</v>
      </c>
      <c r="Y85" s="28">
        <v>1455000</v>
      </c>
      <c r="Z85" s="28">
        <v>1455000</v>
      </c>
      <c r="AA85" s="28">
        <v>1455000</v>
      </c>
      <c r="AB85" s="28">
        <v>1455000</v>
      </c>
      <c r="AC85" s="28">
        <v>1444000</v>
      </c>
      <c r="AD85" s="28">
        <v>1512000</v>
      </c>
      <c r="AE85" s="28">
        <v>1512000</v>
      </c>
      <c r="AF85" s="28">
        <v>1498000</v>
      </c>
      <c r="AG85" s="28">
        <v>1455000</v>
      </c>
      <c r="AH85" s="28">
        <v>1440000</v>
      </c>
      <c r="AI85" s="28">
        <v>1440000</v>
      </c>
      <c r="AJ85" s="28">
        <v>1440000</v>
      </c>
      <c r="AK85" s="28">
        <v>1365000</v>
      </c>
      <c r="AL85" s="28">
        <v>1296000</v>
      </c>
      <c r="AM85" s="28">
        <v>1296000</v>
      </c>
      <c r="AN85" s="28">
        <v>1365000</v>
      </c>
      <c r="AO85" s="28">
        <v>1794000</v>
      </c>
    </row>
    <row r="86" spans="1:41" ht="15" x14ac:dyDescent="0.2">
      <c r="A86" s="26" t="s">
        <v>62</v>
      </c>
      <c r="B86" s="28">
        <v>4065000</v>
      </c>
      <c r="C86" s="28">
        <v>2683000</v>
      </c>
      <c r="D86" s="28">
        <v>5442000</v>
      </c>
      <c r="E86" s="28">
        <v>4192000</v>
      </c>
      <c r="F86" s="28">
        <v>7597000</v>
      </c>
      <c r="G86" s="28">
        <v>2155000</v>
      </c>
      <c r="H86" s="28">
        <v>4924000</v>
      </c>
      <c r="I86" s="28">
        <v>1346000</v>
      </c>
      <c r="J86" s="28">
        <v>1091000</v>
      </c>
      <c r="K86" s="28">
        <v>1637000</v>
      </c>
      <c r="L86" s="28">
        <v>1753000</v>
      </c>
      <c r="M86" s="28">
        <v>1784000</v>
      </c>
      <c r="N86" s="28">
        <v>1999000</v>
      </c>
      <c r="O86" s="28">
        <v>1999000</v>
      </c>
      <c r="P86" s="28">
        <v>1751000</v>
      </c>
      <c r="Q86" s="28">
        <v>2184000</v>
      </c>
      <c r="R86" s="28">
        <v>1347000</v>
      </c>
      <c r="S86" s="28">
        <v>2021000</v>
      </c>
      <c r="T86" s="28">
        <v>2196000</v>
      </c>
      <c r="U86" s="28">
        <v>2021000</v>
      </c>
      <c r="V86" s="28">
        <v>2083000</v>
      </c>
      <c r="W86" s="28">
        <v>2039000</v>
      </c>
      <c r="X86" s="28">
        <v>2139000</v>
      </c>
      <c r="Y86" s="28">
        <v>1526000</v>
      </c>
      <c r="Z86" s="28">
        <v>1526000</v>
      </c>
      <c r="AA86" s="28">
        <v>1526000</v>
      </c>
      <c r="AB86" s="28">
        <v>1526000</v>
      </c>
      <c r="AC86" s="28">
        <v>1514000</v>
      </c>
      <c r="AD86" s="28">
        <v>1589000</v>
      </c>
      <c r="AE86" s="28">
        <v>1589000</v>
      </c>
      <c r="AF86" s="28">
        <v>1573000</v>
      </c>
      <c r="AG86" s="28">
        <v>1526000</v>
      </c>
      <c r="AH86" s="28">
        <v>1510000</v>
      </c>
      <c r="AI86" s="28">
        <v>1510000</v>
      </c>
      <c r="AJ86" s="28">
        <v>1510000</v>
      </c>
      <c r="AK86" s="28">
        <v>1418000</v>
      </c>
      <c r="AL86" s="28">
        <v>1342000</v>
      </c>
      <c r="AM86" s="28">
        <v>1342000</v>
      </c>
      <c r="AN86" s="28">
        <v>1418000</v>
      </c>
      <c r="AO86" s="28">
        <v>1892000</v>
      </c>
    </row>
    <row r="87" spans="1:41" ht="15" x14ac:dyDescent="0.2">
      <c r="A87" s="26" t="s">
        <v>63</v>
      </c>
      <c r="B87" s="28">
        <v>4372000</v>
      </c>
      <c r="C87" s="28">
        <v>2863000</v>
      </c>
      <c r="D87" s="28">
        <v>5875000</v>
      </c>
      <c r="E87" s="28">
        <v>4511000</v>
      </c>
      <c r="F87" s="28">
        <v>8227000</v>
      </c>
      <c r="G87" s="28">
        <v>2254000</v>
      </c>
      <c r="H87" s="28">
        <v>5373000</v>
      </c>
      <c r="I87" s="28">
        <v>1401000</v>
      </c>
      <c r="J87" s="28">
        <v>1123000</v>
      </c>
      <c r="K87" s="28">
        <v>1715000</v>
      </c>
      <c r="L87" s="28">
        <v>1840000</v>
      </c>
      <c r="M87" s="28">
        <v>1871000</v>
      </c>
      <c r="N87" s="28">
        <v>2103000</v>
      </c>
      <c r="O87" s="28">
        <v>2103000</v>
      </c>
      <c r="P87" s="28">
        <v>1839000</v>
      </c>
      <c r="Q87" s="28">
        <v>2310000</v>
      </c>
      <c r="R87" s="28">
        <v>1398000</v>
      </c>
      <c r="S87" s="28">
        <v>2132000</v>
      </c>
      <c r="T87" s="28">
        <v>2323000</v>
      </c>
      <c r="U87" s="28">
        <v>2132000</v>
      </c>
      <c r="V87" s="28">
        <v>2201000</v>
      </c>
      <c r="W87" s="28">
        <v>2152000</v>
      </c>
      <c r="X87" s="28">
        <v>2261000</v>
      </c>
      <c r="Y87" s="28">
        <v>1597000</v>
      </c>
      <c r="Z87" s="28">
        <v>1597000</v>
      </c>
      <c r="AA87" s="28">
        <v>1597000</v>
      </c>
      <c r="AB87" s="28">
        <v>1597000</v>
      </c>
      <c r="AC87" s="28">
        <v>1584000</v>
      </c>
      <c r="AD87" s="28">
        <v>1666000</v>
      </c>
      <c r="AE87" s="28">
        <v>1666000</v>
      </c>
      <c r="AF87" s="28">
        <v>1649000</v>
      </c>
      <c r="AG87" s="28">
        <v>1597000</v>
      </c>
      <c r="AH87" s="28">
        <v>1580000</v>
      </c>
      <c r="AI87" s="28">
        <v>1580000</v>
      </c>
      <c r="AJ87" s="28">
        <v>1580000</v>
      </c>
      <c r="AK87" s="28">
        <v>1471000</v>
      </c>
      <c r="AL87" s="28">
        <v>1387000</v>
      </c>
      <c r="AM87" s="28">
        <v>1387000</v>
      </c>
      <c r="AN87" s="28">
        <v>1471000</v>
      </c>
      <c r="AO87" s="28">
        <v>1990000</v>
      </c>
    </row>
    <row r="88" spans="1:41" ht="18" x14ac:dyDescent="0.25">
      <c r="A88" s="34" t="s">
        <v>79</v>
      </c>
      <c r="B88" s="25"/>
      <c r="C88" s="25"/>
      <c r="D88" s="33"/>
      <c r="E88" s="25"/>
      <c r="F88" s="33"/>
      <c r="G88" s="25"/>
      <c r="H88" s="33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</row>
    <row r="89" spans="1:41" ht="18" x14ac:dyDescent="0.25">
      <c r="A89" s="30" t="s">
        <v>80</v>
      </c>
      <c r="B89" s="25"/>
      <c r="C89" s="25"/>
      <c r="D89" s="33"/>
      <c r="E89" s="25"/>
      <c r="F89" s="33"/>
      <c r="G89" s="25"/>
      <c r="H89" s="33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</row>
    <row r="90" spans="1:41" ht="15" x14ac:dyDescent="0.2">
      <c r="A90" s="31" t="s">
        <v>81</v>
      </c>
      <c r="B90" s="28">
        <v>359000</v>
      </c>
      <c r="C90" s="28">
        <v>211000</v>
      </c>
      <c r="D90" s="33"/>
      <c r="E90" s="28">
        <v>373000</v>
      </c>
      <c r="F90" s="33"/>
      <c r="G90" s="28">
        <v>383000</v>
      </c>
      <c r="H90" s="33"/>
      <c r="I90" s="28">
        <v>80000</v>
      </c>
      <c r="J90" s="28">
        <v>53000</v>
      </c>
      <c r="K90" s="28">
        <v>125000</v>
      </c>
      <c r="L90" s="28">
        <v>144000</v>
      </c>
      <c r="M90" s="28">
        <v>157000</v>
      </c>
      <c r="N90" s="28">
        <v>188000</v>
      </c>
      <c r="O90" s="28">
        <v>188000</v>
      </c>
      <c r="P90" s="28">
        <v>140000</v>
      </c>
      <c r="Q90" s="28">
        <v>188000</v>
      </c>
      <c r="R90" s="28">
        <v>94000</v>
      </c>
      <c r="S90" s="28">
        <v>174000</v>
      </c>
      <c r="T90" s="28">
        <v>193000</v>
      </c>
      <c r="U90" s="28">
        <v>174000</v>
      </c>
      <c r="V90" s="28">
        <v>178000</v>
      </c>
      <c r="W90" s="28">
        <v>173000</v>
      </c>
      <c r="X90" s="28">
        <v>184000</v>
      </c>
      <c r="Y90" s="28">
        <v>100000</v>
      </c>
      <c r="Z90" s="28">
        <v>100000</v>
      </c>
      <c r="AA90" s="28">
        <v>100000</v>
      </c>
      <c r="AB90" s="28">
        <v>100000</v>
      </c>
      <c r="AC90" s="28">
        <v>99000</v>
      </c>
      <c r="AD90" s="28">
        <v>107000</v>
      </c>
      <c r="AE90" s="28">
        <v>107000</v>
      </c>
      <c r="AF90" s="28">
        <v>105000</v>
      </c>
      <c r="AG90" s="28">
        <v>100000</v>
      </c>
      <c r="AH90" s="28">
        <v>98000</v>
      </c>
      <c r="AI90" s="28">
        <v>98000</v>
      </c>
      <c r="AJ90" s="28">
        <v>98000</v>
      </c>
      <c r="AK90" s="28">
        <v>121000</v>
      </c>
      <c r="AL90" s="28">
        <v>113000</v>
      </c>
      <c r="AM90" s="28">
        <v>113000</v>
      </c>
      <c r="AN90" s="28">
        <v>121000</v>
      </c>
      <c r="AO90" s="28">
        <v>163000</v>
      </c>
    </row>
    <row r="91" spans="1:41" ht="15" x14ac:dyDescent="0.2">
      <c r="A91" s="26" t="s">
        <v>82</v>
      </c>
      <c r="B91" s="28">
        <v>383000</v>
      </c>
      <c r="C91" s="28">
        <v>225000</v>
      </c>
      <c r="D91" s="33"/>
      <c r="E91" s="28">
        <v>398000</v>
      </c>
      <c r="F91" s="33"/>
      <c r="G91" s="28">
        <v>404000</v>
      </c>
      <c r="H91" s="33"/>
      <c r="I91" s="28">
        <v>85000</v>
      </c>
      <c r="J91" s="28">
        <v>56000</v>
      </c>
      <c r="K91" s="28">
        <v>133000</v>
      </c>
      <c r="L91" s="28">
        <v>153000</v>
      </c>
      <c r="M91" s="28">
        <v>167000</v>
      </c>
      <c r="N91" s="28">
        <v>200000</v>
      </c>
      <c r="O91" s="28">
        <v>200000</v>
      </c>
      <c r="P91" s="28">
        <v>148000</v>
      </c>
      <c r="Q91" s="28">
        <v>200000</v>
      </c>
      <c r="R91" s="28">
        <v>99000</v>
      </c>
      <c r="S91" s="28">
        <v>185000</v>
      </c>
      <c r="T91" s="28">
        <v>205000</v>
      </c>
      <c r="U91" s="28">
        <v>185000</v>
      </c>
      <c r="V91" s="28">
        <v>189000</v>
      </c>
      <c r="W91" s="28">
        <v>184000</v>
      </c>
      <c r="X91" s="28">
        <v>196000</v>
      </c>
      <c r="Y91" s="28">
        <v>107000</v>
      </c>
      <c r="Z91" s="28">
        <v>107000</v>
      </c>
      <c r="AA91" s="28">
        <v>107000</v>
      </c>
      <c r="AB91" s="28">
        <v>107000</v>
      </c>
      <c r="AC91" s="28">
        <v>105000</v>
      </c>
      <c r="AD91" s="28">
        <v>114000</v>
      </c>
      <c r="AE91" s="28">
        <v>114000</v>
      </c>
      <c r="AF91" s="28">
        <v>112000</v>
      </c>
      <c r="AG91" s="28">
        <v>107000</v>
      </c>
      <c r="AH91" s="28">
        <v>105000</v>
      </c>
      <c r="AI91" s="28">
        <v>105000</v>
      </c>
      <c r="AJ91" s="28">
        <v>105000</v>
      </c>
      <c r="AK91" s="28">
        <v>128000</v>
      </c>
      <c r="AL91" s="28">
        <v>120000</v>
      </c>
      <c r="AM91" s="28">
        <v>120000</v>
      </c>
      <c r="AN91" s="28">
        <v>128000</v>
      </c>
      <c r="AO91" s="28">
        <v>173000</v>
      </c>
    </row>
    <row r="92" spans="1:41" ht="15" x14ac:dyDescent="0.2">
      <c r="A92" s="26" t="s">
        <v>83</v>
      </c>
      <c r="B92" s="28">
        <v>399000</v>
      </c>
      <c r="C92" s="28">
        <v>235000</v>
      </c>
      <c r="D92" s="33"/>
      <c r="E92" s="28">
        <v>414000</v>
      </c>
      <c r="F92" s="33"/>
      <c r="G92" s="28">
        <v>418000</v>
      </c>
      <c r="H92" s="33"/>
      <c r="I92" s="28">
        <v>88000</v>
      </c>
      <c r="J92" s="28">
        <v>58000</v>
      </c>
      <c r="K92" s="28">
        <v>138000</v>
      </c>
      <c r="L92" s="28">
        <v>159000</v>
      </c>
      <c r="M92" s="28">
        <v>173000</v>
      </c>
      <c r="N92" s="28">
        <v>207000</v>
      </c>
      <c r="O92" s="28">
        <v>207000</v>
      </c>
      <c r="P92" s="28">
        <v>154000</v>
      </c>
      <c r="Q92" s="28">
        <v>208000</v>
      </c>
      <c r="R92" s="28">
        <v>103000</v>
      </c>
      <c r="S92" s="28">
        <v>192000</v>
      </c>
      <c r="T92" s="28">
        <v>213000</v>
      </c>
      <c r="U92" s="28">
        <v>192000</v>
      </c>
      <c r="V92" s="28">
        <v>197000</v>
      </c>
      <c r="W92" s="28">
        <v>191000</v>
      </c>
      <c r="X92" s="28">
        <v>203000</v>
      </c>
      <c r="Y92" s="28">
        <v>111000</v>
      </c>
      <c r="Z92" s="28">
        <v>111000</v>
      </c>
      <c r="AA92" s="28">
        <v>111000</v>
      </c>
      <c r="AB92" s="28">
        <v>111000</v>
      </c>
      <c r="AC92" s="28">
        <v>109000</v>
      </c>
      <c r="AD92" s="28">
        <v>118000</v>
      </c>
      <c r="AE92" s="28">
        <v>118000</v>
      </c>
      <c r="AF92" s="28">
        <v>116000</v>
      </c>
      <c r="AG92" s="28">
        <v>111000</v>
      </c>
      <c r="AH92" s="28">
        <v>109000</v>
      </c>
      <c r="AI92" s="28">
        <v>109000</v>
      </c>
      <c r="AJ92" s="28">
        <v>109000</v>
      </c>
      <c r="AK92" s="28">
        <v>133000</v>
      </c>
      <c r="AL92" s="28">
        <v>124000</v>
      </c>
      <c r="AM92" s="28">
        <v>124000</v>
      </c>
      <c r="AN92" s="28">
        <v>133000</v>
      </c>
      <c r="AO92" s="28">
        <v>180000</v>
      </c>
    </row>
    <row r="93" spans="1:41" ht="15" x14ac:dyDescent="0.2">
      <c r="A93" s="26" t="s">
        <v>84</v>
      </c>
      <c r="B93" s="28">
        <v>479000</v>
      </c>
      <c r="C93" s="28">
        <v>282000</v>
      </c>
      <c r="D93" s="33"/>
      <c r="E93" s="28">
        <v>498000</v>
      </c>
      <c r="F93" s="33"/>
      <c r="G93" s="28">
        <v>488000</v>
      </c>
      <c r="H93" s="33"/>
      <c r="I93" s="28">
        <v>105000</v>
      </c>
      <c r="J93" s="28">
        <v>69000</v>
      </c>
      <c r="K93" s="28">
        <v>164000</v>
      </c>
      <c r="L93" s="28">
        <v>188000</v>
      </c>
      <c r="M93" s="28">
        <v>204000</v>
      </c>
      <c r="N93" s="28">
        <v>245000</v>
      </c>
      <c r="O93" s="28">
        <v>245000</v>
      </c>
      <c r="P93" s="28">
        <v>183000</v>
      </c>
      <c r="Q93" s="28">
        <v>247000</v>
      </c>
      <c r="R93" s="28">
        <v>122000</v>
      </c>
      <c r="S93" s="28">
        <v>228000</v>
      </c>
      <c r="T93" s="28">
        <v>253000</v>
      </c>
      <c r="U93" s="28">
        <v>228000</v>
      </c>
      <c r="V93" s="28">
        <v>234000</v>
      </c>
      <c r="W93" s="28">
        <v>227000</v>
      </c>
      <c r="X93" s="28">
        <v>242000</v>
      </c>
      <c r="Y93" s="28">
        <v>132000</v>
      </c>
      <c r="Z93" s="28">
        <v>132000</v>
      </c>
      <c r="AA93" s="28">
        <v>132000</v>
      </c>
      <c r="AB93" s="28">
        <v>132000</v>
      </c>
      <c r="AC93" s="28">
        <v>130000</v>
      </c>
      <c r="AD93" s="28">
        <v>141000</v>
      </c>
      <c r="AE93" s="28">
        <v>141000</v>
      </c>
      <c r="AF93" s="28">
        <v>139000</v>
      </c>
      <c r="AG93" s="28">
        <v>132000</v>
      </c>
      <c r="AH93" s="28">
        <v>130000</v>
      </c>
      <c r="AI93" s="28">
        <v>130000</v>
      </c>
      <c r="AJ93" s="28">
        <v>130000</v>
      </c>
      <c r="AK93" s="28">
        <v>156000</v>
      </c>
      <c r="AL93" s="28">
        <v>145000</v>
      </c>
      <c r="AM93" s="28">
        <v>145000</v>
      </c>
      <c r="AN93" s="28">
        <v>156000</v>
      </c>
      <c r="AO93" s="28">
        <v>213000</v>
      </c>
    </row>
    <row r="94" spans="1:41" ht="15" x14ac:dyDescent="0.2">
      <c r="A94" s="26" t="s">
        <v>85</v>
      </c>
      <c r="B94" s="28">
        <v>720000</v>
      </c>
      <c r="C94" s="28">
        <v>423000</v>
      </c>
      <c r="D94" s="33"/>
      <c r="E94" s="28">
        <v>747000</v>
      </c>
      <c r="F94" s="33"/>
      <c r="G94" s="28">
        <v>698000</v>
      </c>
      <c r="H94" s="33"/>
      <c r="I94" s="28">
        <v>155000</v>
      </c>
      <c r="J94" s="28">
        <v>101000</v>
      </c>
      <c r="K94" s="28">
        <v>241000</v>
      </c>
      <c r="L94" s="28">
        <v>277000</v>
      </c>
      <c r="M94" s="28">
        <v>299000</v>
      </c>
      <c r="N94" s="28">
        <v>358000</v>
      </c>
      <c r="O94" s="28">
        <v>358000</v>
      </c>
      <c r="P94" s="28">
        <v>269000</v>
      </c>
      <c r="Q94" s="28">
        <v>366000</v>
      </c>
      <c r="R94" s="28">
        <v>178000</v>
      </c>
      <c r="S94" s="28">
        <v>336000</v>
      </c>
      <c r="T94" s="28">
        <v>374000</v>
      </c>
      <c r="U94" s="28">
        <v>336000</v>
      </c>
      <c r="V94" s="28">
        <v>345000</v>
      </c>
      <c r="W94" s="28">
        <v>336000</v>
      </c>
      <c r="X94" s="28">
        <v>357000</v>
      </c>
      <c r="Y94" s="28">
        <v>196000</v>
      </c>
      <c r="Z94" s="28">
        <v>196000</v>
      </c>
      <c r="AA94" s="28">
        <v>196000</v>
      </c>
      <c r="AB94" s="28">
        <v>196000</v>
      </c>
      <c r="AC94" s="28">
        <v>193000</v>
      </c>
      <c r="AD94" s="28">
        <v>209000</v>
      </c>
      <c r="AE94" s="28">
        <v>209000</v>
      </c>
      <c r="AF94" s="28">
        <v>206000</v>
      </c>
      <c r="AG94" s="28">
        <v>196000</v>
      </c>
      <c r="AH94" s="28">
        <v>192000</v>
      </c>
      <c r="AI94" s="28">
        <v>192000</v>
      </c>
      <c r="AJ94" s="28">
        <v>192000</v>
      </c>
      <c r="AK94" s="28">
        <v>226000</v>
      </c>
      <c r="AL94" s="28">
        <v>210000</v>
      </c>
      <c r="AM94" s="28">
        <v>210000</v>
      </c>
      <c r="AN94" s="28">
        <v>226000</v>
      </c>
      <c r="AO94" s="28">
        <v>314000</v>
      </c>
    </row>
    <row r="95" spans="1:41" ht="15" x14ac:dyDescent="0.2">
      <c r="A95" s="26" t="s">
        <v>86</v>
      </c>
      <c r="B95" s="28">
        <v>768000</v>
      </c>
      <c r="C95" s="28">
        <v>452000</v>
      </c>
      <c r="D95" s="33"/>
      <c r="E95" s="28">
        <v>797000</v>
      </c>
      <c r="F95" s="33"/>
      <c r="G95" s="28">
        <v>739000</v>
      </c>
      <c r="H95" s="33"/>
      <c r="I95" s="28">
        <v>165000</v>
      </c>
      <c r="J95" s="28">
        <v>107000</v>
      </c>
      <c r="K95" s="28">
        <v>257000</v>
      </c>
      <c r="L95" s="28">
        <v>294000</v>
      </c>
      <c r="M95" s="28">
        <v>318000</v>
      </c>
      <c r="N95" s="28">
        <v>381000</v>
      </c>
      <c r="O95" s="28">
        <v>381000</v>
      </c>
      <c r="P95" s="28">
        <v>286000</v>
      </c>
      <c r="Q95" s="28">
        <v>389000</v>
      </c>
      <c r="R95" s="28">
        <v>189000</v>
      </c>
      <c r="S95" s="28">
        <v>358000</v>
      </c>
      <c r="T95" s="28">
        <v>398000</v>
      </c>
      <c r="U95" s="28">
        <v>358000</v>
      </c>
      <c r="V95" s="28">
        <v>368000</v>
      </c>
      <c r="W95" s="28">
        <v>357000</v>
      </c>
      <c r="X95" s="28">
        <v>380000</v>
      </c>
      <c r="Y95" s="28">
        <v>208000</v>
      </c>
      <c r="Z95" s="28">
        <v>208000</v>
      </c>
      <c r="AA95" s="28">
        <v>208000</v>
      </c>
      <c r="AB95" s="28">
        <v>208000</v>
      </c>
      <c r="AC95" s="28">
        <v>206000</v>
      </c>
      <c r="AD95" s="28">
        <v>223000</v>
      </c>
      <c r="AE95" s="28">
        <v>223000</v>
      </c>
      <c r="AF95" s="28">
        <v>219000</v>
      </c>
      <c r="AG95" s="28">
        <v>208000</v>
      </c>
      <c r="AH95" s="28">
        <v>205000</v>
      </c>
      <c r="AI95" s="28">
        <v>205000</v>
      </c>
      <c r="AJ95" s="28">
        <v>205000</v>
      </c>
      <c r="AK95" s="28">
        <v>240000</v>
      </c>
      <c r="AL95" s="28">
        <v>222000</v>
      </c>
      <c r="AM95" s="28">
        <v>222000</v>
      </c>
      <c r="AN95" s="28">
        <v>240000</v>
      </c>
      <c r="AO95" s="28">
        <v>334000</v>
      </c>
    </row>
    <row r="96" spans="1:41" ht="15" x14ac:dyDescent="0.2">
      <c r="A96" s="26" t="s">
        <v>87</v>
      </c>
      <c r="B96" s="28">
        <v>800000</v>
      </c>
      <c r="C96" s="28">
        <v>471000</v>
      </c>
      <c r="D96" s="33"/>
      <c r="E96" s="28">
        <v>831000</v>
      </c>
      <c r="F96" s="33"/>
      <c r="G96" s="28">
        <v>767000</v>
      </c>
      <c r="H96" s="33"/>
      <c r="I96" s="28">
        <v>172000</v>
      </c>
      <c r="J96" s="28">
        <v>111000</v>
      </c>
      <c r="K96" s="28">
        <v>267000</v>
      </c>
      <c r="L96" s="28">
        <v>306000</v>
      </c>
      <c r="M96" s="28">
        <v>330000</v>
      </c>
      <c r="N96" s="28">
        <v>396000</v>
      </c>
      <c r="O96" s="28">
        <v>396000</v>
      </c>
      <c r="P96" s="28">
        <v>298000</v>
      </c>
      <c r="Q96" s="28">
        <v>405000</v>
      </c>
      <c r="R96" s="28">
        <v>197000</v>
      </c>
      <c r="S96" s="28">
        <v>372000</v>
      </c>
      <c r="T96" s="28">
        <v>414000</v>
      </c>
      <c r="U96" s="28">
        <v>372000</v>
      </c>
      <c r="V96" s="28">
        <v>382000</v>
      </c>
      <c r="W96" s="28">
        <v>372000</v>
      </c>
      <c r="X96" s="28">
        <v>396000</v>
      </c>
      <c r="Y96" s="28">
        <v>217000</v>
      </c>
      <c r="Z96" s="28">
        <v>217000</v>
      </c>
      <c r="AA96" s="28">
        <v>217000</v>
      </c>
      <c r="AB96" s="28">
        <v>217000</v>
      </c>
      <c r="AC96" s="28">
        <v>214000</v>
      </c>
      <c r="AD96" s="28">
        <v>232000</v>
      </c>
      <c r="AE96" s="28">
        <v>232000</v>
      </c>
      <c r="AF96" s="28">
        <v>228000</v>
      </c>
      <c r="AG96" s="28">
        <v>217000</v>
      </c>
      <c r="AH96" s="28">
        <v>213000</v>
      </c>
      <c r="AI96" s="28">
        <v>213000</v>
      </c>
      <c r="AJ96" s="28">
        <v>213000</v>
      </c>
      <c r="AK96" s="28">
        <v>249000</v>
      </c>
      <c r="AL96" s="28">
        <v>231000</v>
      </c>
      <c r="AM96" s="28">
        <v>231000</v>
      </c>
      <c r="AN96" s="28">
        <v>249000</v>
      </c>
      <c r="AO96" s="28">
        <v>347000</v>
      </c>
    </row>
    <row r="97" spans="1:41" ht="15" x14ac:dyDescent="0.2">
      <c r="A97" s="26" t="s">
        <v>88</v>
      </c>
      <c r="B97" s="28">
        <v>961000</v>
      </c>
      <c r="C97" s="28">
        <v>565000</v>
      </c>
      <c r="D97" s="33"/>
      <c r="E97" s="28">
        <v>997000</v>
      </c>
      <c r="F97" s="33"/>
      <c r="G97" s="28">
        <v>907000</v>
      </c>
      <c r="H97" s="33"/>
      <c r="I97" s="28">
        <v>206000</v>
      </c>
      <c r="J97" s="28">
        <v>133000</v>
      </c>
      <c r="K97" s="28">
        <v>318000</v>
      </c>
      <c r="L97" s="28">
        <v>365000</v>
      </c>
      <c r="M97" s="28">
        <v>393000</v>
      </c>
      <c r="N97" s="28">
        <v>472000</v>
      </c>
      <c r="O97" s="28">
        <v>472000</v>
      </c>
      <c r="P97" s="28">
        <v>355000</v>
      </c>
      <c r="Q97" s="28">
        <v>484000</v>
      </c>
      <c r="R97" s="28">
        <v>234000</v>
      </c>
      <c r="S97" s="28">
        <v>444000</v>
      </c>
      <c r="T97" s="28">
        <v>494000</v>
      </c>
      <c r="U97" s="28">
        <v>444000</v>
      </c>
      <c r="V97" s="28">
        <v>457000</v>
      </c>
      <c r="W97" s="28">
        <v>444000</v>
      </c>
      <c r="X97" s="28">
        <v>473000</v>
      </c>
      <c r="Y97" s="28">
        <v>259000</v>
      </c>
      <c r="Z97" s="28">
        <v>259000</v>
      </c>
      <c r="AA97" s="28">
        <v>259000</v>
      </c>
      <c r="AB97" s="28">
        <v>259000</v>
      </c>
      <c r="AC97" s="28">
        <v>256000</v>
      </c>
      <c r="AD97" s="28">
        <v>278000</v>
      </c>
      <c r="AE97" s="28">
        <v>278000</v>
      </c>
      <c r="AF97" s="28">
        <v>273000</v>
      </c>
      <c r="AG97" s="28">
        <v>259000</v>
      </c>
      <c r="AH97" s="28">
        <v>255000</v>
      </c>
      <c r="AI97" s="28">
        <v>255000</v>
      </c>
      <c r="AJ97" s="28">
        <v>255000</v>
      </c>
      <c r="AK97" s="28">
        <v>296000</v>
      </c>
      <c r="AL97" s="28">
        <v>274000</v>
      </c>
      <c r="AM97" s="28">
        <v>274000</v>
      </c>
      <c r="AN97" s="28">
        <v>296000</v>
      </c>
      <c r="AO97" s="28">
        <v>414000</v>
      </c>
    </row>
    <row r="98" spans="1:41" ht="18" x14ac:dyDescent="0.25">
      <c r="A98" s="30" t="s">
        <v>89</v>
      </c>
      <c r="B98" s="25"/>
      <c r="C98" s="25"/>
      <c r="D98" s="33"/>
      <c r="E98" s="25"/>
      <c r="F98" s="33"/>
      <c r="G98" s="25"/>
      <c r="H98" s="33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</row>
    <row r="99" spans="1:41" ht="15" x14ac:dyDescent="0.2">
      <c r="A99" s="31" t="s">
        <v>81</v>
      </c>
      <c r="B99" s="28">
        <v>405000</v>
      </c>
      <c r="C99" s="28">
        <v>238000</v>
      </c>
      <c r="D99" s="33"/>
      <c r="E99" s="28">
        <v>420000</v>
      </c>
      <c r="F99" s="33"/>
      <c r="G99" s="28">
        <v>400000</v>
      </c>
      <c r="H99" s="33"/>
      <c r="I99" s="28">
        <v>88000</v>
      </c>
      <c r="J99" s="28">
        <v>58000</v>
      </c>
      <c r="K99" s="28">
        <v>138000</v>
      </c>
      <c r="L99" s="28">
        <v>158000</v>
      </c>
      <c r="M99" s="28">
        <v>171000</v>
      </c>
      <c r="N99" s="28">
        <v>205000</v>
      </c>
      <c r="O99" s="28">
        <v>205000</v>
      </c>
      <c r="P99" s="28">
        <v>153000</v>
      </c>
      <c r="Q99" s="28">
        <v>208000</v>
      </c>
      <c r="R99" s="28">
        <v>102000</v>
      </c>
      <c r="S99" s="28">
        <v>192000</v>
      </c>
      <c r="T99" s="28">
        <v>213000</v>
      </c>
      <c r="U99" s="28">
        <v>192000</v>
      </c>
      <c r="V99" s="28">
        <v>197000</v>
      </c>
      <c r="W99" s="28">
        <v>191000</v>
      </c>
      <c r="X99" s="28">
        <v>203000</v>
      </c>
      <c r="Y99" s="28">
        <v>111000</v>
      </c>
      <c r="Z99" s="28">
        <v>111000</v>
      </c>
      <c r="AA99" s="28">
        <v>111000</v>
      </c>
      <c r="AB99" s="28">
        <v>111000</v>
      </c>
      <c r="AC99" s="28">
        <v>110000</v>
      </c>
      <c r="AD99" s="28">
        <v>119000</v>
      </c>
      <c r="AE99" s="28">
        <v>119000</v>
      </c>
      <c r="AF99" s="28">
        <v>117000</v>
      </c>
      <c r="AG99" s="28">
        <v>111000</v>
      </c>
      <c r="AH99" s="28">
        <v>109000</v>
      </c>
      <c r="AI99" s="28">
        <v>109000</v>
      </c>
      <c r="AJ99" s="28">
        <v>109000</v>
      </c>
      <c r="AK99" s="28">
        <v>131000</v>
      </c>
      <c r="AL99" s="28">
        <v>121000</v>
      </c>
      <c r="AM99" s="28">
        <v>121000</v>
      </c>
      <c r="AN99" s="28">
        <v>131000</v>
      </c>
      <c r="AO99" s="28">
        <v>179000</v>
      </c>
    </row>
    <row r="100" spans="1:41" ht="15" x14ac:dyDescent="0.2">
      <c r="A100" s="26" t="s">
        <v>82</v>
      </c>
      <c r="B100" s="28">
        <v>432000</v>
      </c>
      <c r="C100" s="28">
        <v>254000</v>
      </c>
      <c r="D100" s="33"/>
      <c r="E100" s="28">
        <v>448000</v>
      </c>
      <c r="F100" s="33"/>
      <c r="G100" s="28">
        <v>422000</v>
      </c>
      <c r="H100" s="33"/>
      <c r="I100" s="28">
        <v>94000</v>
      </c>
      <c r="J100" s="28">
        <v>61000</v>
      </c>
      <c r="K100" s="28">
        <v>146000</v>
      </c>
      <c r="L100" s="28">
        <v>168000</v>
      </c>
      <c r="M100" s="28">
        <v>182000</v>
      </c>
      <c r="N100" s="28">
        <v>218000</v>
      </c>
      <c r="O100" s="28">
        <v>218000</v>
      </c>
      <c r="P100" s="28">
        <v>163000</v>
      </c>
      <c r="Q100" s="28">
        <v>221000</v>
      </c>
      <c r="R100" s="28">
        <v>108000</v>
      </c>
      <c r="S100" s="28">
        <v>203000</v>
      </c>
      <c r="T100" s="28">
        <v>226000</v>
      </c>
      <c r="U100" s="28">
        <v>203000</v>
      </c>
      <c r="V100" s="28">
        <v>209000</v>
      </c>
      <c r="W100" s="28">
        <v>203000</v>
      </c>
      <c r="X100" s="28">
        <v>216000</v>
      </c>
      <c r="Y100" s="28">
        <v>118000</v>
      </c>
      <c r="Z100" s="28">
        <v>118000</v>
      </c>
      <c r="AA100" s="28">
        <v>118000</v>
      </c>
      <c r="AB100" s="28">
        <v>118000</v>
      </c>
      <c r="AC100" s="28">
        <v>117000</v>
      </c>
      <c r="AD100" s="28">
        <v>126000</v>
      </c>
      <c r="AE100" s="28">
        <v>126000</v>
      </c>
      <c r="AF100" s="28">
        <v>124000</v>
      </c>
      <c r="AG100" s="28">
        <v>118000</v>
      </c>
      <c r="AH100" s="28">
        <v>116000</v>
      </c>
      <c r="AI100" s="28">
        <v>116000</v>
      </c>
      <c r="AJ100" s="28">
        <v>116000</v>
      </c>
      <c r="AK100" s="28">
        <v>138000</v>
      </c>
      <c r="AL100" s="28">
        <v>128000</v>
      </c>
      <c r="AM100" s="28">
        <v>128000</v>
      </c>
      <c r="AN100" s="28">
        <v>138000</v>
      </c>
      <c r="AO100" s="28">
        <v>190000</v>
      </c>
    </row>
    <row r="101" spans="1:41" ht="15" x14ac:dyDescent="0.2">
      <c r="A101" s="26" t="s">
        <v>83</v>
      </c>
      <c r="B101" s="28">
        <v>450000</v>
      </c>
      <c r="C101" s="28">
        <v>265000</v>
      </c>
      <c r="D101" s="33"/>
      <c r="E101" s="28">
        <v>467000</v>
      </c>
      <c r="F101" s="33"/>
      <c r="G101" s="28">
        <v>436000</v>
      </c>
      <c r="H101" s="33"/>
      <c r="I101" s="28">
        <v>98000</v>
      </c>
      <c r="J101" s="28">
        <v>64000</v>
      </c>
      <c r="K101" s="28">
        <v>152000</v>
      </c>
      <c r="L101" s="28">
        <v>174000</v>
      </c>
      <c r="M101" s="28">
        <v>188000</v>
      </c>
      <c r="N101" s="28">
        <v>226000</v>
      </c>
      <c r="O101" s="28">
        <v>226000</v>
      </c>
      <c r="P101" s="28">
        <v>169000</v>
      </c>
      <c r="Q101" s="28">
        <v>230000</v>
      </c>
      <c r="R101" s="28">
        <v>112000</v>
      </c>
      <c r="S101" s="28">
        <v>211000</v>
      </c>
      <c r="T101" s="28">
        <v>235000</v>
      </c>
      <c r="U101" s="28">
        <v>211000</v>
      </c>
      <c r="V101" s="28">
        <v>217000</v>
      </c>
      <c r="W101" s="28">
        <v>211000</v>
      </c>
      <c r="X101" s="28">
        <v>224000</v>
      </c>
      <c r="Y101" s="28">
        <v>123000</v>
      </c>
      <c r="Z101" s="28">
        <v>123000</v>
      </c>
      <c r="AA101" s="28">
        <v>123000</v>
      </c>
      <c r="AB101" s="28">
        <v>123000</v>
      </c>
      <c r="AC101" s="28">
        <v>121000</v>
      </c>
      <c r="AD101" s="28">
        <v>131000</v>
      </c>
      <c r="AE101" s="28">
        <v>131000</v>
      </c>
      <c r="AF101" s="28">
        <v>129000</v>
      </c>
      <c r="AG101" s="28">
        <v>123000</v>
      </c>
      <c r="AH101" s="28">
        <v>121000</v>
      </c>
      <c r="AI101" s="28">
        <v>121000</v>
      </c>
      <c r="AJ101" s="28">
        <v>121000</v>
      </c>
      <c r="AK101" s="28">
        <v>143000</v>
      </c>
      <c r="AL101" s="28">
        <v>133000</v>
      </c>
      <c r="AM101" s="28">
        <v>133000</v>
      </c>
      <c r="AN101" s="28">
        <v>143000</v>
      </c>
      <c r="AO101" s="28">
        <v>197000</v>
      </c>
    </row>
    <row r="102" spans="1:41" ht="15" x14ac:dyDescent="0.2">
      <c r="A102" s="26" t="s">
        <v>84</v>
      </c>
      <c r="B102" s="28">
        <v>540000</v>
      </c>
      <c r="C102" s="28">
        <v>318000</v>
      </c>
      <c r="D102" s="33"/>
      <c r="E102" s="28">
        <v>561000</v>
      </c>
      <c r="F102" s="33"/>
      <c r="G102" s="28">
        <v>508000</v>
      </c>
      <c r="H102" s="33"/>
      <c r="I102" s="28">
        <v>116000</v>
      </c>
      <c r="J102" s="28">
        <v>75000</v>
      </c>
      <c r="K102" s="28">
        <v>180000</v>
      </c>
      <c r="L102" s="28">
        <v>206000</v>
      </c>
      <c r="M102" s="28">
        <v>223000</v>
      </c>
      <c r="N102" s="28">
        <v>267000</v>
      </c>
      <c r="O102" s="28">
        <v>267000</v>
      </c>
      <c r="P102" s="28">
        <v>201000</v>
      </c>
      <c r="Q102" s="28">
        <v>273000</v>
      </c>
      <c r="R102" s="28">
        <v>133000</v>
      </c>
      <c r="S102" s="28">
        <v>251000</v>
      </c>
      <c r="T102" s="28">
        <v>279000</v>
      </c>
      <c r="U102" s="28">
        <v>251000</v>
      </c>
      <c r="V102" s="28">
        <v>258000</v>
      </c>
      <c r="W102" s="28">
        <v>251000</v>
      </c>
      <c r="X102" s="28">
        <v>267000</v>
      </c>
      <c r="Y102" s="28">
        <v>146000</v>
      </c>
      <c r="Z102" s="28">
        <v>146000</v>
      </c>
      <c r="AA102" s="28">
        <v>146000</v>
      </c>
      <c r="AB102" s="28">
        <v>146000</v>
      </c>
      <c r="AC102" s="28">
        <v>145000</v>
      </c>
      <c r="AD102" s="28">
        <v>157000</v>
      </c>
      <c r="AE102" s="28">
        <v>157000</v>
      </c>
      <c r="AF102" s="28">
        <v>154000</v>
      </c>
      <c r="AG102" s="28">
        <v>146000</v>
      </c>
      <c r="AH102" s="28">
        <v>144000</v>
      </c>
      <c r="AI102" s="28">
        <v>144000</v>
      </c>
      <c r="AJ102" s="28">
        <v>144000</v>
      </c>
      <c r="AK102" s="28">
        <v>168000</v>
      </c>
      <c r="AL102" s="28">
        <v>156000</v>
      </c>
      <c r="AM102" s="28">
        <v>156000</v>
      </c>
      <c r="AN102" s="28">
        <v>168000</v>
      </c>
      <c r="AO102" s="28">
        <v>234000</v>
      </c>
    </row>
    <row r="103" spans="1:41" ht="15" x14ac:dyDescent="0.2">
      <c r="A103" s="26" t="s">
        <v>85</v>
      </c>
      <c r="B103" s="28">
        <v>812000</v>
      </c>
      <c r="C103" s="28">
        <v>477000</v>
      </c>
      <c r="D103" s="33"/>
      <c r="E103" s="28">
        <v>842000</v>
      </c>
      <c r="F103" s="33"/>
      <c r="G103" s="28">
        <v>725000</v>
      </c>
      <c r="H103" s="33"/>
      <c r="I103" s="28">
        <v>172000</v>
      </c>
      <c r="J103" s="28">
        <v>110000</v>
      </c>
      <c r="K103" s="28">
        <v>265000</v>
      </c>
      <c r="L103" s="28">
        <v>303000</v>
      </c>
      <c r="M103" s="28">
        <v>325000</v>
      </c>
      <c r="N103" s="28">
        <v>390000</v>
      </c>
      <c r="O103" s="28">
        <v>390000</v>
      </c>
      <c r="P103" s="28">
        <v>296000</v>
      </c>
      <c r="Q103" s="28">
        <v>404000</v>
      </c>
      <c r="R103" s="28">
        <v>194000</v>
      </c>
      <c r="S103" s="28">
        <v>370000</v>
      </c>
      <c r="T103" s="28">
        <v>412000</v>
      </c>
      <c r="U103" s="28">
        <v>370000</v>
      </c>
      <c r="V103" s="28">
        <v>381000</v>
      </c>
      <c r="W103" s="28">
        <v>370000</v>
      </c>
      <c r="X103" s="28">
        <v>394000</v>
      </c>
      <c r="Y103" s="28">
        <v>217000</v>
      </c>
      <c r="Z103" s="28">
        <v>217000</v>
      </c>
      <c r="AA103" s="28">
        <v>217000</v>
      </c>
      <c r="AB103" s="28">
        <v>217000</v>
      </c>
      <c r="AC103" s="28">
        <v>214000</v>
      </c>
      <c r="AD103" s="28">
        <v>232000</v>
      </c>
      <c r="AE103" s="28">
        <v>232000</v>
      </c>
      <c r="AF103" s="28">
        <v>229000</v>
      </c>
      <c r="AG103" s="28">
        <v>217000</v>
      </c>
      <c r="AH103" s="28">
        <v>213000</v>
      </c>
      <c r="AI103" s="28">
        <v>213000</v>
      </c>
      <c r="AJ103" s="28">
        <v>213000</v>
      </c>
      <c r="AK103" s="28">
        <v>242000</v>
      </c>
      <c r="AL103" s="28">
        <v>224000</v>
      </c>
      <c r="AM103" s="28">
        <v>224000</v>
      </c>
      <c r="AN103" s="28">
        <v>242000</v>
      </c>
      <c r="AO103" s="28">
        <v>343000</v>
      </c>
    </row>
    <row r="104" spans="1:41" ht="15" x14ac:dyDescent="0.2">
      <c r="A104" s="26" t="s">
        <v>86</v>
      </c>
      <c r="B104" s="28">
        <v>866000</v>
      </c>
      <c r="C104" s="28">
        <v>509000</v>
      </c>
      <c r="D104" s="33"/>
      <c r="E104" s="28">
        <v>899000</v>
      </c>
      <c r="F104" s="33"/>
      <c r="G104" s="28">
        <v>769000</v>
      </c>
      <c r="H104" s="33"/>
      <c r="I104" s="28">
        <v>183000</v>
      </c>
      <c r="J104" s="28">
        <v>117000</v>
      </c>
      <c r="K104" s="28">
        <v>282000</v>
      </c>
      <c r="L104" s="28">
        <v>322000</v>
      </c>
      <c r="M104" s="28">
        <v>346000</v>
      </c>
      <c r="N104" s="28">
        <v>415000</v>
      </c>
      <c r="O104" s="28">
        <v>415000</v>
      </c>
      <c r="P104" s="28">
        <v>315000</v>
      </c>
      <c r="Q104" s="28">
        <v>430000</v>
      </c>
      <c r="R104" s="28">
        <v>206000</v>
      </c>
      <c r="S104" s="28">
        <v>393000</v>
      </c>
      <c r="T104" s="28">
        <v>439000</v>
      </c>
      <c r="U104" s="28">
        <v>393000</v>
      </c>
      <c r="V104" s="28">
        <v>405000</v>
      </c>
      <c r="W104" s="28">
        <v>394000</v>
      </c>
      <c r="X104" s="28">
        <v>420000</v>
      </c>
      <c r="Y104" s="28">
        <v>231000</v>
      </c>
      <c r="Z104" s="28">
        <v>231000</v>
      </c>
      <c r="AA104" s="28">
        <v>231000</v>
      </c>
      <c r="AB104" s="28">
        <v>231000</v>
      </c>
      <c r="AC104" s="28">
        <v>228000</v>
      </c>
      <c r="AD104" s="28">
        <v>248000</v>
      </c>
      <c r="AE104" s="28">
        <v>248000</v>
      </c>
      <c r="AF104" s="28">
        <v>244000</v>
      </c>
      <c r="AG104" s="28">
        <v>231000</v>
      </c>
      <c r="AH104" s="28">
        <v>227000</v>
      </c>
      <c r="AI104" s="28">
        <v>227000</v>
      </c>
      <c r="AJ104" s="28">
        <v>227000</v>
      </c>
      <c r="AK104" s="28">
        <v>257000</v>
      </c>
      <c r="AL104" s="28">
        <v>237000</v>
      </c>
      <c r="AM104" s="28">
        <v>237000</v>
      </c>
      <c r="AN104" s="28">
        <v>257000</v>
      </c>
      <c r="AO104" s="28">
        <v>365000</v>
      </c>
    </row>
    <row r="105" spans="1:41" ht="15" x14ac:dyDescent="0.2">
      <c r="A105" s="26" t="s">
        <v>87</v>
      </c>
      <c r="B105" s="28">
        <v>902000</v>
      </c>
      <c r="C105" s="28">
        <v>530000</v>
      </c>
      <c r="D105" s="33"/>
      <c r="E105" s="28">
        <v>936000</v>
      </c>
      <c r="F105" s="33"/>
      <c r="G105" s="28">
        <v>798000</v>
      </c>
      <c r="H105" s="33"/>
      <c r="I105" s="28">
        <v>191000</v>
      </c>
      <c r="J105" s="28">
        <v>122000</v>
      </c>
      <c r="K105" s="28">
        <v>293000</v>
      </c>
      <c r="L105" s="28">
        <v>335000</v>
      </c>
      <c r="M105" s="28">
        <v>360000</v>
      </c>
      <c r="N105" s="28">
        <v>431000</v>
      </c>
      <c r="O105" s="28">
        <v>431000</v>
      </c>
      <c r="P105" s="28">
        <v>327000</v>
      </c>
      <c r="Q105" s="28">
        <v>448000</v>
      </c>
      <c r="R105" s="28">
        <v>214000</v>
      </c>
      <c r="S105" s="28">
        <v>409000</v>
      </c>
      <c r="T105" s="28">
        <v>456000</v>
      </c>
      <c r="U105" s="28">
        <v>409000</v>
      </c>
      <c r="V105" s="28">
        <v>422000</v>
      </c>
      <c r="W105" s="28">
        <v>410000</v>
      </c>
      <c r="X105" s="28">
        <v>437000</v>
      </c>
      <c r="Y105" s="28">
        <v>241000</v>
      </c>
      <c r="Z105" s="28">
        <v>241000</v>
      </c>
      <c r="AA105" s="28">
        <v>241000</v>
      </c>
      <c r="AB105" s="28">
        <v>241000</v>
      </c>
      <c r="AC105" s="28">
        <v>237000</v>
      </c>
      <c r="AD105" s="28">
        <v>258000</v>
      </c>
      <c r="AE105" s="28">
        <v>258000</v>
      </c>
      <c r="AF105" s="28">
        <v>253000</v>
      </c>
      <c r="AG105" s="28">
        <v>241000</v>
      </c>
      <c r="AH105" s="28">
        <v>236000</v>
      </c>
      <c r="AI105" s="28">
        <v>236000</v>
      </c>
      <c r="AJ105" s="28">
        <v>236000</v>
      </c>
      <c r="AK105" s="28">
        <v>267000</v>
      </c>
      <c r="AL105" s="28">
        <v>247000</v>
      </c>
      <c r="AM105" s="28">
        <v>247000</v>
      </c>
      <c r="AN105" s="28">
        <v>267000</v>
      </c>
      <c r="AO105" s="28">
        <v>380000</v>
      </c>
    </row>
    <row r="106" spans="1:41" ht="15" x14ac:dyDescent="0.2">
      <c r="A106" s="26" t="s">
        <v>88</v>
      </c>
      <c r="B106" s="28">
        <v>1083000</v>
      </c>
      <c r="C106" s="28">
        <v>637000</v>
      </c>
      <c r="D106" s="33"/>
      <c r="E106" s="28">
        <v>1124000</v>
      </c>
      <c r="F106" s="33"/>
      <c r="G106" s="28">
        <v>942000</v>
      </c>
      <c r="H106" s="33"/>
      <c r="I106" s="28">
        <v>228000</v>
      </c>
      <c r="J106" s="28">
        <v>145000</v>
      </c>
      <c r="K106" s="28">
        <v>349000</v>
      </c>
      <c r="L106" s="28">
        <v>399000</v>
      </c>
      <c r="M106" s="28">
        <v>428000</v>
      </c>
      <c r="N106" s="28">
        <v>514000</v>
      </c>
      <c r="O106" s="28">
        <v>514000</v>
      </c>
      <c r="P106" s="28">
        <v>390000</v>
      </c>
      <c r="Q106" s="28">
        <v>535000</v>
      </c>
      <c r="R106" s="28">
        <v>255000</v>
      </c>
      <c r="S106" s="28">
        <v>488000</v>
      </c>
      <c r="T106" s="28">
        <v>545000</v>
      </c>
      <c r="U106" s="28">
        <v>488000</v>
      </c>
      <c r="V106" s="28">
        <v>503000</v>
      </c>
      <c r="W106" s="28">
        <v>489000</v>
      </c>
      <c r="X106" s="28">
        <v>521000</v>
      </c>
      <c r="Y106" s="28">
        <v>288000</v>
      </c>
      <c r="Z106" s="28">
        <v>288000</v>
      </c>
      <c r="AA106" s="28">
        <v>288000</v>
      </c>
      <c r="AB106" s="28">
        <v>288000</v>
      </c>
      <c r="AC106" s="28">
        <v>284000</v>
      </c>
      <c r="AD106" s="28">
        <v>308000</v>
      </c>
      <c r="AE106" s="28">
        <v>308000</v>
      </c>
      <c r="AF106" s="28">
        <v>303000</v>
      </c>
      <c r="AG106" s="28">
        <v>288000</v>
      </c>
      <c r="AH106" s="28">
        <v>283000</v>
      </c>
      <c r="AI106" s="28">
        <v>283000</v>
      </c>
      <c r="AJ106" s="28">
        <v>283000</v>
      </c>
      <c r="AK106" s="28">
        <v>317000</v>
      </c>
      <c r="AL106" s="28">
        <v>292000</v>
      </c>
      <c r="AM106" s="28">
        <v>292000</v>
      </c>
      <c r="AN106" s="28">
        <v>317000</v>
      </c>
      <c r="AO106" s="28">
        <v>453000</v>
      </c>
    </row>
    <row r="107" spans="1:41" ht="18" x14ac:dyDescent="0.25">
      <c r="A107" s="30" t="s">
        <v>90</v>
      </c>
      <c r="B107" s="25"/>
      <c r="C107" s="25"/>
      <c r="D107" s="33"/>
      <c r="E107" s="25"/>
      <c r="F107" s="33"/>
      <c r="G107" s="25"/>
      <c r="H107" s="33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</row>
    <row r="108" spans="1:41" ht="15" x14ac:dyDescent="0.2">
      <c r="A108" s="31" t="s">
        <v>81</v>
      </c>
      <c r="B108" s="28">
        <v>268000</v>
      </c>
      <c r="C108" s="28">
        <v>158000</v>
      </c>
      <c r="D108" s="33"/>
      <c r="E108" s="28">
        <v>278000</v>
      </c>
      <c r="F108" s="33"/>
      <c r="G108" s="28">
        <v>350000</v>
      </c>
      <c r="H108" s="33"/>
      <c r="I108" s="28">
        <v>63000</v>
      </c>
      <c r="J108" s="28">
        <v>42000</v>
      </c>
      <c r="K108" s="28">
        <v>101000</v>
      </c>
      <c r="L108" s="28">
        <v>116000</v>
      </c>
      <c r="M108" s="28">
        <v>129000</v>
      </c>
      <c r="N108" s="28">
        <v>154000</v>
      </c>
      <c r="O108" s="28">
        <v>154000</v>
      </c>
      <c r="P108" s="28">
        <v>112000</v>
      </c>
      <c r="Q108" s="28">
        <v>149000</v>
      </c>
      <c r="R108" s="28">
        <v>77000</v>
      </c>
      <c r="S108" s="28">
        <v>139000</v>
      </c>
      <c r="T108" s="28">
        <v>153000</v>
      </c>
      <c r="U108" s="28">
        <v>139000</v>
      </c>
      <c r="V108" s="28">
        <v>141000</v>
      </c>
      <c r="W108" s="28">
        <v>138000</v>
      </c>
      <c r="X108" s="28">
        <v>146000</v>
      </c>
      <c r="Y108" s="28">
        <v>78000</v>
      </c>
      <c r="Z108" s="28">
        <v>78000</v>
      </c>
      <c r="AA108" s="28">
        <v>78000</v>
      </c>
      <c r="AB108" s="28">
        <v>78000</v>
      </c>
      <c r="AC108" s="28">
        <v>77000</v>
      </c>
      <c r="AD108" s="28">
        <v>83000</v>
      </c>
      <c r="AE108" s="28">
        <v>83000</v>
      </c>
      <c r="AF108" s="28">
        <v>82000</v>
      </c>
      <c r="AG108" s="28">
        <v>78000</v>
      </c>
      <c r="AH108" s="28">
        <v>77000</v>
      </c>
      <c r="AI108" s="28">
        <v>77000</v>
      </c>
      <c r="AJ108" s="28">
        <v>77000</v>
      </c>
      <c r="AK108" s="28">
        <v>103000</v>
      </c>
      <c r="AL108" s="28">
        <v>97000</v>
      </c>
      <c r="AM108" s="28">
        <v>97000</v>
      </c>
      <c r="AN108" s="28">
        <v>103000</v>
      </c>
      <c r="AO108" s="28">
        <v>132000</v>
      </c>
    </row>
    <row r="109" spans="1:41" ht="15" x14ac:dyDescent="0.2">
      <c r="A109" s="26" t="s">
        <v>82</v>
      </c>
      <c r="B109" s="28">
        <v>286000</v>
      </c>
      <c r="C109" s="28">
        <v>168000</v>
      </c>
      <c r="D109" s="33"/>
      <c r="E109" s="28">
        <v>296000</v>
      </c>
      <c r="F109" s="33"/>
      <c r="G109" s="28">
        <v>370000</v>
      </c>
      <c r="H109" s="33"/>
      <c r="I109" s="28">
        <v>67000</v>
      </c>
      <c r="J109" s="28">
        <v>45000</v>
      </c>
      <c r="K109" s="28">
        <v>107000</v>
      </c>
      <c r="L109" s="28">
        <v>124000</v>
      </c>
      <c r="M109" s="28">
        <v>136000</v>
      </c>
      <c r="N109" s="28">
        <v>164000</v>
      </c>
      <c r="O109" s="28">
        <v>164000</v>
      </c>
      <c r="P109" s="28">
        <v>119000</v>
      </c>
      <c r="Q109" s="28">
        <v>158000</v>
      </c>
      <c r="R109" s="28">
        <v>82000</v>
      </c>
      <c r="S109" s="28">
        <v>148000</v>
      </c>
      <c r="T109" s="28">
        <v>163000</v>
      </c>
      <c r="U109" s="28">
        <v>148000</v>
      </c>
      <c r="V109" s="28">
        <v>150000</v>
      </c>
      <c r="W109" s="28">
        <v>146000</v>
      </c>
      <c r="X109" s="28">
        <v>155000</v>
      </c>
      <c r="Y109" s="28">
        <v>83000</v>
      </c>
      <c r="Z109" s="28">
        <v>83000</v>
      </c>
      <c r="AA109" s="28">
        <v>83000</v>
      </c>
      <c r="AB109" s="28">
        <v>83000</v>
      </c>
      <c r="AC109" s="28">
        <v>82000</v>
      </c>
      <c r="AD109" s="28">
        <v>89000</v>
      </c>
      <c r="AE109" s="28">
        <v>89000</v>
      </c>
      <c r="AF109" s="28">
        <v>87000</v>
      </c>
      <c r="AG109" s="28">
        <v>83000</v>
      </c>
      <c r="AH109" s="28">
        <v>82000</v>
      </c>
      <c r="AI109" s="28">
        <v>82000</v>
      </c>
      <c r="AJ109" s="28">
        <v>82000</v>
      </c>
      <c r="AK109" s="28">
        <v>109000</v>
      </c>
      <c r="AL109" s="28">
        <v>103000</v>
      </c>
      <c r="AM109" s="28">
        <v>103000</v>
      </c>
      <c r="AN109" s="28">
        <v>109000</v>
      </c>
      <c r="AO109" s="28">
        <v>140000</v>
      </c>
    </row>
    <row r="110" spans="1:41" ht="15" x14ac:dyDescent="0.2">
      <c r="A110" s="26" t="s">
        <v>83</v>
      </c>
      <c r="B110" s="28">
        <v>298000</v>
      </c>
      <c r="C110" s="28">
        <v>175000</v>
      </c>
      <c r="D110" s="33"/>
      <c r="E110" s="28">
        <v>309000</v>
      </c>
      <c r="F110" s="33"/>
      <c r="G110" s="28">
        <v>383000</v>
      </c>
      <c r="H110" s="33"/>
      <c r="I110" s="28">
        <v>69000</v>
      </c>
      <c r="J110" s="28">
        <v>47000</v>
      </c>
      <c r="K110" s="28">
        <v>111000</v>
      </c>
      <c r="L110" s="28">
        <v>128000</v>
      </c>
      <c r="M110" s="28">
        <v>142000</v>
      </c>
      <c r="N110" s="28">
        <v>170000</v>
      </c>
      <c r="O110" s="28">
        <v>170000</v>
      </c>
      <c r="P110" s="28">
        <v>123000</v>
      </c>
      <c r="Q110" s="28">
        <v>164000</v>
      </c>
      <c r="R110" s="28">
        <v>85000</v>
      </c>
      <c r="S110" s="28">
        <v>153000</v>
      </c>
      <c r="T110" s="28">
        <v>169000</v>
      </c>
      <c r="U110" s="28">
        <v>153000</v>
      </c>
      <c r="V110" s="28">
        <v>156000</v>
      </c>
      <c r="W110" s="28">
        <v>152000</v>
      </c>
      <c r="X110" s="28">
        <v>161000</v>
      </c>
      <c r="Y110" s="28">
        <v>87000</v>
      </c>
      <c r="Z110" s="28">
        <v>87000</v>
      </c>
      <c r="AA110" s="28">
        <v>87000</v>
      </c>
      <c r="AB110" s="28">
        <v>87000</v>
      </c>
      <c r="AC110" s="28">
        <v>85000</v>
      </c>
      <c r="AD110" s="28">
        <v>92000</v>
      </c>
      <c r="AE110" s="28">
        <v>92000</v>
      </c>
      <c r="AF110" s="28">
        <v>91000</v>
      </c>
      <c r="AG110" s="28">
        <v>87000</v>
      </c>
      <c r="AH110" s="28">
        <v>85000</v>
      </c>
      <c r="AI110" s="28">
        <v>85000</v>
      </c>
      <c r="AJ110" s="28">
        <v>85000</v>
      </c>
      <c r="AK110" s="28">
        <v>113000</v>
      </c>
      <c r="AL110" s="28">
        <v>106000</v>
      </c>
      <c r="AM110" s="28">
        <v>106000</v>
      </c>
      <c r="AN110" s="28">
        <v>113000</v>
      </c>
      <c r="AO110" s="28">
        <v>146000</v>
      </c>
    </row>
    <row r="111" spans="1:41" ht="15" x14ac:dyDescent="0.2">
      <c r="A111" s="26" t="s">
        <v>84</v>
      </c>
      <c r="B111" s="28">
        <v>357000</v>
      </c>
      <c r="C111" s="28">
        <v>210000</v>
      </c>
      <c r="D111" s="33"/>
      <c r="E111" s="28">
        <v>371000</v>
      </c>
      <c r="F111" s="33"/>
      <c r="G111" s="28">
        <v>448000</v>
      </c>
      <c r="H111" s="33"/>
      <c r="I111" s="28">
        <v>83000</v>
      </c>
      <c r="J111" s="28">
        <v>55000</v>
      </c>
      <c r="K111" s="28">
        <v>132000</v>
      </c>
      <c r="L111" s="28">
        <v>152000</v>
      </c>
      <c r="M111" s="28">
        <v>168000</v>
      </c>
      <c r="N111" s="28">
        <v>201000</v>
      </c>
      <c r="O111" s="28">
        <v>201000</v>
      </c>
      <c r="P111" s="28">
        <v>146000</v>
      </c>
      <c r="Q111" s="28">
        <v>196000</v>
      </c>
      <c r="R111" s="28">
        <v>100000</v>
      </c>
      <c r="S111" s="28">
        <v>182000</v>
      </c>
      <c r="T111" s="28">
        <v>201000</v>
      </c>
      <c r="U111" s="28">
        <v>182000</v>
      </c>
      <c r="V111" s="28">
        <v>186000</v>
      </c>
      <c r="W111" s="28">
        <v>181000</v>
      </c>
      <c r="X111" s="28">
        <v>192000</v>
      </c>
      <c r="Y111" s="28">
        <v>103000</v>
      </c>
      <c r="Z111" s="28">
        <v>103000</v>
      </c>
      <c r="AA111" s="28">
        <v>103000</v>
      </c>
      <c r="AB111" s="28">
        <v>103000</v>
      </c>
      <c r="AC111" s="28">
        <v>102000</v>
      </c>
      <c r="AD111" s="28">
        <v>110000</v>
      </c>
      <c r="AE111" s="28">
        <v>110000</v>
      </c>
      <c r="AF111" s="28">
        <v>108000</v>
      </c>
      <c r="AG111" s="28">
        <v>103000</v>
      </c>
      <c r="AH111" s="28">
        <v>101000</v>
      </c>
      <c r="AI111" s="28">
        <v>101000</v>
      </c>
      <c r="AJ111" s="28">
        <v>101000</v>
      </c>
      <c r="AK111" s="28">
        <v>133000</v>
      </c>
      <c r="AL111" s="28">
        <v>125000</v>
      </c>
      <c r="AM111" s="28">
        <v>125000</v>
      </c>
      <c r="AN111" s="28">
        <v>133000</v>
      </c>
      <c r="AO111" s="28">
        <v>173000</v>
      </c>
    </row>
    <row r="112" spans="1:41" ht="15" x14ac:dyDescent="0.2">
      <c r="A112" s="26" t="s">
        <v>85</v>
      </c>
      <c r="B112" s="28">
        <v>537000</v>
      </c>
      <c r="C112" s="28">
        <v>316000</v>
      </c>
      <c r="D112" s="33"/>
      <c r="E112" s="28">
        <v>557000</v>
      </c>
      <c r="F112" s="33"/>
      <c r="G112" s="28">
        <v>642000</v>
      </c>
      <c r="H112" s="33"/>
      <c r="I112" s="28">
        <v>122000</v>
      </c>
      <c r="J112" s="28">
        <v>81000</v>
      </c>
      <c r="K112" s="28">
        <v>194000</v>
      </c>
      <c r="L112" s="28">
        <v>224000</v>
      </c>
      <c r="M112" s="28">
        <v>246000</v>
      </c>
      <c r="N112" s="28">
        <v>295000</v>
      </c>
      <c r="O112" s="28">
        <v>295000</v>
      </c>
      <c r="P112" s="28">
        <v>216000</v>
      </c>
      <c r="Q112" s="28">
        <v>289000</v>
      </c>
      <c r="R112" s="28">
        <v>147000</v>
      </c>
      <c r="S112" s="28">
        <v>269000</v>
      </c>
      <c r="T112" s="28">
        <v>297000</v>
      </c>
      <c r="U112" s="28">
        <v>269000</v>
      </c>
      <c r="V112" s="28">
        <v>274000</v>
      </c>
      <c r="W112" s="28">
        <v>267000</v>
      </c>
      <c r="X112" s="28">
        <v>283000</v>
      </c>
      <c r="Y112" s="28">
        <v>153000</v>
      </c>
      <c r="Z112" s="28">
        <v>153000</v>
      </c>
      <c r="AA112" s="28">
        <v>153000</v>
      </c>
      <c r="AB112" s="28">
        <v>153000</v>
      </c>
      <c r="AC112" s="28">
        <v>151000</v>
      </c>
      <c r="AD112" s="28">
        <v>163000</v>
      </c>
      <c r="AE112" s="28">
        <v>163000</v>
      </c>
      <c r="AF112" s="28">
        <v>160000</v>
      </c>
      <c r="AG112" s="28">
        <v>153000</v>
      </c>
      <c r="AH112" s="28">
        <v>150000</v>
      </c>
      <c r="AI112" s="28">
        <v>150000</v>
      </c>
      <c r="AJ112" s="28">
        <v>150000</v>
      </c>
      <c r="AK112" s="28">
        <v>193000</v>
      </c>
      <c r="AL112" s="28">
        <v>181000</v>
      </c>
      <c r="AM112" s="28">
        <v>181000</v>
      </c>
      <c r="AN112" s="28">
        <v>193000</v>
      </c>
      <c r="AO112" s="28">
        <v>254000</v>
      </c>
    </row>
    <row r="113" spans="1:41" ht="15" x14ac:dyDescent="0.2">
      <c r="A113" s="26" t="s">
        <v>86</v>
      </c>
      <c r="B113" s="28">
        <v>573000</v>
      </c>
      <c r="C113" s="28">
        <v>337000</v>
      </c>
      <c r="D113" s="33"/>
      <c r="E113" s="28">
        <v>594000</v>
      </c>
      <c r="F113" s="33"/>
      <c r="G113" s="28">
        <v>681000</v>
      </c>
      <c r="H113" s="33"/>
      <c r="I113" s="28">
        <v>130000</v>
      </c>
      <c r="J113" s="28">
        <v>87000</v>
      </c>
      <c r="K113" s="28">
        <v>207000</v>
      </c>
      <c r="L113" s="28">
        <v>238000</v>
      </c>
      <c r="M113" s="28">
        <v>261000</v>
      </c>
      <c r="N113" s="28">
        <v>313000</v>
      </c>
      <c r="O113" s="28">
        <v>313000</v>
      </c>
      <c r="P113" s="28">
        <v>230000</v>
      </c>
      <c r="Q113" s="28">
        <v>308000</v>
      </c>
      <c r="R113" s="28">
        <v>156000</v>
      </c>
      <c r="S113" s="28">
        <v>286000</v>
      </c>
      <c r="T113" s="28">
        <v>316000</v>
      </c>
      <c r="U113" s="28">
        <v>286000</v>
      </c>
      <c r="V113" s="28">
        <v>292000</v>
      </c>
      <c r="W113" s="28">
        <v>285000</v>
      </c>
      <c r="X113" s="28">
        <v>302000</v>
      </c>
      <c r="Y113" s="28">
        <v>163000</v>
      </c>
      <c r="Z113" s="28">
        <v>163000</v>
      </c>
      <c r="AA113" s="28">
        <v>163000</v>
      </c>
      <c r="AB113" s="28">
        <v>163000</v>
      </c>
      <c r="AC113" s="28">
        <v>161000</v>
      </c>
      <c r="AD113" s="28">
        <v>174000</v>
      </c>
      <c r="AE113" s="28">
        <v>174000</v>
      </c>
      <c r="AF113" s="28">
        <v>171000</v>
      </c>
      <c r="AG113" s="28">
        <v>163000</v>
      </c>
      <c r="AH113" s="28">
        <v>160000</v>
      </c>
      <c r="AI113" s="28">
        <v>160000</v>
      </c>
      <c r="AJ113" s="28">
        <v>160000</v>
      </c>
      <c r="AK113" s="28">
        <v>205000</v>
      </c>
      <c r="AL113" s="28">
        <v>192000</v>
      </c>
      <c r="AM113" s="28">
        <v>192000</v>
      </c>
      <c r="AN113" s="28">
        <v>205000</v>
      </c>
      <c r="AO113" s="28">
        <v>270000</v>
      </c>
    </row>
    <row r="114" spans="1:41" ht="18" x14ac:dyDescent="0.25">
      <c r="A114" s="34" t="s">
        <v>91</v>
      </c>
      <c r="B114" s="25"/>
      <c r="C114" s="25"/>
      <c r="D114" s="33"/>
      <c r="E114" s="25"/>
      <c r="F114" s="33"/>
      <c r="G114" s="25"/>
      <c r="H114" s="33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</row>
    <row r="115" spans="1:41" ht="18" x14ac:dyDescent="0.25">
      <c r="A115" s="30" t="s">
        <v>92</v>
      </c>
      <c r="B115" s="25"/>
      <c r="C115" s="25"/>
      <c r="D115" s="33"/>
      <c r="E115" s="25"/>
      <c r="F115" s="33"/>
      <c r="G115" s="25"/>
      <c r="H115" s="33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</row>
    <row r="116" spans="1:41" ht="15" x14ac:dyDescent="0.2">
      <c r="A116" s="36" t="s">
        <v>93</v>
      </c>
      <c r="B116" s="28">
        <v>9198000</v>
      </c>
      <c r="C116" s="28">
        <v>5406000</v>
      </c>
      <c r="D116" s="33"/>
      <c r="E116" s="28">
        <v>9546000</v>
      </c>
      <c r="F116" s="33"/>
      <c r="G116" s="28">
        <v>3288000</v>
      </c>
      <c r="H116" s="33"/>
      <c r="I116" s="28">
        <v>1695000</v>
      </c>
      <c r="J116" s="28">
        <v>996000</v>
      </c>
      <c r="K116" s="28">
        <v>2437000</v>
      </c>
      <c r="L116" s="28">
        <v>2730000</v>
      </c>
      <c r="M116" s="28">
        <v>2777000</v>
      </c>
      <c r="N116" s="28">
        <v>3333000</v>
      </c>
      <c r="O116" s="28">
        <v>3333000</v>
      </c>
      <c r="P116" s="28">
        <v>2741000</v>
      </c>
      <c r="Q116" s="28">
        <v>3918000</v>
      </c>
      <c r="R116" s="28">
        <v>1643000</v>
      </c>
      <c r="S116" s="28">
        <v>3460000</v>
      </c>
      <c r="T116" s="28">
        <v>3939000</v>
      </c>
      <c r="U116" s="28">
        <v>3460000</v>
      </c>
      <c r="V116" s="28">
        <v>3641000</v>
      </c>
      <c r="W116" s="28">
        <v>3519000</v>
      </c>
      <c r="X116" s="28">
        <v>3793000</v>
      </c>
      <c r="Y116" s="28">
        <v>2184000</v>
      </c>
      <c r="Z116" s="28">
        <v>2184000</v>
      </c>
      <c r="AA116" s="28">
        <v>2184000</v>
      </c>
      <c r="AB116" s="28">
        <v>2184000</v>
      </c>
      <c r="AC116" s="28">
        <v>2151000</v>
      </c>
      <c r="AD116" s="28">
        <v>2358000</v>
      </c>
      <c r="AE116" s="28">
        <v>2358000</v>
      </c>
      <c r="AF116" s="28">
        <v>2314000</v>
      </c>
      <c r="AG116" s="28">
        <v>2184000</v>
      </c>
      <c r="AH116" s="28">
        <v>2140000</v>
      </c>
      <c r="AI116" s="28">
        <v>2140000</v>
      </c>
      <c r="AJ116" s="28">
        <v>2140000</v>
      </c>
      <c r="AK116" s="28">
        <v>1759000</v>
      </c>
      <c r="AL116" s="28">
        <v>1550000</v>
      </c>
      <c r="AM116" s="28">
        <v>1550000</v>
      </c>
      <c r="AN116" s="28">
        <v>1759000</v>
      </c>
      <c r="AO116" s="28">
        <v>3094000</v>
      </c>
    </row>
    <row r="117" spans="1:41" ht="15" x14ac:dyDescent="0.2">
      <c r="A117" s="38" t="s">
        <v>94</v>
      </c>
      <c r="B117" s="25"/>
      <c r="C117" s="28">
        <v>5766000</v>
      </c>
      <c r="D117" s="33"/>
      <c r="E117" s="28">
        <v>10182000</v>
      </c>
      <c r="F117" s="33"/>
      <c r="G117" s="28">
        <v>3480000</v>
      </c>
      <c r="H117" s="33"/>
      <c r="I117" s="28">
        <v>1807000</v>
      </c>
      <c r="J117" s="28">
        <v>1061000</v>
      </c>
      <c r="K117" s="28">
        <v>2596000</v>
      </c>
      <c r="L117" s="28">
        <v>2908000</v>
      </c>
      <c r="M117" s="28">
        <v>2957000</v>
      </c>
      <c r="N117" s="28">
        <v>3549000</v>
      </c>
      <c r="O117" s="28">
        <v>3549000</v>
      </c>
      <c r="P117" s="28">
        <v>2920000</v>
      </c>
      <c r="Q117" s="28">
        <v>4175000</v>
      </c>
      <c r="R117" s="28">
        <v>1750000</v>
      </c>
      <c r="S117" s="28">
        <v>3687000</v>
      </c>
      <c r="T117" s="28">
        <v>4198000</v>
      </c>
      <c r="U117" s="28">
        <v>3687000</v>
      </c>
      <c r="V117" s="28">
        <v>3880000</v>
      </c>
      <c r="W117" s="28">
        <v>3750000</v>
      </c>
      <c r="X117" s="28">
        <v>4043000</v>
      </c>
      <c r="Y117" s="28">
        <v>2328000</v>
      </c>
      <c r="Z117" s="28">
        <v>2328000</v>
      </c>
      <c r="AA117" s="28">
        <v>2328000</v>
      </c>
      <c r="AB117" s="28">
        <v>2328000</v>
      </c>
      <c r="AC117" s="28"/>
      <c r="AD117" s="28">
        <v>2514000</v>
      </c>
      <c r="AE117" s="28">
        <v>2514000</v>
      </c>
      <c r="AF117" s="28">
        <v>2467000</v>
      </c>
      <c r="AG117" s="28">
        <v>2328000</v>
      </c>
      <c r="AH117" s="28">
        <v>2282000</v>
      </c>
      <c r="AI117" s="28">
        <v>2282000</v>
      </c>
      <c r="AJ117" s="28">
        <v>2282000</v>
      </c>
      <c r="AK117" s="25"/>
      <c r="AL117" s="25"/>
      <c r="AM117" s="25"/>
      <c r="AN117" s="25"/>
      <c r="AO117" s="25"/>
    </row>
    <row r="118" spans="1:41" ht="15" x14ac:dyDescent="0.2">
      <c r="A118" s="38" t="s">
        <v>95</v>
      </c>
      <c r="B118" s="25"/>
      <c r="C118" s="28">
        <v>6127000</v>
      </c>
      <c r="D118" s="33"/>
      <c r="E118" s="28">
        <v>10819000</v>
      </c>
      <c r="F118" s="33"/>
      <c r="G118" s="28">
        <v>3672000</v>
      </c>
      <c r="H118" s="33"/>
      <c r="I118" s="28">
        <v>1918000</v>
      </c>
      <c r="J118" s="28">
        <v>1126000</v>
      </c>
      <c r="K118" s="28">
        <v>2756000</v>
      </c>
      <c r="L118" s="28">
        <v>3086000</v>
      </c>
      <c r="M118" s="28">
        <v>3137000</v>
      </c>
      <c r="N118" s="28">
        <v>3765000</v>
      </c>
      <c r="O118" s="28">
        <v>3765000</v>
      </c>
      <c r="P118" s="28">
        <v>3100000</v>
      </c>
      <c r="Q118" s="28">
        <v>4433000</v>
      </c>
      <c r="R118" s="28">
        <v>1856000</v>
      </c>
      <c r="S118" s="28">
        <v>3914000</v>
      </c>
      <c r="T118" s="28">
        <v>4457000</v>
      </c>
      <c r="U118" s="28">
        <v>3914000</v>
      </c>
      <c r="V118" s="28">
        <v>4119000</v>
      </c>
      <c r="W118" s="28">
        <v>3981000</v>
      </c>
      <c r="X118" s="28">
        <v>4292000</v>
      </c>
      <c r="Y118" s="28">
        <v>2472000</v>
      </c>
      <c r="Z118" s="28">
        <v>2472000</v>
      </c>
      <c r="AA118" s="28">
        <v>2472000</v>
      </c>
      <c r="AB118" s="28">
        <v>2472000</v>
      </c>
      <c r="AC118" s="28"/>
      <c r="AD118" s="28">
        <v>2669000</v>
      </c>
      <c r="AE118" s="28">
        <v>2669000</v>
      </c>
      <c r="AF118" s="28">
        <v>2620000</v>
      </c>
      <c r="AG118" s="28">
        <v>2472000</v>
      </c>
      <c r="AH118" s="28">
        <v>2423000</v>
      </c>
      <c r="AI118" s="28">
        <v>2423000</v>
      </c>
      <c r="AJ118" s="28">
        <v>2423000</v>
      </c>
      <c r="AK118" s="25"/>
      <c r="AL118" s="25"/>
      <c r="AM118" s="25"/>
      <c r="AN118" s="25"/>
      <c r="AO118" s="25"/>
    </row>
    <row r="119" spans="1:41" ht="15" x14ac:dyDescent="0.2">
      <c r="A119" s="38" t="s">
        <v>96</v>
      </c>
      <c r="B119" s="28">
        <v>8738000</v>
      </c>
      <c r="C119" s="28">
        <v>5136000</v>
      </c>
      <c r="D119" s="33"/>
      <c r="E119" s="28">
        <v>9069000</v>
      </c>
      <c r="F119" s="33"/>
      <c r="G119" s="28">
        <v>3144000</v>
      </c>
      <c r="H119" s="33"/>
      <c r="I119" s="28">
        <v>1611000</v>
      </c>
      <c r="J119" s="28">
        <v>947000</v>
      </c>
      <c r="K119" s="28">
        <v>2317000</v>
      </c>
      <c r="L119" s="28">
        <v>2597000</v>
      </c>
      <c r="M119" s="28">
        <v>2642000</v>
      </c>
      <c r="N119" s="28">
        <v>3171000</v>
      </c>
      <c r="O119" s="28">
        <v>3171000</v>
      </c>
      <c r="P119" s="28">
        <v>2607000</v>
      </c>
      <c r="Q119" s="28">
        <v>3725000</v>
      </c>
      <c r="R119" s="28">
        <v>1563000</v>
      </c>
      <c r="S119" s="28">
        <v>3290000</v>
      </c>
      <c r="T119" s="28">
        <v>3746000</v>
      </c>
      <c r="U119" s="28">
        <v>3290000</v>
      </c>
      <c r="V119" s="28">
        <v>3462000</v>
      </c>
      <c r="W119" s="28">
        <v>3346000</v>
      </c>
      <c r="X119" s="28">
        <v>3607000</v>
      </c>
      <c r="Y119" s="28">
        <v>2076000</v>
      </c>
      <c r="Z119" s="28">
        <v>2076000</v>
      </c>
      <c r="AA119" s="28">
        <v>2076000</v>
      </c>
      <c r="AB119" s="28">
        <v>2076000</v>
      </c>
      <c r="AC119" s="28">
        <v>2045000</v>
      </c>
      <c r="AD119" s="28">
        <v>2241000</v>
      </c>
      <c r="AE119" s="28">
        <v>2241000</v>
      </c>
      <c r="AF119" s="28">
        <v>2200000</v>
      </c>
      <c r="AG119" s="28">
        <v>2076000</v>
      </c>
      <c r="AH119" s="28">
        <v>2035000</v>
      </c>
      <c r="AI119" s="28">
        <v>2035000</v>
      </c>
      <c r="AJ119" s="28">
        <v>2035000</v>
      </c>
      <c r="AK119" s="28">
        <v>1675000</v>
      </c>
      <c r="AL119" s="28">
        <v>1477000</v>
      </c>
      <c r="AM119" s="28">
        <v>1477000</v>
      </c>
      <c r="AN119" s="28">
        <v>1675000</v>
      </c>
      <c r="AO119" s="28">
        <v>2942000</v>
      </c>
    </row>
    <row r="120" spans="1:41" ht="15" x14ac:dyDescent="0.2">
      <c r="A120" s="38" t="s">
        <v>97</v>
      </c>
      <c r="B120" s="28">
        <v>7972000</v>
      </c>
      <c r="C120" s="28">
        <v>4685000</v>
      </c>
      <c r="D120" s="33"/>
      <c r="E120" s="28">
        <v>8273000</v>
      </c>
      <c r="F120" s="33"/>
      <c r="G120" s="28">
        <v>2904000</v>
      </c>
      <c r="H120" s="33"/>
      <c r="I120" s="28">
        <v>1472000</v>
      </c>
      <c r="J120" s="28">
        <v>866000</v>
      </c>
      <c r="K120" s="28">
        <v>2118000</v>
      </c>
      <c r="L120" s="28">
        <v>2374000</v>
      </c>
      <c r="M120" s="28">
        <v>2417000</v>
      </c>
      <c r="N120" s="28">
        <v>2900000</v>
      </c>
      <c r="O120" s="28">
        <v>2900000</v>
      </c>
      <c r="P120" s="28">
        <v>2382000</v>
      </c>
      <c r="Q120" s="28">
        <v>3403000</v>
      </c>
      <c r="R120" s="28">
        <v>1430000</v>
      </c>
      <c r="S120" s="28">
        <v>3007000</v>
      </c>
      <c r="T120" s="28">
        <v>3422000</v>
      </c>
      <c r="U120" s="28">
        <v>3007000</v>
      </c>
      <c r="V120" s="28">
        <v>3163000</v>
      </c>
      <c r="W120" s="28">
        <v>3057000</v>
      </c>
      <c r="X120" s="28">
        <v>3295000</v>
      </c>
      <c r="Y120" s="28">
        <v>1896000</v>
      </c>
      <c r="Z120" s="28">
        <v>1896000</v>
      </c>
      <c r="AA120" s="28">
        <v>1896000</v>
      </c>
      <c r="AB120" s="28">
        <v>1896000</v>
      </c>
      <c r="AC120" s="28">
        <v>1867000</v>
      </c>
      <c r="AD120" s="28">
        <v>2047000</v>
      </c>
      <c r="AE120" s="28">
        <v>2047000</v>
      </c>
      <c r="AF120" s="28">
        <v>2009000</v>
      </c>
      <c r="AG120" s="28">
        <v>1896000</v>
      </c>
      <c r="AH120" s="28">
        <v>1858000</v>
      </c>
      <c r="AI120" s="28">
        <v>1858000</v>
      </c>
      <c r="AJ120" s="28">
        <v>1858000</v>
      </c>
      <c r="AK120" s="28">
        <v>1536000</v>
      </c>
      <c r="AL120" s="28">
        <v>1354000</v>
      </c>
      <c r="AM120" s="28">
        <v>1354000</v>
      </c>
      <c r="AN120" s="28">
        <v>1536000</v>
      </c>
      <c r="AO120" s="28">
        <v>2690000</v>
      </c>
    </row>
    <row r="121" spans="1:41" ht="15" x14ac:dyDescent="0.2">
      <c r="A121" s="38" t="s">
        <v>98</v>
      </c>
      <c r="B121" s="28">
        <v>1380000</v>
      </c>
      <c r="C121" s="28">
        <v>811000</v>
      </c>
      <c r="D121" s="33"/>
      <c r="E121" s="28">
        <v>1432000</v>
      </c>
      <c r="F121" s="33"/>
      <c r="G121" s="28">
        <v>839000</v>
      </c>
      <c r="H121" s="33"/>
      <c r="I121" s="28">
        <v>272000</v>
      </c>
      <c r="J121" s="28">
        <v>167000</v>
      </c>
      <c r="K121" s="28">
        <v>405000</v>
      </c>
      <c r="L121" s="28">
        <v>459000</v>
      </c>
      <c r="M121" s="28">
        <v>481000</v>
      </c>
      <c r="N121" s="28">
        <v>577000</v>
      </c>
      <c r="O121" s="28">
        <v>577000</v>
      </c>
      <c r="P121" s="28">
        <v>454000</v>
      </c>
      <c r="Q121" s="28">
        <v>634000</v>
      </c>
      <c r="R121" s="28">
        <v>286000</v>
      </c>
      <c r="S121" s="28">
        <v>571000</v>
      </c>
      <c r="T121" s="28">
        <v>643000</v>
      </c>
      <c r="U121" s="28">
        <v>571000</v>
      </c>
      <c r="V121" s="28">
        <v>594000</v>
      </c>
      <c r="W121" s="28">
        <v>576000</v>
      </c>
      <c r="X121" s="28">
        <v>617000</v>
      </c>
      <c r="Y121" s="28">
        <v>347000</v>
      </c>
      <c r="Z121" s="28">
        <v>347000</v>
      </c>
      <c r="AA121" s="28">
        <v>347000</v>
      </c>
      <c r="AB121" s="28">
        <v>347000</v>
      </c>
      <c r="AC121" s="28">
        <v>342000</v>
      </c>
      <c r="AD121" s="28">
        <v>373000</v>
      </c>
      <c r="AE121" s="28">
        <v>373000</v>
      </c>
      <c r="AF121" s="28">
        <v>367000</v>
      </c>
      <c r="AG121" s="28">
        <v>347000</v>
      </c>
      <c r="AH121" s="28">
        <v>341000</v>
      </c>
      <c r="AI121" s="28">
        <v>341000</v>
      </c>
      <c r="AJ121" s="28">
        <v>341000</v>
      </c>
      <c r="AK121" s="28">
        <v>334000</v>
      </c>
      <c r="AL121" s="28">
        <v>302000</v>
      </c>
      <c r="AM121" s="28">
        <v>302000</v>
      </c>
      <c r="AN121" s="28">
        <v>334000</v>
      </c>
      <c r="AO121" s="28">
        <v>521000</v>
      </c>
    </row>
    <row r="122" spans="1:41" ht="15" x14ac:dyDescent="0.2">
      <c r="A122" s="38" t="s">
        <v>99</v>
      </c>
      <c r="B122" s="28">
        <v>1840000</v>
      </c>
      <c r="C122" s="28">
        <v>1082000</v>
      </c>
      <c r="D122" s="33"/>
      <c r="E122" s="28">
        <v>1910000</v>
      </c>
      <c r="F122" s="33"/>
      <c r="G122" s="28">
        <v>983000</v>
      </c>
      <c r="H122" s="33"/>
      <c r="I122" s="28">
        <v>356000</v>
      </c>
      <c r="J122" s="28">
        <v>216000</v>
      </c>
      <c r="K122" s="28">
        <v>525000</v>
      </c>
      <c r="L122" s="28">
        <v>593000</v>
      </c>
      <c r="M122" s="28">
        <v>616000</v>
      </c>
      <c r="N122" s="28">
        <v>739000</v>
      </c>
      <c r="O122" s="28">
        <v>739000</v>
      </c>
      <c r="P122" s="28">
        <v>589000</v>
      </c>
      <c r="Q122" s="28">
        <v>828000</v>
      </c>
      <c r="R122" s="28">
        <v>365000</v>
      </c>
      <c r="S122" s="28">
        <v>741000</v>
      </c>
      <c r="T122" s="28">
        <v>837000</v>
      </c>
      <c r="U122" s="28">
        <v>741000</v>
      </c>
      <c r="V122" s="28">
        <v>773000</v>
      </c>
      <c r="W122" s="28">
        <v>749000</v>
      </c>
      <c r="X122" s="28">
        <v>804000</v>
      </c>
      <c r="Y122" s="28">
        <v>455000</v>
      </c>
      <c r="Z122" s="28">
        <v>455000</v>
      </c>
      <c r="AA122" s="28">
        <v>455000</v>
      </c>
      <c r="AB122" s="28">
        <v>455000</v>
      </c>
      <c r="AC122" s="28">
        <v>449000</v>
      </c>
      <c r="AD122" s="28">
        <v>490000</v>
      </c>
      <c r="AE122" s="28">
        <v>490000</v>
      </c>
      <c r="AF122" s="28">
        <v>481000</v>
      </c>
      <c r="AG122" s="28">
        <v>455000</v>
      </c>
      <c r="AH122" s="28">
        <v>447000</v>
      </c>
      <c r="AI122" s="28">
        <v>447000</v>
      </c>
      <c r="AJ122" s="28">
        <v>447000</v>
      </c>
      <c r="AK122" s="28">
        <v>418000</v>
      </c>
      <c r="AL122" s="28">
        <v>376000</v>
      </c>
      <c r="AM122" s="28">
        <v>376000</v>
      </c>
      <c r="AN122" s="28">
        <v>418000</v>
      </c>
      <c r="AO122" s="28">
        <v>672000</v>
      </c>
    </row>
    <row r="123" spans="1:41" ht="15" x14ac:dyDescent="0.2">
      <c r="A123" s="38" t="s">
        <v>100</v>
      </c>
      <c r="B123" s="28">
        <v>2300000</v>
      </c>
      <c r="C123" s="28">
        <v>1352000</v>
      </c>
      <c r="D123" s="33"/>
      <c r="E123" s="28">
        <v>2387000</v>
      </c>
      <c r="F123" s="33"/>
      <c r="G123" s="28">
        <v>1127000</v>
      </c>
      <c r="H123" s="33"/>
      <c r="I123" s="28">
        <v>440000</v>
      </c>
      <c r="J123" s="28">
        <v>265000</v>
      </c>
      <c r="K123" s="28">
        <v>644000</v>
      </c>
      <c r="L123" s="28">
        <v>726000</v>
      </c>
      <c r="M123" s="28">
        <v>751000</v>
      </c>
      <c r="N123" s="28">
        <v>901000</v>
      </c>
      <c r="O123" s="28">
        <v>901000</v>
      </c>
      <c r="P123" s="28">
        <v>723000</v>
      </c>
      <c r="Q123" s="28">
        <v>1021000</v>
      </c>
      <c r="R123" s="28">
        <v>445000</v>
      </c>
      <c r="S123" s="28">
        <v>911000</v>
      </c>
      <c r="T123" s="28">
        <v>1030000</v>
      </c>
      <c r="U123" s="28">
        <v>911000</v>
      </c>
      <c r="V123" s="28">
        <v>952000</v>
      </c>
      <c r="W123" s="28">
        <v>922000</v>
      </c>
      <c r="X123" s="28">
        <v>990000</v>
      </c>
      <c r="Y123" s="28">
        <v>563000</v>
      </c>
      <c r="Z123" s="28">
        <v>563000</v>
      </c>
      <c r="AA123" s="28">
        <v>563000</v>
      </c>
      <c r="AB123" s="28">
        <v>563000</v>
      </c>
      <c r="AC123" s="28">
        <v>555000</v>
      </c>
      <c r="AD123" s="28">
        <v>607000</v>
      </c>
      <c r="AE123" s="28">
        <v>607000</v>
      </c>
      <c r="AF123" s="28">
        <v>596000</v>
      </c>
      <c r="AG123" s="28">
        <v>563000</v>
      </c>
      <c r="AH123" s="28">
        <v>552000</v>
      </c>
      <c r="AI123" s="28">
        <v>552000</v>
      </c>
      <c r="AJ123" s="28">
        <v>552000</v>
      </c>
      <c r="AK123" s="28">
        <v>501000</v>
      </c>
      <c r="AL123" s="28">
        <v>449000</v>
      </c>
      <c r="AM123" s="28">
        <v>449000</v>
      </c>
      <c r="AN123" s="28">
        <v>501000</v>
      </c>
      <c r="AO123" s="28">
        <v>823000</v>
      </c>
    </row>
    <row r="124" spans="1:41" ht="15" x14ac:dyDescent="0.2">
      <c r="A124" s="38" t="s">
        <v>101</v>
      </c>
      <c r="B124" s="28">
        <v>3066000</v>
      </c>
      <c r="C124" s="28">
        <v>1802000</v>
      </c>
      <c r="D124" s="33"/>
      <c r="E124" s="28">
        <v>3182000</v>
      </c>
      <c r="F124" s="33"/>
      <c r="G124" s="28">
        <v>1367000</v>
      </c>
      <c r="H124" s="33"/>
      <c r="I124" s="28">
        <v>579000</v>
      </c>
      <c r="J124" s="28">
        <v>346000</v>
      </c>
      <c r="K124" s="28">
        <v>844000</v>
      </c>
      <c r="L124" s="28">
        <v>949000</v>
      </c>
      <c r="M124" s="28">
        <v>976000</v>
      </c>
      <c r="N124" s="28">
        <v>1171000</v>
      </c>
      <c r="O124" s="28">
        <v>1171000</v>
      </c>
      <c r="P124" s="28">
        <v>948000</v>
      </c>
      <c r="Q124" s="28">
        <v>1343000</v>
      </c>
      <c r="R124" s="28">
        <v>578000</v>
      </c>
      <c r="S124" s="28">
        <v>1194000</v>
      </c>
      <c r="T124" s="28">
        <v>1354000</v>
      </c>
      <c r="U124" s="28">
        <v>1194000</v>
      </c>
      <c r="V124" s="28">
        <v>1251000</v>
      </c>
      <c r="W124" s="28">
        <v>1210000</v>
      </c>
      <c r="X124" s="28">
        <v>1302000</v>
      </c>
      <c r="Y124" s="28">
        <v>743000</v>
      </c>
      <c r="Z124" s="28">
        <v>743000</v>
      </c>
      <c r="AA124" s="28">
        <v>743000</v>
      </c>
      <c r="AB124" s="28">
        <v>743000</v>
      </c>
      <c r="AC124" s="28">
        <v>733000</v>
      </c>
      <c r="AD124" s="28">
        <v>801000</v>
      </c>
      <c r="AE124" s="28">
        <v>801000</v>
      </c>
      <c r="AF124" s="28">
        <v>787000</v>
      </c>
      <c r="AG124" s="28">
        <v>743000</v>
      </c>
      <c r="AH124" s="28">
        <v>729000</v>
      </c>
      <c r="AI124" s="28">
        <v>729000</v>
      </c>
      <c r="AJ124" s="28">
        <v>729000</v>
      </c>
      <c r="AK124" s="28">
        <v>641000</v>
      </c>
      <c r="AL124" s="28">
        <v>571000</v>
      </c>
      <c r="AM124" s="28">
        <v>571000</v>
      </c>
      <c r="AN124" s="28">
        <v>641000</v>
      </c>
      <c r="AO124" s="28">
        <v>1076000</v>
      </c>
    </row>
    <row r="125" spans="1:41" ht="15" x14ac:dyDescent="0.2">
      <c r="A125" s="38" t="s">
        <v>102</v>
      </c>
      <c r="B125" s="28">
        <v>3833000</v>
      </c>
      <c r="C125" s="28">
        <v>2253000</v>
      </c>
      <c r="D125" s="33"/>
      <c r="E125" s="28">
        <v>3978000</v>
      </c>
      <c r="F125" s="33"/>
      <c r="G125" s="28">
        <v>1607000</v>
      </c>
      <c r="H125" s="33"/>
      <c r="I125" s="28">
        <v>719000</v>
      </c>
      <c r="J125" s="28">
        <v>427000</v>
      </c>
      <c r="K125" s="28">
        <v>1043000</v>
      </c>
      <c r="L125" s="28">
        <v>1172000</v>
      </c>
      <c r="M125" s="28">
        <v>1201000</v>
      </c>
      <c r="N125" s="28">
        <v>1442000</v>
      </c>
      <c r="O125" s="28">
        <v>1442000</v>
      </c>
      <c r="P125" s="28">
        <v>1172000</v>
      </c>
      <c r="Q125" s="28">
        <v>1664000</v>
      </c>
      <c r="R125" s="28">
        <v>711000</v>
      </c>
      <c r="S125" s="28">
        <v>1477000</v>
      </c>
      <c r="T125" s="28">
        <v>1677000</v>
      </c>
      <c r="U125" s="28">
        <v>1477000</v>
      </c>
      <c r="V125" s="28">
        <v>1550000</v>
      </c>
      <c r="W125" s="28">
        <v>1499000</v>
      </c>
      <c r="X125" s="28">
        <v>1613000</v>
      </c>
      <c r="Y125" s="28">
        <v>923000</v>
      </c>
      <c r="Z125" s="28">
        <v>923000</v>
      </c>
      <c r="AA125" s="28">
        <v>923000</v>
      </c>
      <c r="AB125" s="28">
        <v>923000</v>
      </c>
      <c r="AC125" s="28">
        <v>910000</v>
      </c>
      <c r="AD125" s="28">
        <v>996000</v>
      </c>
      <c r="AE125" s="28">
        <v>996000</v>
      </c>
      <c r="AF125" s="28">
        <v>978000</v>
      </c>
      <c r="AG125" s="28">
        <v>923000</v>
      </c>
      <c r="AH125" s="28">
        <v>905000</v>
      </c>
      <c r="AI125" s="28">
        <v>905000</v>
      </c>
      <c r="AJ125" s="28">
        <v>905000</v>
      </c>
      <c r="AK125" s="28">
        <v>781000</v>
      </c>
      <c r="AL125" s="28">
        <v>694000</v>
      </c>
      <c r="AM125" s="28">
        <v>694000</v>
      </c>
      <c r="AN125" s="28">
        <v>781000</v>
      </c>
      <c r="AO125" s="28">
        <v>1328000</v>
      </c>
    </row>
    <row r="126" spans="1:41" ht="15" x14ac:dyDescent="0.2">
      <c r="A126" s="38" t="s">
        <v>103</v>
      </c>
      <c r="B126" s="28">
        <v>4216000</v>
      </c>
      <c r="C126" s="28">
        <v>2478000</v>
      </c>
      <c r="D126" s="33"/>
      <c r="E126" s="28">
        <v>4375000</v>
      </c>
      <c r="F126" s="33"/>
      <c r="G126" s="28">
        <v>1727000</v>
      </c>
      <c r="H126" s="33"/>
      <c r="I126" s="28">
        <v>788000</v>
      </c>
      <c r="J126" s="28">
        <v>468000</v>
      </c>
      <c r="K126" s="28">
        <v>1142000</v>
      </c>
      <c r="L126" s="28">
        <v>1283000</v>
      </c>
      <c r="M126" s="28">
        <v>1314000</v>
      </c>
      <c r="N126" s="28">
        <v>1577000</v>
      </c>
      <c r="O126" s="28">
        <v>1577000</v>
      </c>
      <c r="P126" s="28">
        <v>1284000</v>
      </c>
      <c r="Q126" s="28">
        <v>1825000</v>
      </c>
      <c r="R126" s="28">
        <v>778000</v>
      </c>
      <c r="S126" s="28">
        <v>1619000</v>
      </c>
      <c r="T126" s="28">
        <v>1839000</v>
      </c>
      <c r="U126" s="28">
        <v>1619000</v>
      </c>
      <c r="V126" s="28">
        <v>1699000</v>
      </c>
      <c r="W126" s="28">
        <v>1643000</v>
      </c>
      <c r="X126" s="28">
        <v>1769000</v>
      </c>
      <c r="Y126" s="28">
        <v>1013000</v>
      </c>
      <c r="Z126" s="28">
        <v>1013000</v>
      </c>
      <c r="AA126" s="28">
        <v>1013000</v>
      </c>
      <c r="AB126" s="28">
        <v>1013000</v>
      </c>
      <c r="AC126" s="28">
        <v>999000</v>
      </c>
      <c r="AD126" s="28">
        <v>1093000</v>
      </c>
      <c r="AE126" s="28">
        <v>1093000</v>
      </c>
      <c r="AF126" s="28">
        <v>1073000</v>
      </c>
      <c r="AG126" s="28">
        <v>1013000</v>
      </c>
      <c r="AH126" s="28">
        <v>994000</v>
      </c>
      <c r="AI126" s="28">
        <v>994000</v>
      </c>
      <c r="AJ126" s="28">
        <v>994000</v>
      </c>
      <c r="AK126" s="28">
        <v>851000</v>
      </c>
      <c r="AL126" s="28">
        <v>755000</v>
      </c>
      <c r="AM126" s="28">
        <v>755000</v>
      </c>
      <c r="AN126" s="28">
        <v>851000</v>
      </c>
      <c r="AO126" s="28">
        <v>1454000</v>
      </c>
    </row>
    <row r="127" spans="1:41" ht="15" x14ac:dyDescent="0.2">
      <c r="A127" s="40" t="s">
        <v>104</v>
      </c>
      <c r="B127" s="28">
        <v>4599000</v>
      </c>
      <c r="C127" s="28">
        <v>2703000</v>
      </c>
      <c r="D127" s="33"/>
      <c r="E127" s="28">
        <v>4773000</v>
      </c>
      <c r="F127" s="33"/>
      <c r="G127" s="28">
        <v>1847000</v>
      </c>
      <c r="H127" s="33"/>
      <c r="I127" s="28">
        <v>858000</v>
      </c>
      <c r="J127" s="28">
        <v>509000</v>
      </c>
      <c r="K127" s="28">
        <v>1242000</v>
      </c>
      <c r="L127" s="28">
        <v>1394000</v>
      </c>
      <c r="M127" s="28">
        <v>1426000</v>
      </c>
      <c r="N127" s="28">
        <v>1712000</v>
      </c>
      <c r="O127" s="28">
        <v>1712000</v>
      </c>
      <c r="P127" s="28">
        <v>1396000</v>
      </c>
      <c r="Q127" s="28">
        <v>1986000</v>
      </c>
      <c r="R127" s="28">
        <v>845000</v>
      </c>
      <c r="S127" s="28">
        <v>1761000</v>
      </c>
      <c r="T127" s="28">
        <v>2000000</v>
      </c>
      <c r="U127" s="28">
        <v>1761000</v>
      </c>
      <c r="V127" s="28">
        <v>1848000</v>
      </c>
      <c r="W127" s="28">
        <v>1788000</v>
      </c>
      <c r="X127" s="28">
        <v>1925000</v>
      </c>
      <c r="Y127" s="28">
        <v>1103000</v>
      </c>
      <c r="Z127" s="28">
        <v>1103000</v>
      </c>
      <c r="AA127" s="28">
        <v>1103000</v>
      </c>
      <c r="AB127" s="28">
        <v>1103000</v>
      </c>
      <c r="AC127" s="28">
        <v>1087000</v>
      </c>
      <c r="AD127" s="28">
        <v>1191000</v>
      </c>
      <c r="AE127" s="28">
        <v>1191000</v>
      </c>
      <c r="AF127" s="28">
        <v>1169000</v>
      </c>
      <c r="AG127" s="28">
        <v>1103000</v>
      </c>
      <c r="AH127" s="28">
        <v>1082000</v>
      </c>
      <c r="AI127" s="28">
        <v>1082000</v>
      </c>
      <c r="AJ127" s="28">
        <v>1082000</v>
      </c>
      <c r="AK127" s="28">
        <v>921000</v>
      </c>
      <c r="AL127" s="28">
        <v>816000</v>
      </c>
      <c r="AM127" s="28">
        <v>816000</v>
      </c>
      <c r="AN127" s="28">
        <v>921000</v>
      </c>
      <c r="AO127" s="28">
        <v>1580000</v>
      </c>
    </row>
    <row r="128" spans="1:41" ht="18" x14ac:dyDescent="0.25">
      <c r="A128" s="34" t="s">
        <v>105</v>
      </c>
      <c r="B128" s="25"/>
      <c r="C128" s="25"/>
      <c r="D128" s="33"/>
      <c r="E128" s="25"/>
      <c r="F128" s="33"/>
      <c r="G128" s="25"/>
      <c r="H128" s="33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</row>
    <row r="129" spans="1:41" ht="15" x14ac:dyDescent="0.2">
      <c r="A129" s="38" t="s">
        <v>106</v>
      </c>
      <c r="B129" s="28">
        <v>7604000</v>
      </c>
      <c r="C129" s="28">
        <v>4469000</v>
      </c>
      <c r="D129" s="33"/>
      <c r="E129" s="28">
        <v>7891000</v>
      </c>
      <c r="F129" s="33"/>
      <c r="G129" s="28">
        <v>2837000</v>
      </c>
      <c r="H129" s="33"/>
      <c r="I129" s="28">
        <v>1413000</v>
      </c>
      <c r="J129" s="28">
        <v>835000</v>
      </c>
      <c r="K129" s="28">
        <v>2040000</v>
      </c>
      <c r="L129" s="28">
        <v>2289000</v>
      </c>
      <c r="M129" s="28">
        <v>2337000</v>
      </c>
      <c r="N129" s="28">
        <v>2805000</v>
      </c>
      <c r="O129" s="28">
        <v>2805000</v>
      </c>
      <c r="P129" s="28">
        <v>2294000</v>
      </c>
      <c r="Q129" s="28">
        <v>3269000</v>
      </c>
      <c r="R129" s="28">
        <v>1384000</v>
      </c>
      <c r="S129" s="28">
        <v>2894000</v>
      </c>
      <c r="T129" s="28">
        <v>3290000</v>
      </c>
      <c r="U129" s="28">
        <v>2894000</v>
      </c>
      <c r="V129" s="28">
        <v>3041000</v>
      </c>
      <c r="W129" s="28">
        <v>2940000</v>
      </c>
      <c r="X129" s="28">
        <v>3167000</v>
      </c>
      <c r="Y129" s="28">
        <v>1818000</v>
      </c>
      <c r="Z129" s="28">
        <v>1818000</v>
      </c>
      <c r="AA129" s="28">
        <v>1818000</v>
      </c>
      <c r="AB129" s="28">
        <v>1818000</v>
      </c>
      <c r="AC129" s="28">
        <v>1791000</v>
      </c>
      <c r="AD129" s="28">
        <v>1962000</v>
      </c>
      <c r="AE129" s="28">
        <v>1962000</v>
      </c>
      <c r="AF129" s="28">
        <v>1926000</v>
      </c>
      <c r="AG129" s="28">
        <v>1818000</v>
      </c>
      <c r="AH129" s="28">
        <v>1782000</v>
      </c>
      <c r="AI129" s="28">
        <v>1782000</v>
      </c>
      <c r="AJ129" s="28">
        <v>1782000</v>
      </c>
      <c r="AK129" s="28">
        <v>1500000</v>
      </c>
      <c r="AL129" s="28">
        <v>1327000</v>
      </c>
      <c r="AM129" s="28">
        <v>1327000</v>
      </c>
      <c r="AN129" s="28">
        <v>1500000</v>
      </c>
      <c r="AO129" s="28">
        <v>2594000</v>
      </c>
    </row>
    <row r="130" spans="1:41" ht="15" x14ac:dyDescent="0.2">
      <c r="A130" s="38" t="s">
        <v>107</v>
      </c>
      <c r="B130" s="25"/>
      <c r="C130" s="28">
        <v>4767000</v>
      </c>
      <c r="D130" s="33"/>
      <c r="E130" s="28">
        <v>8417000</v>
      </c>
      <c r="F130" s="33"/>
      <c r="G130" s="28">
        <v>3004000</v>
      </c>
      <c r="H130" s="33"/>
      <c r="I130" s="28">
        <v>1506000</v>
      </c>
      <c r="J130" s="28">
        <v>889000</v>
      </c>
      <c r="K130" s="28">
        <v>2174000</v>
      </c>
      <c r="L130" s="28">
        <v>2439000</v>
      </c>
      <c r="M130" s="28">
        <v>2489000</v>
      </c>
      <c r="N130" s="28">
        <v>2987000</v>
      </c>
      <c r="O130" s="28">
        <v>2987000</v>
      </c>
      <c r="P130" s="28">
        <v>2444000</v>
      </c>
      <c r="Q130" s="28">
        <v>3484000</v>
      </c>
      <c r="R130" s="28">
        <v>1473000</v>
      </c>
      <c r="S130" s="28">
        <v>3084000</v>
      </c>
      <c r="T130" s="28">
        <v>3506000</v>
      </c>
      <c r="U130" s="28">
        <v>3084000</v>
      </c>
      <c r="V130" s="28">
        <v>3240000</v>
      </c>
      <c r="W130" s="28">
        <v>3133000</v>
      </c>
      <c r="X130" s="28">
        <v>3375000</v>
      </c>
      <c r="Y130" s="28">
        <v>1938000</v>
      </c>
      <c r="Z130" s="28">
        <v>1938000</v>
      </c>
      <c r="AA130" s="28">
        <v>1938000</v>
      </c>
      <c r="AB130" s="28">
        <v>1938000</v>
      </c>
      <c r="AC130" s="28"/>
      <c r="AD130" s="28">
        <v>2091000</v>
      </c>
      <c r="AE130" s="28">
        <v>2091000</v>
      </c>
      <c r="AF130" s="28">
        <v>2053000</v>
      </c>
      <c r="AG130" s="28">
        <v>1938000</v>
      </c>
      <c r="AH130" s="28">
        <v>1900000</v>
      </c>
      <c r="AI130" s="28">
        <v>1900000</v>
      </c>
      <c r="AJ130" s="28">
        <v>1900000</v>
      </c>
      <c r="AK130" s="25"/>
      <c r="AL130" s="25"/>
      <c r="AM130" s="25"/>
      <c r="AN130" s="25"/>
      <c r="AO130" s="25"/>
    </row>
    <row r="131" spans="1:41" ht="15" x14ac:dyDescent="0.2">
      <c r="A131" s="38" t="s">
        <v>108</v>
      </c>
      <c r="B131" s="25"/>
      <c r="C131" s="28">
        <v>5065000</v>
      </c>
      <c r="D131" s="33"/>
      <c r="E131" s="28">
        <v>8943000</v>
      </c>
      <c r="F131" s="33"/>
      <c r="G131" s="28">
        <v>3170000</v>
      </c>
      <c r="H131" s="33"/>
      <c r="I131" s="28">
        <v>1599000</v>
      </c>
      <c r="J131" s="28">
        <v>944000</v>
      </c>
      <c r="K131" s="28">
        <v>2307000</v>
      </c>
      <c r="L131" s="28">
        <v>2588000</v>
      </c>
      <c r="M131" s="28">
        <v>2641000</v>
      </c>
      <c r="N131" s="28">
        <v>3169000</v>
      </c>
      <c r="O131" s="28">
        <v>3169000</v>
      </c>
      <c r="P131" s="28">
        <v>2594000</v>
      </c>
      <c r="Q131" s="28">
        <v>3699000</v>
      </c>
      <c r="R131" s="28">
        <v>1563000</v>
      </c>
      <c r="S131" s="28">
        <v>3273000</v>
      </c>
      <c r="T131" s="28">
        <v>3722000</v>
      </c>
      <c r="U131" s="28">
        <v>3273000</v>
      </c>
      <c r="V131" s="28">
        <v>3440000</v>
      </c>
      <c r="W131" s="28">
        <v>3326000</v>
      </c>
      <c r="X131" s="28">
        <v>3583000</v>
      </c>
      <c r="Y131" s="28">
        <v>2058000</v>
      </c>
      <c r="Z131" s="28">
        <v>2058000</v>
      </c>
      <c r="AA131" s="28">
        <v>2058000</v>
      </c>
      <c r="AB131" s="28">
        <v>2058000</v>
      </c>
      <c r="AC131" s="28"/>
      <c r="AD131" s="28">
        <v>2221000</v>
      </c>
      <c r="AE131" s="28">
        <v>2221000</v>
      </c>
      <c r="AF131" s="28">
        <v>2180000</v>
      </c>
      <c r="AG131" s="28">
        <v>2058000</v>
      </c>
      <c r="AH131" s="28">
        <v>2017000</v>
      </c>
      <c r="AI131" s="28">
        <v>2017000</v>
      </c>
      <c r="AJ131" s="28">
        <v>2017000</v>
      </c>
      <c r="AK131" s="25"/>
      <c r="AL131" s="25"/>
      <c r="AM131" s="25"/>
      <c r="AN131" s="25"/>
      <c r="AO131" s="25"/>
    </row>
    <row r="132" spans="1:41" ht="15" x14ac:dyDescent="0.2">
      <c r="A132" s="38" t="s">
        <v>109</v>
      </c>
      <c r="B132" s="28">
        <v>7224000</v>
      </c>
      <c r="C132" s="28">
        <v>4246000</v>
      </c>
      <c r="D132" s="33"/>
      <c r="E132" s="28">
        <v>7497000</v>
      </c>
      <c r="F132" s="33"/>
      <c r="G132" s="28">
        <v>2712000</v>
      </c>
      <c r="H132" s="33"/>
      <c r="I132" s="28">
        <v>1343000</v>
      </c>
      <c r="J132" s="28">
        <v>794000</v>
      </c>
      <c r="K132" s="28">
        <v>1940000</v>
      </c>
      <c r="L132" s="28">
        <v>2177000</v>
      </c>
      <c r="M132" s="28">
        <v>2224000</v>
      </c>
      <c r="N132" s="28">
        <v>2669000</v>
      </c>
      <c r="O132" s="28">
        <v>2669000</v>
      </c>
      <c r="P132" s="28">
        <v>2181000</v>
      </c>
      <c r="Q132" s="28">
        <v>3108000</v>
      </c>
      <c r="R132" s="28">
        <v>1316000</v>
      </c>
      <c r="S132" s="28">
        <v>2752000</v>
      </c>
      <c r="T132" s="28">
        <v>3128000</v>
      </c>
      <c r="U132" s="28">
        <v>2752000</v>
      </c>
      <c r="V132" s="28">
        <v>2891000</v>
      </c>
      <c r="W132" s="28">
        <v>2795000</v>
      </c>
      <c r="X132" s="28">
        <v>3011000</v>
      </c>
      <c r="Y132" s="28">
        <v>1728000</v>
      </c>
      <c r="Z132" s="28">
        <v>1728000</v>
      </c>
      <c r="AA132" s="28">
        <v>1728000</v>
      </c>
      <c r="AB132" s="28">
        <v>1728000</v>
      </c>
      <c r="AC132" s="28">
        <v>1702000</v>
      </c>
      <c r="AD132" s="28">
        <v>1865000</v>
      </c>
      <c r="AE132" s="28">
        <v>1865000</v>
      </c>
      <c r="AF132" s="28">
        <v>1830000</v>
      </c>
      <c r="AG132" s="28">
        <v>1728000</v>
      </c>
      <c r="AH132" s="28">
        <v>1694000</v>
      </c>
      <c r="AI132" s="28">
        <v>1694000</v>
      </c>
      <c r="AJ132" s="28">
        <v>1694000</v>
      </c>
      <c r="AK132" s="28">
        <v>1428000</v>
      </c>
      <c r="AL132" s="28">
        <v>1264000</v>
      </c>
      <c r="AM132" s="28">
        <v>1264000</v>
      </c>
      <c r="AN132" s="28">
        <v>1428000</v>
      </c>
      <c r="AO132" s="28">
        <v>2467000</v>
      </c>
    </row>
    <row r="133" spans="1:41" ht="15" x14ac:dyDescent="0.2">
      <c r="A133" s="38" t="s">
        <v>110</v>
      </c>
      <c r="B133" s="28">
        <v>6590000</v>
      </c>
      <c r="C133" s="28">
        <v>3873000</v>
      </c>
      <c r="D133" s="33"/>
      <c r="E133" s="28">
        <v>6839000</v>
      </c>
      <c r="F133" s="33"/>
      <c r="G133" s="28">
        <v>2504000</v>
      </c>
      <c r="H133" s="33"/>
      <c r="I133" s="28">
        <v>1227000</v>
      </c>
      <c r="J133" s="28">
        <v>726000</v>
      </c>
      <c r="K133" s="28">
        <v>1774000</v>
      </c>
      <c r="L133" s="28">
        <v>1990000</v>
      </c>
      <c r="M133" s="28">
        <v>2034000</v>
      </c>
      <c r="N133" s="28">
        <v>2441000</v>
      </c>
      <c r="O133" s="28">
        <v>2441000</v>
      </c>
      <c r="P133" s="28">
        <v>1994000</v>
      </c>
      <c r="Q133" s="28">
        <v>2839000</v>
      </c>
      <c r="R133" s="28">
        <v>1204000</v>
      </c>
      <c r="S133" s="28">
        <v>2515000</v>
      </c>
      <c r="T133" s="28">
        <v>2858000</v>
      </c>
      <c r="U133" s="28">
        <v>2515000</v>
      </c>
      <c r="V133" s="28">
        <v>2641000</v>
      </c>
      <c r="W133" s="28">
        <v>2554000</v>
      </c>
      <c r="X133" s="28">
        <v>2751000</v>
      </c>
      <c r="Y133" s="28">
        <v>1578000</v>
      </c>
      <c r="Z133" s="28">
        <v>1578000</v>
      </c>
      <c r="AA133" s="28">
        <v>1578000</v>
      </c>
      <c r="AB133" s="28">
        <v>1578000</v>
      </c>
      <c r="AC133" s="28">
        <v>1555000</v>
      </c>
      <c r="AD133" s="28">
        <v>1703000</v>
      </c>
      <c r="AE133" s="28">
        <v>1703000</v>
      </c>
      <c r="AF133" s="28">
        <v>1672000</v>
      </c>
      <c r="AG133" s="28">
        <v>1578000</v>
      </c>
      <c r="AH133" s="28">
        <v>1547000</v>
      </c>
      <c r="AI133" s="28">
        <v>1547000</v>
      </c>
      <c r="AJ133" s="28">
        <v>1547000</v>
      </c>
      <c r="AK133" s="28">
        <v>1309000</v>
      </c>
      <c r="AL133" s="28">
        <v>1159000</v>
      </c>
      <c r="AM133" s="28">
        <v>1159000</v>
      </c>
      <c r="AN133" s="28">
        <v>1309000</v>
      </c>
      <c r="AO133" s="28">
        <v>2256000</v>
      </c>
    </row>
    <row r="134" spans="1:41" ht="15" x14ac:dyDescent="0.2">
      <c r="A134" s="38" t="s">
        <v>111</v>
      </c>
      <c r="B134" s="28">
        <v>1141000</v>
      </c>
      <c r="C134" s="28">
        <v>671000</v>
      </c>
      <c r="D134" s="33"/>
      <c r="E134" s="28">
        <v>1184000</v>
      </c>
      <c r="F134" s="33"/>
      <c r="G134" s="28">
        <v>715000</v>
      </c>
      <c r="H134" s="33"/>
      <c r="I134" s="28">
        <v>227000</v>
      </c>
      <c r="J134" s="28">
        <v>140000</v>
      </c>
      <c r="K134" s="28">
        <v>339000</v>
      </c>
      <c r="L134" s="28">
        <v>385000</v>
      </c>
      <c r="M134" s="28">
        <v>404000</v>
      </c>
      <c r="N134" s="28">
        <v>485000</v>
      </c>
      <c r="O134" s="28">
        <v>485000</v>
      </c>
      <c r="P134" s="28">
        <v>380000</v>
      </c>
      <c r="Q134" s="28">
        <v>529000</v>
      </c>
      <c r="R134" s="28">
        <v>240000</v>
      </c>
      <c r="S134" s="28">
        <v>477000</v>
      </c>
      <c r="T134" s="28">
        <v>536000</v>
      </c>
      <c r="U134" s="28">
        <v>477000</v>
      </c>
      <c r="V134" s="28">
        <v>496000</v>
      </c>
      <c r="W134" s="28">
        <v>481000</v>
      </c>
      <c r="X134" s="28">
        <v>515000</v>
      </c>
      <c r="Y134" s="28">
        <v>289000</v>
      </c>
      <c r="Z134" s="28">
        <v>289000</v>
      </c>
      <c r="AA134" s="28">
        <v>289000</v>
      </c>
      <c r="AB134" s="28">
        <v>289000</v>
      </c>
      <c r="AC134" s="28">
        <v>285000</v>
      </c>
      <c r="AD134" s="28">
        <v>311000</v>
      </c>
      <c r="AE134" s="28">
        <v>311000</v>
      </c>
      <c r="AF134" s="28">
        <v>305000</v>
      </c>
      <c r="AG134" s="28">
        <v>289000</v>
      </c>
      <c r="AH134" s="28">
        <v>284000</v>
      </c>
      <c r="AI134" s="28">
        <v>284000</v>
      </c>
      <c r="AJ134" s="28">
        <v>284000</v>
      </c>
      <c r="AK134" s="28">
        <v>283000</v>
      </c>
      <c r="AL134" s="28">
        <v>257000</v>
      </c>
      <c r="AM134" s="28">
        <v>257000</v>
      </c>
      <c r="AN134" s="28">
        <v>283000</v>
      </c>
      <c r="AO134" s="28">
        <v>436000</v>
      </c>
    </row>
    <row r="135" spans="1:41" ht="15" x14ac:dyDescent="0.2">
      <c r="A135" s="38" t="s">
        <v>112</v>
      </c>
      <c r="B135" s="28">
        <v>1521000</v>
      </c>
      <c r="C135" s="28">
        <v>894000</v>
      </c>
      <c r="D135" s="33"/>
      <c r="E135" s="28">
        <v>1579000</v>
      </c>
      <c r="F135" s="33"/>
      <c r="G135" s="28">
        <v>840000</v>
      </c>
      <c r="H135" s="33"/>
      <c r="I135" s="28">
        <v>297000</v>
      </c>
      <c r="J135" s="28">
        <v>181000</v>
      </c>
      <c r="K135" s="28">
        <v>439000</v>
      </c>
      <c r="L135" s="28">
        <v>497000</v>
      </c>
      <c r="M135" s="28">
        <v>518000</v>
      </c>
      <c r="N135" s="28">
        <v>621000</v>
      </c>
      <c r="O135" s="28">
        <v>621000</v>
      </c>
      <c r="P135" s="28">
        <v>492000</v>
      </c>
      <c r="Q135" s="28">
        <v>690000</v>
      </c>
      <c r="R135" s="28">
        <v>307000</v>
      </c>
      <c r="S135" s="28">
        <v>619000</v>
      </c>
      <c r="T135" s="28">
        <v>698000</v>
      </c>
      <c r="U135" s="28">
        <v>619000</v>
      </c>
      <c r="V135" s="28">
        <v>645000</v>
      </c>
      <c r="W135" s="28">
        <v>625000</v>
      </c>
      <c r="X135" s="28">
        <v>671000</v>
      </c>
      <c r="Y135" s="28">
        <v>379000</v>
      </c>
      <c r="Z135" s="28">
        <v>379000</v>
      </c>
      <c r="AA135" s="28">
        <v>379000</v>
      </c>
      <c r="AB135" s="28">
        <v>379000</v>
      </c>
      <c r="AC135" s="28">
        <v>374000</v>
      </c>
      <c r="AD135" s="28">
        <v>408000</v>
      </c>
      <c r="AE135" s="28">
        <v>408000</v>
      </c>
      <c r="AF135" s="28">
        <v>401000</v>
      </c>
      <c r="AG135" s="28">
        <v>379000</v>
      </c>
      <c r="AH135" s="28">
        <v>372000</v>
      </c>
      <c r="AI135" s="28">
        <v>372000</v>
      </c>
      <c r="AJ135" s="28">
        <v>372000</v>
      </c>
      <c r="AK135" s="28">
        <v>354000</v>
      </c>
      <c r="AL135" s="28">
        <v>320000</v>
      </c>
      <c r="AM135" s="28">
        <v>320000</v>
      </c>
      <c r="AN135" s="28">
        <v>354000</v>
      </c>
      <c r="AO135" s="28">
        <v>563000</v>
      </c>
    </row>
    <row r="136" spans="1:41" ht="15" x14ac:dyDescent="0.2">
      <c r="A136" s="38" t="s">
        <v>113</v>
      </c>
      <c r="B136" s="28">
        <v>1901000</v>
      </c>
      <c r="C136" s="28">
        <v>1118000</v>
      </c>
      <c r="D136" s="33"/>
      <c r="E136" s="28">
        <v>1973000</v>
      </c>
      <c r="F136" s="33"/>
      <c r="G136" s="28">
        <v>965000</v>
      </c>
      <c r="H136" s="33"/>
      <c r="I136" s="28">
        <v>366000</v>
      </c>
      <c r="J136" s="28">
        <v>222000</v>
      </c>
      <c r="K136" s="28">
        <v>539000</v>
      </c>
      <c r="L136" s="28">
        <v>609000</v>
      </c>
      <c r="M136" s="28">
        <v>631000</v>
      </c>
      <c r="N136" s="28">
        <v>758000</v>
      </c>
      <c r="O136" s="28">
        <v>758000</v>
      </c>
      <c r="P136" s="28">
        <v>605000</v>
      </c>
      <c r="Q136" s="28">
        <v>851000</v>
      </c>
      <c r="R136" s="28">
        <v>374000</v>
      </c>
      <c r="S136" s="28">
        <v>761000</v>
      </c>
      <c r="T136" s="28">
        <v>860000</v>
      </c>
      <c r="U136" s="28">
        <v>761000</v>
      </c>
      <c r="V136" s="28">
        <v>795000</v>
      </c>
      <c r="W136" s="28">
        <v>770000</v>
      </c>
      <c r="X136" s="28">
        <v>827000</v>
      </c>
      <c r="Y136" s="28">
        <v>469000</v>
      </c>
      <c r="Z136" s="28">
        <v>469000</v>
      </c>
      <c r="AA136" s="28">
        <v>469000</v>
      </c>
      <c r="AB136" s="28">
        <v>469000</v>
      </c>
      <c r="AC136" s="28">
        <v>462000</v>
      </c>
      <c r="AD136" s="28">
        <v>505000</v>
      </c>
      <c r="AE136" s="28">
        <v>505000</v>
      </c>
      <c r="AF136" s="28">
        <v>496000</v>
      </c>
      <c r="AG136" s="28">
        <v>469000</v>
      </c>
      <c r="AH136" s="28">
        <v>460000</v>
      </c>
      <c r="AI136" s="28">
        <v>460000</v>
      </c>
      <c r="AJ136" s="28">
        <v>460000</v>
      </c>
      <c r="AK136" s="28">
        <v>426000</v>
      </c>
      <c r="AL136" s="28">
        <v>383000</v>
      </c>
      <c r="AM136" s="28">
        <v>383000</v>
      </c>
      <c r="AN136" s="28">
        <v>426000</v>
      </c>
      <c r="AO136" s="28">
        <v>690000</v>
      </c>
    </row>
    <row r="137" spans="1:41" ht="15" x14ac:dyDescent="0.2">
      <c r="A137" s="38" t="s">
        <v>114</v>
      </c>
      <c r="B137" s="28">
        <v>2535000</v>
      </c>
      <c r="C137" s="28">
        <v>1490000</v>
      </c>
      <c r="D137" s="33"/>
      <c r="E137" s="28">
        <v>2631000</v>
      </c>
      <c r="F137" s="33"/>
      <c r="G137" s="28">
        <v>1173000</v>
      </c>
      <c r="H137" s="33"/>
      <c r="I137" s="28">
        <v>483000</v>
      </c>
      <c r="J137" s="28">
        <v>290000</v>
      </c>
      <c r="K137" s="28">
        <v>706000</v>
      </c>
      <c r="L137" s="28">
        <v>795000</v>
      </c>
      <c r="M137" s="28">
        <v>821000</v>
      </c>
      <c r="N137" s="28">
        <v>985000</v>
      </c>
      <c r="O137" s="28">
        <v>985000</v>
      </c>
      <c r="P137" s="28">
        <v>793000</v>
      </c>
      <c r="Q137" s="28">
        <v>1120000</v>
      </c>
      <c r="R137" s="28">
        <v>487000</v>
      </c>
      <c r="S137" s="28">
        <v>998000</v>
      </c>
      <c r="T137" s="28">
        <v>1130000</v>
      </c>
      <c r="U137" s="28">
        <v>998000</v>
      </c>
      <c r="V137" s="28">
        <v>1045000</v>
      </c>
      <c r="W137" s="28">
        <v>1011000</v>
      </c>
      <c r="X137" s="28">
        <v>1087000</v>
      </c>
      <c r="Y137" s="28">
        <v>619000</v>
      </c>
      <c r="Z137" s="28">
        <v>619000</v>
      </c>
      <c r="AA137" s="28">
        <v>619000</v>
      </c>
      <c r="AB137" s="28">
        <v>619000</v>
      </c>
      <c r="AC137" s="28">
        <v>610000</v>
      </c>
      <c r="AD137" s="28">
        <v>667000</v>
      </c>
      <c r="AE137" s="28">
        <v>667000</v>
      </c>
      <c r="AF137" s="28">
        <v>655000</v>
      </c>
      <c r="AG137" s="28">
        <v>619000</v>
      </c>
      <c r="AH137" s="28">
        <v>607000</v>
      </c>
      <c r="AI137" s="28">
        <v>607000</v>
      </c>
      <c r="AJ137" s="28">
        <v>607000</v>
      </c>
      <c r="AK137" s="28">
        <v>545000</v>
      </c>
      <c r="AL137" s="28">
        <v>488000</v>
      </c>
      <c r="AM137" s="28">
        <v>488000</v>
      </c>
      <c r="AN137" s="28">
        <v>545000</v>
      </c>
      <c r="AO137" s="28">
        <v>901000</v>
      </c>
    </row>
    <row r="138" spans="1:41" ht="15" x14ac:dyDescent="0.2">
      <c r="A138" s="38" t="s">
        <v>115</v>
      </c>
      <c r="B138" s="28">
        <v>3168000</v>
      </c>
      <c r="C138" s="28">
        <v>1862000</v>
      </c>
      <c r="D138" s="33"/>
      <c r="E138" s="28">
        <v>3288000</v>
      </c>
      <c r="F138" s="33"/>
      <c r="G138" s="28">
        <v>1381000</v>
      </c>
      <c r="H138" s="33"/>
      <c r="I138" s="28">
        <v>599000</v>
      </c>
      <c r="J138" s="28">
        <v>358000</v>
      </c>
      <c r="K138" s="28">
        <v>873000</v>
      </c>
      <c r="L138" s="28">
        <v>982000</v>
      </c>
      <c r="M138" s="28">
        <v>1011000</v>
      </c>
      <c r="N138" s="28">
        <v>1213000</v>
      </c>
      <c r="O138" s="28">
        <v>1213000</v>
      </c>
      <c r="P138" s="28">
        <v>980000</v>
      </c>
      <c r="Q138" s="28">
        <v>1389000</v>
      </c>
      <c r="R138" s="28">
        <v>599000</v>
      </c>
      <c r="S138" s="28">
        <v>1235000</v>
      </c>
      <c r="T138" s="28">
        <v>1400000</v>
      </c>
      <c r="U138" s="28">
        <v>1235000</v>
      </c>
      <c r="V138" s="28">
        <v>1294000</v>
      </c>
      <c r="W138" s="28">
        <v>1252000</v>
      </c>
      <c r="X138" s="28">
        <v>1347000</v>
      </c>
      <c r="Y138" s="28">
        <v>769000</v>
      </c>
      <c r="Z138" s="28">
        <v>769000</v>
      </c>
      <c r="AA138" s="28">
        <v>769000</v>
      </c>
      <c r="AB138" s="28">
        <v>769000</v>
      </c>
      <c r="AC138" s="28">
        <v>757000</v>
      </c>
      <c r="AD138" s="28">
        <v>829000</v>
      </c>
      <c r="AE138" s="28">
        <v>829000</v>
      </c>
      <c r="AF138" s="28">
        <v>814000</v>
      </c>
      <c r="AG138" s="28">
        <v>769000</v>
      </c>
      <c r="AH138" s="28">
        <v>754000</v>
      </c>
      <c r="AI138" s="28">
        <v>754000</v>
      </c>
      <c r="AJ138" s="28">
        <v>754000</v>
      </c>
      <c r="AK138" s="28">
        <v>665000</v>
      </c>
      <c r="AL138" s="28">
        <v>592000</v>
      </c>
      <c r="AM138" s="28">
        <v>592000</v>
      </c>
      <c r="AN138" s="28">
        <v>665000</v>
      </c>
      <c r="AO138" s="28">
        <v>1113000</v>
      </c>
    </row>
    <row r="139" spans="1:41" ht="15" x14ac:dyDescent="0.2">
      <c r="A139" s="38" t="s">
        <v>116</v>
      </c>
      <c r="B139" s="28">
        <v>3485000</v>
      </c>
      <c r="C139" s="28">
        <v>2049000</v>
      </c>
      <c r="D139" s="33"/>
      <c r="E139" s="28">
        <v>3617000</v>
      </c>
      <c r="F139" s="33"/>
      <c r="G139" s="28">
        <v>1485000</v>
      </c>
      <c r="H139" s="33"/>
      <c r="I139" s="28">
        <v>657000</v>
      </c>
      <c r="J139" s="28">
        <v>392000</v>
      </c>
      <c r="K139" s="28">
        <v>956000</v>
      </c>
      <c r="L139" s="28">
        <v>1075000</v>
      </c>
      <c r="M139" s="28">
        <v>1105000</v>
      </c>
      <c r="N139" s="28">
        <v>1326000</v>
      </c>
      <c r="O139" s="28">
        <v>1326000</v>
      </c>
      <c r="P139" s="28">
        <v>1074000</v>
      </c>
      <c r="Q139" s="28">
        <v>1523000</v>
      </c>
      <c r="R139" s="28">
        <v>655000</v>
      </c>
      <c r="S139" s="28">
        <v>1354000</v>
      </c>
      <c r="T139" s="28">
        <v>1535000</v>
      </c>
      <c r="U139" s="28">
        <v>1354000</v>
      </c>
      <c r="V139" s="28">
        <v>1419000</v>
      </c>
      <c r="W139" s="28">
        <v>1373000</v>
      </c>
      <c r="X139" s="28">
        <v>1477000</v>
      </c>
      <c r="Y139" s="28">
        <v>844000</v>
      </c>
      <c r="Z139" s="28">
        <v>844000</v>
      </c>
      <c r="AA139" s="28">
        <v>844000</v>
      </c>
      <c r="AB139" s="28">
        <v>844000</v>
      </c>
      <c r="AC139" s="28">
        <v>831000</v>
      </c>
      <c r="AD139" s="28">
        <v>910000</v>
      </c>
      <c r="AE139" s="28">
        <v>910000</v>
      </c>
      <c r="AF139" s="28">
        <v>893000</v>
      </c>
      <c r="AG139" s="28">
        <v>844000</v>
      </c>
      <c r="AH139" s="28">
        <v>827000</v>
      </c>
      <c r="AI139" s="28">
        <v>827000</v>
      </c>
      <c r="AJ139" s="28">
        <v>827000</v>
      </c>
      <c r="AK139" s="28">
        <v>724000</v>
      </c>
      <c r="AL139" s="28">
        <v>645000</v>
      </c>
      <c r="AM139" s="28">
        <v>645000</v>
      </c>
      <c r="AN139" s="28">
        <v>724000</v>
      </c>
      <c r="AO139" s="28">
        <v>1219000</v>
      </c>
    </row>
    <row r="140" spans="1:41" ht="15" x14ac:dyDescent="0.2">
      <c r="A140" s="38" t="s">
        <v>117</v>
      </c>
      <c r="B140" s="28">
        <v>3802000</v>
      </c>
      <c r="C140" s="28">
        <v>2235000</v>
      </c>
      <c r="D140" s="33"/>
      <c r="E140" s="28">
        <v>3946000</v>
      </c>
      <c r="F140" s="33"/>
      <c r="G140" s="28">
        <v>1589000</v>
      </c>
      <c r="H140" s="33"/>
      <c r="I140" s="28">
        <v>715000</v>
      </c>
      <c r="J140" s="28">
        <v>426000</v>
      </c>
      <c r="K140" s="28">
        <v>1040000</v>
      </c>
      <c r="L140" s="28">
        <v>1169000</v>
      </c>
      <c r="M140" s="28">
        <v>1200000</v>
      </c>
      <c r="N140" s="28">
        <v>1440000</v>
      </c>
      <c r="O140" s="28">
        <v>1440000</v>
      </c>
      <c r="P140" s="28">
        <v>1168000</v>
      </c>
      <c r="Q140" s="28">
        <v>1657000</v>
      </c>
      <c r="R140" s="28">
        <v>711000</v>
      </c>
      <c r="S140" s="28">
        <v>1472000</v>
      </c>
      <c r="T140" s="28">
        <v>1670000</v>
      </c>
      <c r="U140" s="28">
        <v>1472000</v>
      </c>
      <c r="V140" s="28">
        <v>1544000</v>
      </c>
      <c r="W140" s="28">
        <v>1493000</v>
      </c>
      <c r="X140" s="28">
        <v>1607000</v>
      </c>
      <c r="Y140" s="28">
        <v>919000</v>
      </c>
      <c r="Z140" s="28">
        <v>919000</v>
      </c>
      <c r="AA140" s="28">
        <v>919000</v>
      </c>
      <c r="AB140" s="28">
        <v>919000</v>
      </c>
      <c r="AC140" s="28">
        <v>905000</v>
      </c>
      <c r="AD140" s="28">
        <v>991000</v>
      </c>
      <c r="AE140" s="28">
        <v>991000</v>
      </c>
      <c r="AF140" s="28">
        <v>973000</v>
      </c>
      <c r="AG140" s="28">
        <v>919000</v>
      </c>
      <c r="AH140" s="28">
        <v>901000</v>
      </c>
      <c r="AI140" s="28">
        <v>901000</v>
      </c>
      <c r="AJ140" s="28">
        <v>901000</v>
      </c>
      <c r="AK140" s="28">
        <v>784000</v>
      </c>
      <c r="AL140" s="28">
        <v>697000</v>
      </c>
      <c r="AM140" s="28">
        <v>697000</v>
      </c>
      <c r="AN140" s="28">
        <v>784000</v>
      </c>
      <c r="AO140" s="28">
        <v>1325000</v>
      </c>
    </row>
    <row r="141" spans="1:41" ht="18" x14ac:dyDescent="0.25">
      <c r="A141" s="42" t="s">
        <v>118</v>
      </c>
      <c r="B141" s="25"/>
      <c r="C141" s="25"/>
      <c r="D141" s="33"/>
      <c r="E141" s="25"/>
      <c r="F141" s="33"/>
      <c r="G141" s="25"/>
      <c r="H141" s="33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</row>
    <row r="142" spans="1:41" ht="15" x14ac:dyDescent="0.2">
      <c r="A142" s="31" t="s">
        <v>119</v>
      </c>
      <c r="B142" s="28">
        <v>5519000</v>
      </c>
      <c r="C142" s="28">
        <v>3244000</v>
      </c>
      <c r="D142" s="33"/>
      <c r="E142" s="28">
        <v>5728000</v>
      </c>
      <c r="F142" s="33"/>
      <c r="G142" s="28">
        <v>2248000</v>
      </c>
      <c r="H142" s="33"/>
      <c r="I142" s="28">
        <v>1044000</v>
      </c>
      <c r="J142" s="28">
        <v>624000</v>
      </c>
      <c r="K142" s="28">
        <v>1522000</v>
      </c>
      <c r="L142" s="28">
        <v>1713000</v>
      </c>
      <c r="M142" s="28">
        <v>1763000</v>
      </c>
      <c r="N142" s="28">
        <v>2115000</v>
      </c>
      <c r="O142" s="28">
        <v>2115000</v>
      </c>
      <c r="P142" s="28">
        <v>1709000</v>
      </c>
      <c r="Q142" s="28">
        <v>2421000</v>
      </c>
      <c r="R142" s="28">
        <v>1044000</v>
      </c>
      <c r="S142" s="28">
        <v>2154000</v>
      </c>
      <c r="T142" s="28">
        <v>2441000</v>
      </c>
      <c r="U142" s="28">
        <v>2154000</v>
      </c>
      <c r="V142" s="28">
        <v>2256000</v>
      </c>
      <c r="W142" s="28">
        <v>2183000</v>
      </c>
      <c r="X142" s="28">
        <v>2347000</v>
      </c>
      <c r="Y142" s="28">
        <v>1339000</v>
      </c>
      <c r="Z142" s="28">
        <v>1339000</v>
      </c>
      <c r="AA142" s="28">
        <v>1339000</v>
      </c>
      <c r="AB142" s="28">
        <v>1339000</v>
      </c>
      <c r="AC142" s="28">
        <v>1320000</v>
      </c>
      <c r="AD142" s="28">
        <v>1444000</v>
      </c>
      <c r="AE142" s="28">
        <v>1444000</v>
      </c>
      <c r="AF142" s="28">
        <v>1418000</v>
      </c>
      <c r="AG142" s="28">
        <v>1339000</v>
      </c>
      <c r="AH142" s="28">
        <v>1313000</v>
      </c>
      <c r="AI142" s="28">
        <v>1313000</v>
      </c>
      <c r="AJ142" s="28">
        <v>1313000</v>
      </c>
      <c r="AK142" s="28">
        <v>1160000</v>
      </c>
      <c r="AL142" s="28">
        <v>1035000</v>
      </c>
      <c r="AM142" s="28">
        <v>1035000</v>
      </c>
      <c r="AN142" s="28">
        <v>1160000</v>
      </c>
      <c r="AO142" s="28">
        <v>1941000</v>
      </c>
    </row>
    <row r="143" spans="1:41" ht="15" x14ac:dyDescent="0.2">
      <c r="A143" s="26" t="s">
        <v>120</v>
      </c>
      <c r="B143" s="25"/>
      <c r="C143" s="28">
        <v>3460000</v>
      </c>
      <c r="D143" s="33"/>
      <c r="E143" s="28">
        <v>6110000</v>
      </c>
      <c r="F143" s="33"/>
      <c r="G143" s="28">
        <v>2380000</v>
      </c>
      <c r="H143" s="33"/>
      <c r="I143" s="28">
        <v>1113000</v>
      </c>
      <c r="J143" s="28">
        <v>665000</v>
      </c>
      <c r="K143" s="28">
        <v>1621000</v>
      </c>
      <c r="L143" s="28">
        <v>1824000</v>
      </c>
      <c r="M143" s="28">
        <v>1877000</v>
      </c>
      <c r="N143" s="28">
        <v>2253000</v>
      </c>
      <c r="O143" s="28">
        <v>2253000</v>
      </c>
      <c r="P143" s="28">
        <v>1821000</v>
      </c>
      <c r="Q143" s="28">
        <v>2580000</v>
      </c>
      <c r="R143" s="28">
        <v>1112000</v>
      </c>
      <c r="S143" s="28">
        <v>2295000</v>
      </c>
      <c r="T143" s="28">
        <v>2601000</v>
      </c>
      <c r="U143" s="28">
        <v>2295000</v>
      </c>
      <c r="V143" s="28">
        <v>2404000</v>
      </c>
      <c r="W143" s="28">
        <v>2326000</v>
      </c>
      <c r="X143" s="28">
        <v>2502000</v>
      </c>
      <c r="Y143" s="28">
        <v>1428000</v>
      </c>
      <c r="Z143" s="28">
        <v>1428000</v>
      </c>
      <c r="AA143" s="28">
        <v>1428000</v>
      </c>
      <c r="AB143" s="28">
        <v>1428000</v>
      </c>
      <c r="AC143" s="28"/>
      <c r="AD143" s="28">
        <v>1539000</v>
      </c>
      <c r="AE143" s="28">
        <v>1539000</v>
      </c>
      <c r="AF143" s="28">
        <v>1511000</v>
      </c>
      <c r="AG143" s="28">
        <v>1428000</v>
      </c>
      <c r="AH143" s="28">
        <v>1400000</v>
      </c>
      <c r="AI143" s="28">
        <v>1400000</v>
      </c>
      <c r="AJ143" s="28">
        <v>1400000</v>
      </c>
      <c r="AK143" s="25"/>
      <c r="AL143" s="25"/>
      <c r="AM143" s="25"/>
      <c r="AN143" s="25"/>
      <c r="AO143" s="25"/>
    </row>
    <row r="144" spans="1:41" ht="15" x14ac:dyDescent="0.2">
      <c r="A144" s="26" t="s">
        <v>121</v>
      </c>
      <c r="B144" s="25"/>
      <c r="C144" s="28">
        <v>3676000</v>
      </c>
      <c r="D144" s="33"/>
      <c r="E144" s="28">
        <v>6491000</v>
      </c>
      <c r="F144" s="33"/>
      <c r="G144" s="28">
        <v>2513000</v>
      </c>
      <c r="H144" s="33"/>
      <c r="I144" s="28">
        <v>1181000</v>
      </c>
      <c r="J144" s="28">
        <v>706000</v>
      </c>
      <c r="K144" s="28">
        <v>1721000</v>
      </c>
      <c r="L144" s="28">
        <v>1936000</v>
      </c>
      <c r="M144" s="28">
        <v>1992000</v>
      </c>
      <c r="N144" s="28">
        <v>2390000</v>
      </c>
      <c r="O144" s="28">
        <v>2390000</v>
      </c>
      <c r="P144" s="28">
        <v>1933000</v>
      </c>
      <c r="Q144" s="28">
        <v>2739000</v>
      </c>
      <c r="R144" s="28">
        <v>1180000</v>
      </c>
      <c r="S144" s="28">
        <v>2436000</v>
      </c>
      <c r="T144" s="28">
        <v>2762000</v>
      </c>
      <c r="U144" s="28">
        <v>2436000</v>
      </c>
      <c r="V144" s="28">
        <v>2552000</v>
      </c>
      <c r="W144" s="28">
        <v>2469000</v>
      </c>
      <c r="X144" s="28">
        <v>2656000</v>
      </c>
      <c r="Y144" s="28">
        <v>1516000</v>
      </c>
      <c r="Z144" s="28">
        <v>1516000</v>
      </c>
      <c r="AA144" s="28">
        <v>1516000</v>
      </c>
      <c r="AB144" s="28">
        <v>1516000</v>
      </c>
      <c r="AC144" s="28"/>
      <c r="AD144" s="28">
        <v>1635000</v>
      </c>
      <c r="AE144" s="28">
        <v>1635000</v>
      </c>
      <c r="AF144" s="28">
        <v>1605000</v>
      </c>
      <c r="AG144" s="28">
        <v>1516000</v>
      </c>
      <c r="AH144" s="28">
        <v>1487000</v>
      </c>
      <c r="AI144" s="28">
        <v>1487000</v>
      </c>
      <c r="AJ144" s="28">
        <v>1487000</v>
      </c>
      <c r="AK144" s="25"/>
      <c r="AL144" s="25"/>
      <c r="AM144" s="25"/>
      <c r="AN144" s="25"/>
      <c r="AO144" s="25"/>
    </row>
    <row r="145" spans="1:41" ht="15" x14ac:dyDescent="0.2">
      <c r="A145" s="26" t="s">
        <v>122</v>
      </c>
      <c r="B145" s="28">
        <v>5243000</v>
      </c>
      <c r="C145" s="28">
        <v>3082000</v>
      </c>
      <c r="D145" s="33"/>
      <c r="E145" s="28">
        <v>5441000</v>
      </c>
      <c r="F145" s="33"/>
      <c r="G145" s="28">
        <v>2148000</v>
      </c>
      <c r="H145" s="33"/>
      <c r="I145" s="28">
        <v>992000</v>
      </c>
      <c r="J145" s="28">
        <v>594000</v>
      </c>
      <c r="K145" s="28">
        <v>1447000</v>
      </c>
      <c r="L145" s="28">
        <v>1629000</v>
      </c>
      <c r="M145" s="28">
        <v>1677000</v>
      </c>
      <c r="N145" s="28">
        <v>2012000</v>
      </c>
      <c r="O145" s="28">
        <v>2012000</v>
      </c>
      <c r="P145" s="28">
        <v>1625000</v>
      </c>
      <c r="Q145" s="28">
        <v>2301000</v>
      </c>
      <c r="R145" s="28">
        <v>994000</v>
      </c>
      <c r="S145" s="28">
        <v>2048000</v>
      </c>
      <c r="T145" s="28">
        <v>2321000</v>
      </c>
      <c r="U145" s="28">
        <v>2048000</v>
      </c>
      <c r="V145" s="28">
        <v>2145000</v>
      </c>
      <c r="W145" s="28">
        <v>2075000</v>
      </c>
      <c r="X145" s="28">
        <v>2232000</v>
      </c>
      <c r="Y145" s="28">
        <v>1273000</v>
      </c>
      <c r="Z145" s="28">
        <v>1273000</v>
      </c>
      <c r="AA145" s="28">
        <v>1273000</v>
      </c>
      <c r="AB145" s="28">
        <v>1273000</v>
      </c>
      <c r="AC145" s="28">
        <v>1255000</v>
      </c>
      <c r="AD145" s="28">
        <v>1372000</v>
      </c>
      <c r="AE145" s="28">
        <v>1372000</v>
      </c>
      <c r="AF145" s="28">
        <v>1348000</v>
      </c>
      <c r="AG145" s="28">
        <v>1273000</v>
      </c>
      <c r="AH145" s="28">
        <v>1248000</v>
      </c>
      <c r="AI145" s="28">
        <v>1248000</v>
      </c>
      <c r="AJ145" s="28">
        <v>1248000</v>
      </c>
      <c r="AK145" s="28">
        <v>1105000</v>
      </c>
      <c r="AL145" s="28">
        <v>985000</v>
      </c>
      <c r="AM145" s="28">
        <v>985000</v>
      </c>
      <c r="AN145" s="28">
        <v>1105000</v>
      </c>
      <c r="AO145" s="28">
        <v>1846000</v>
      </c>
    </row>
    <row r="146" spans="1:41" ht="15" x14ac:dyDescent="0.2">
      <c r="A146" s="26" t="s">
        <v>123</v>
      </c>
      <c r="B146" s="28">
        <v>4783000</v>
      </c>
      <c r="C146" s="28">
        <v>2811000</v>
      </c>
      <c r="D146" s="33"/>
      <c r="E146" s="28">
        <v>4964000</v>
      </c>
      <c r="F146" s="33"/>
      <c r="G146" s="28">
        <v>1982000</v>
      </c>
      <c r="H146" s="33"/>
      <c r="I146" s="28">
        <v>906000</v>
      </c>
      <c r="J146" s="28">
        <v>543000</v>
      </c>
      <c r="K146" s="28">
        <v>1323000</v>
      </c>
      <c r="L146" s="28">
        <v>1489000</v>
      </c>
      <c r="M146" s="28">
        <v>1534000</v>
      </c>
      <c r="N146" s="28">
        <v>1841000</v>
      </c>
      <c r="O146" s="28">
        <v>1841000</v>
      </c>
      <c r="P146" s="28">
        <v>1485000</v>
      </c>
      <c r="Q146" s="28">
        <v>2102000</v>
      </c>
      <c r="R146" s="28">
        <v>909000</v>
      </c>
      <c r="S146" s="28">
        <v>1871000</v>
      </c>
      <c r="T146" s="28">
        <v>2120000</v>
      </c>
      <c r="U146" s="28">
        <v>1871000</v>
      </c>
      <c r="V146" s="28">
        <v>1960000</v>
      </c>
      <c r="W146" s="28">
        <v>1896000</v>
      </c>
      <c r="X146" s="28">
        <v>2039000</v>
      </c>
      <c r="Y146" s="28">
        <v>1163000</v>
      </c>
      <c r="Z146" s="28">
        <v>1163000</v>
      </c>
      <c r="AA146" s="28">
        <v>1163000</v>
      </c>
      <c r="AB146" s="28">
        <v>1163000</v>
      </c>
      <c r="AC146" s="28">
        <v>1146000</v>
      </c>
      <c r="AD146" s="28">
        <v>1253000</v>
      </c>
      <c r="AE146" s="28">
        <v>1253000</v>
      </c>
      <c r="AF146" s="28">
        <v>1231000</v>
      </c>
      <c r="AG146" s="28">
        <v>1163000</v>
      </c>
      <c r="AH146" s="28">
        <v>1140000</v>
      </c>
      <c r="AI146" s="28">
        <v>1140000</v>
      </c>
      <c r="AJ146" s="28">
        <v>1140000</v>
      </c>
      <c r="AK146" s="28">
        <v>1012000</v>
      </c>
      <c r="AL146" s="28">
        <v>903000</v>
      </c>
      <c r="AM146" s="28">
        <v>903000</v>
      </c>
      <c r="AN146" s="28">
        <v>1012000</v>
      </c>
      <c r="AO146" s="28">
        <v>1687000</v>
      </c>
    </row>
    <row r="147" spans="1:41" ht="15" x14ac:dyDescent="0.2">
      <c r="A147" s="26" t="s">
        <v>124</v>
      </c>
      <c r="B147" s="28">
        <v>828000</v>
      </c>
      <c r="C147" s="28">
        <v>487000</v>
      </c>
      <c r="D147" s="33"/>
      <c r="E147" s="28">
        <v>860000</v>
      </c>
      <c r="F147" s="33"/>
      <c r="G147" s="28">
        <v>554000</v>
      </c>
      <c r="H147" s="33"/>
      <c r="I147" s="28">
        <v>168000</v>
      </c>
      <c r="J147" s="28">
        <v>105000</v>
      </c>
      <c r="K147" s="28">
        <v>252000</v>
      </c>
      <c r="L147" s="28">
        <v>287000</v>
      </c>
      <c r="M147" s="28">
        <v>303000</v>
      </c>
      <c r="N147" s="28">
        <v>364000</v>
      </c>
      <c r="O147" s="28">
        <v>364000</v>
      </c>
      <c r="P147" s="28">
        <v>282000</v>
      </c>
      <c r="Q147" s="28">
        <v>391000</v>
      </c>
      <c r="R147" s="28">
        <v>180000</v>
      </c>
      <c r="S147" s="28">
        <v>354000</v>
      </c>
      <c r="T147" s="28">
        <v>397000</v>
      </c>
      <c r="U147" s="28">
        <v>354000</v>
      </c>
      <c r="V147" s="28">
        <v>367000</v>
      </c>
      <c r="W147" s="28">
        <v>356000</v>
      </c>
      <c r="X147" s="28">
        <v>381000</v>
      </c>
      <c r="Y147" s="28">
        <v>213000</v>
      </c>
      <c r="Z147" s="28">
        <v>213000</v>
      </c>
      <c r="AA147" s="28">
        <v>213000</v>
      </c>
      <c r="AB147" s="28">
        <v>213000</v>
      </c>
      <c r="AC147" s="28">
        <v>210000</v>
      </c>
      <c r="AD147" s="28">
        <v>229000</v>
      </c>
      <c r="AE147" s="28">
        <v>229000</v>
      </c>
      <c r="AF147" s="28">
        <v>225000</v>
      </c>
      <c r="AG147" s="28">
        <v>213000</v>
      </c>
      <c r="AH147" s="28">
        <v>209000</v>
      </c>
      <c r="AI147" s="28">
        <v>209000</v>
      </c>
      <c r="AJ147" s="28">
        <v>209000</v>
      </c>
      <c r="AK147" s="28">
        <v>216000</v>
      </c>
      <c r="AL147" s="28">
        <v>197000</v>
      </c>
      <c r="AM147" s="28">
        <v>197000</v>
      </c>
      <c r="AN147" s="28">
        <v>216000</v>
      </c>
      <c r="AO147" s="28">
        <v>325000</v>
      </c>
    </row>
    <row r="148" spans="1:41" ht="15" x14ac:dyDescent="0.2">
      <c r="A148" s="26" t="s">
        <v>125</v>
      </c>
      <c r="B148" s="28">
        <v>1104000</v>
      </c>
      <c r="C148" s="28">
        <v>649000</v>
      </c>
      <c r="D148" s="33"/>
      <c r="E148" s="28">
        <v>1146000</v>
      </c>
      <c r="F148" s="33"/>
      <c r="G148" s="28">
        <v>654000</v>
      </c>
      <c r="H148" s="33"/>
      <c r="I148" s="28">
        <v>219000</v>
      </c>
      <c r="J148" s="28">
        <v>135000</v>
      </c>
      <c r="K148" s="28">
        <v>327000</v>
      </c>
      <c r="L148" s="28">
        <v>371000</v>
      </c>
      <c r="M148" s="28">
        <v>389000</v>
      </c>
      <c r="N148" s="28">
        <v>467000</v>
      </c>
      <c r="O148" s="28">
        <v>467000</v>
      </c>
      <c r="P148" s="28">
        <v>366000</v>
      </c>
      <c r="Q148" s="28">
        <v>511000</v>
      </c>
      <c r="R148" s="28">
        <v>231000</v>
      </c>
      <c r="S148" s="28">
        <v>460000</v>
      </c>
      <c r="T148" s="28">
        <v>518000</v>
      </c>
      <c r="U148" s="28">
        <v>460000</v>
      </c>
      <c r="V148" s="28">
        <v>478000</v>
      </c>
      <c r="W148" s="28">
        <v>464000</v>
      </c>
      <c r="X148" s="28">
        <v>497000</v>
      </c>
      <c r="Y148" s="28">
        <v>279000</v>
      </c>
      <c r="Z148" s="28">
        <v>279000</v>
      </c>
      <c r="AA148" s="28">
        <v>279000</v>
      </c>
      <c r="AB148" s="28">
        <v>279000</v>
      </c>
      <c r="AC148" s="28">
        <v>275000</v>
      </c>
      <c r="AD148" s="28">
        <v>300000</v>
      </c>
      <c r="AE148" s="28">
        <v>300000</v>
      </c>
      <c r="AF148" s="28">
        <v>295000</v>
      </c>
      <c r="AG148" s="28">
        <v>279000</v>
      </c>
      <c r="AH148" s="28">
        <v>274000</v>
      </c>
      <c r="AI148" s="28">
        <v>274000</v>
      </c>
      <c r="AJ148" s="28">
        <v>274000</v>
      </c>
      <c r="AK148" s="28">
        <v>272000</v>
      </c>
      <c r="AL148" s="28">
        <v>246000</v>
      </c>
      <c r="AM148" s="28">
        <v>246000</v>
      </c>
      <c r="AN148" s="28">
        <v>272000</v>
      </c>
      <c r="AO148" s="28">
        <v>420000</v>
      </c>
    </row>
    <row r="149" spans="1:41" ht="15" x14ac:dyDescent="0.2">
      <c r="A149" s="26" t="s">
        <v>126</v>
      </c>
      <c r="B149" s="28">
        <v>1380000</v>
      </c>
      <c r="C149" s="28">
        <v>811000</v>
      </c>
      <c r="D149" s="33"/>
      <c r="E149" s="28">
        <v>1432000</v>
      </c>
      <c r="F149" s="33"/>
      <c r="G149" s="28">
        <v>753000</v>
      </c>
      <c r="H149" s="33"/>
      <c r="I149" s="28">
        <v>271000</v>
      </c>
      <c r="J149" s="28">
        <v>166000</v>
      </c>
      <c r="K149" s="28">
        <v>402000</v>
      </c>
      <c r="L149" s="28">
        <v>455000</v>
      </c>
      <c r="M149" s="28">
        <v>475000</v>
      </c>
      <c r="N149" s="28">
        <v>570000</v>
      </c>
      <c r="O149" s="28">
        <v>570000</v>
      </c>
      <c r="P149" s="28">
        <v>450000</v>
      </c>
      <c r="Q149" s="28">
        <v>630000</v>
      </c>
      <c r="R149" s="28">
        <v>282000</v>
      </c>
      <c r="S149" s="28">
        <v>566000</v>
      </c>
      <c r="T149" s="28">
        <v>638000</v>
      </c>
      <c r="U149" s="28">
        <v>566000</v>
      </c>
      <c r="V149" s="28">
        <v>589000</v>
      </c>
      <c r="W149" s="28">
        <v>571000</v>
      </c>
      <c r="X149" s="28">
        <v>612000</v>
      </c>
      <c r="Y149" s="28">
        <v>345000</v>
      </c>
      <c r="Z149" s="28">
        <v>345000</v>
      </c>
      <c r="AA149" s="28">
        <v>345000</v>
      </c>
      <c r="AB149" s="28">
        <v>345000</v>
      </c>
      <c r="AC149" s="28">
        <v>341000</v>
      </c>
      <c r="AD149" s="28">
        <v>372000</v>
      </c>
      <c r="AE149" s="28">
        <v>372000</v>
      </c>
      <c r="AF149" s="28">
        <v>365000</v>
      </c>
      <c r="AG149" s="28">
        <v>345000</v>
      </c>
      <c r="AH149" s="28">
        <v>339000</v>
      </c>
      <c r="AI149" s="28">
        <v>339000</v>
      </c>
      <c r="AJ149" s="28">
        <v>339000</v>
      </c>
      <c r="AK149" s="28">
        <v>327000</v>
      </c>
      <c r="AL149" s="28">
        <v>296000</v>
      </c>
      <c r="AM149" s="28">
        <v>296000</v>
      </c>
      <c r="AN149" s="28">
        <v>327000</v>
      </c>
      <c r="AO149" s="28">
        <v>515000</v>
      </c>
    </row>
    <row r="150" spans="1:41" ht="15" x14ac:dyDescent="0.2">
      <c r="A150" s="26" t="s">
        <v>127</v>
      </c>
      <c r="B150" s="28">
        <v>1840000</v>
      </c>
      <c r="C150" s="28">
        <v>1082000</v>
      </c>
      <c r="D150" s="33"/>
      <c r="E150" s="28">
        <v>1910000</v>
      </c>
      <c r="F150" s="33"/>
      <c r="G150" s="28">
        <v>919000</v>
      </c>
      <c r="H150" s="33"/>
      <c r="I150" s="28">
        <v>357000</v>
      </c>
      <c r="J150" s="28">
        <v>217000</v>
      </c>
      <c r="K150" s="28">
        <v>526000</v>
      </c>
      <c r="L150" s="28">
        <v>594000</v>
      </c>
      <c r="M150" s="28">
        <v>618000</v>
      </c>
      <c r="N150" s="28">
        <v>742000</v>
      </c>
      <c r="O150" s="28">
        <v>742000</v>
      </c>
      <c r="P150" s="28">
        <v>590000</v>
      </c>
      <c r="Q150" s="28">
        <v>829000</v>
      </c>
      <c r="R150" s="28">
        <v>367000</v>
      </c>
      <c r="S150" s="28">
        <v>742000</v>
      </c>
      <c r="T150" s="28">
        <v>838000</v>
      </c>
      <c r="U150" s="28">
        <v>742000</v>
      </c>
      <c r="V150" s="28">
        <v>775000</v>
      </c>
      <c r="W150" s="28">
        <v>750000</v>
      </c>
      <c r="X150" s="28">
        <v>805000</v>
      </c>
      <c r="Y150" s="28">
        <v>456000</v>
      </c>
      <c r="Z150" s="28">
        <v>456000</v>
      </c>
      <c r="AA150" s="28">
        <v>456000</v>
      </c>
      <c r="AB150" s="28">
        <v>456000</v>
      </c>
      <c r="AC150" s="28">
        <v>449000</v>
      </c>
      <c r="AD150" s="28">
        <v>491000</v>
      </c>
      <c r="AE150" s="28">
        <v>491000</v>
      </c>
      <c r="AF150" s="28">
        <v>482000</v>
      </c>
      <c r="AG150" s="28">
        <v>456000</v>
      </c>
      <c r="AH150" s="28">
        <v>447000</v>
      </c>
      <c r="AI150" s="28">
        <v>447000</v>
      </c>
      <c r="AJ150" s="28">
        <v>447000</v>
      </c>
      <c r="AK150" s="28">
        <v>420000</v>
      </c>
      <c r="AL150" s="28">
        <v>378000</v>
      </c>
      <c r="AM150" s="28">
        <v>378000</v>
      </c>
      <c r="AN150" s="28">
        <v>420000</v>
      </c>
      <c r="AO150" s="28">
        <v>674000</v>
      </c>
    </row>
    <row r="151" spans="1:41" ht="15" x14ac:dyDescent="0.2">
      <c r="A151" s="26" t="s">
        <v>128</v>
      </c>
      <c r="B151" s="28">
        <v>2300000</v>
      </c>
      <c r="C151" s="28">
        <v>1352000</v>
      </c>
      <c r="D151" s="33"/>
      <c r="E151" s="28">
        <v>2387000</v>
      </c>
      <c r="F151" s="33"/>
      <c r="G151" s="28">
        <v>1085000</v>
      </c>
      <c r="H151" s="33"/>
      <c r="I151" s="28">
        <v>442000</v>
      </c>
      <c r="J151" s="28">
        <v>268000</v>
      </c>
      <c r="K151" s="28">
        <v>651000</v>
      </c>
      <c r="L151" s="28">
        <v>734000</v>
      </c>
      <c r="M151" s="28">
        <v>761000</v>
      </c>
      <c r="N151" s="28">
        <v>913000</v>
      </c>
      <c r="O151" s="28">
        <v>913000</v>
      </c>
      <c r="P151" s="28">
        <v>730000</v>
      </c>
      <c r="Q151" s="28">
        <v>1028000</v>
      </c>
      <c r="R151" s="28">
        <v>451000</v>
      </c>
      <c r="S151" s="28">
        <v>919000</v>
      </c>
      <c r="T151" s="28">
        <v>1038000</v>
      </c>
      <c r="U151" s="28">
        <v>919000</v>
      </c>
      <c r="V151" s="28">
        <v>960000</v>
      </c>
      <c r="W151" s="28">
        <v>929000</v>
      </c>
      <c r="X151" s="28">
        <v>998000</v>
      </c>
      <c r="Y151" s="28">
        <v>566000</v>
      </c>
      <c r="Z151" s="28">
        <v>566000</v>
      </c>
      <c r="AA151" s="28">
        <v>566000</v>
      </c>
      <c r="AB151" s="28">
        <v>566000</v>
      </c>
      <c r="AC151" s="28">
        <v>558000</v>
      </c>
      <c r="AD151" s="28">
        <v>610000</v>
      </c>
      <c r="AE151" s="28">
        <v>610000</v>
      </c>
      <c r="AF151" s="28">
        <v>599000</v>
      </c>
      <c r="AG151" s="28">
        <v>566000</v>
      </c>
      <c r="AH151" s="28">
        <v>555000</v>
      </c>
      <c r="AI151" s="28">
        <v>555000</v>
      </c>
      <c r="AJ151" s="28">
        <v>555000</v>
      </c>
      <c r="AK151" s="28">
        <v>512000</v>
      </c>
      <c r="AL151" s="28">
        <v>460000</v>
      </c>
      <c r="AM151" s="28">
        <v>460000</v>
      </c>
      <c r="AN151" s="28">
        <v>512000</v>
      </c>
      <c r="AO151" s="28">
        <v>832000</v>
      </c>
    </row>
    <row r="152" spans="1:41" ht="15" x14ac:dyDescent="0.2">
      <c r="A152" s="26" t="s">
        <v>129</v>
      </c>
      <c r="B152" s="28">
        <v>2530000</v>
      </c>
      <c r="C152" s="28">
        <v>1487000</v>
      </c>
      <c r="D152" s="33"/>
      <c r="E152" s="28">
        <v>2625000</v>
      </c>
      <c r="F152" s="33"/>
      <c r="G152" s="28">
        <v>1168000</v>
      </c>
      <c r="H152" s="33"/>
      <c r="I152" s="28">
        <v>485000</v>
      </c>
      <c r="J152" s="28">
        <v>293000</v>
      </c>
      <c r="K152" s="28">
        <v>713000</v>
      </c>
      <c r="L152" s="28">
        <v>804000</v>
      </c>
      <c r="M152" s="28">
        <v>833000</v>
      </c>
      <c r="N152" s="28">
        <v>999000</v>
      </c>
      <c r="O152" s="28">
        <v>999000</v>
      </c>
      <c r="P152" s="28">
        <v>800000</v>
      </c>
      <c r="Q152" s="28">
        <v>1127000</v>
      </c>
      <c r="R152" s="28">
        <v>494000</v>
      </c>
      <c r="S152" s="28">
        <v>1007000</v>
      </c>
      <c r="T152" s="28">
        <v>1139000</v>
      </c>
      <c r="U152" s="28">
        <v>1007000</v>
      </c>
      <c r="V152" s="28">
        <v>1052000</v>
      </c>
      <c r="W152" s="28">
        <v>1019000</v>
      </c>
      <c r="X152" s="28">
        <v>1094000</v>
      </c>
      <c r="Y152" s="28">
        <v>622000</v>
      </c>
      <c r="Z152" s="28">
        <v>622000</v>
      </c>
      <c r="AA152" s="28">
        <v>622000</v>
      </c>
      <c r="AB152" s="28">
        <v>622000</v>
      </c>
      <c r="AC152" s="28">
        <v>613000</v>
      </c>
      <c r="AD152" s="28">
        <v>669000</v>
      </c>
      <c r="AE152" s="28">
        <v>669000</v>
      </c>
      <c r="AF152" s="28">
        <v>657000</v>
      </c>
      <c r="AG152" s="28">
        <v>622000</v>
      </c>
      <c r="AH152" s="28">
        <v>610000</v>
      </c>
      <c r="AI152" s="28">
        <v>610000</v>
      </c>
      <c r="AJ152" s="28">
        <v>610000</v>
      </c>
      <c r="AK152" s="28">
        <v>559000</v>
      </c>
      <c r="AL152" s="28">
        <v>501000</v>
      </c>
      <c r="AM152" s="28">
        <v>501000</v>
      </c>
      <c r="AN152" s="28">
        <v>559000</v>
      </c>
      <c r="AO152" s="28">
        <v>911000</v>
      </c>
    </row>
    <row r="153" spans="1:41" ht="15" x14ac:dyDescent="0.2">
      <c r="A153" s="26" t="s">
        <v>130</v>
      </c>
      <c r="B153" s="28">
        <v>2760000</v>
      </c>
      <c r="C153" s="28">
        <v>1622000</v>
      </c>
      <c r="D153" s="33"/>
      <c r="E153" s="28">
        <v>2864000</v>
      </c>
      <c r="F153" s="33"/>
      <c r="G153" s="28">
        <v>1251000</v>
      </c>
      <c r="H153" s="33"/>
      <c r="I153" s="28">
        <v>528000</v>
      </c>
      <c r="J153" s="28">
        <v>319000</v>
      </c>
      <c r="K153" s="28">
        <v>775000</v>
      </c>
      <c r="L153" s="28">
        <v>874000</v>
      </c>
      <c r="M153" s="28">
        <v>904000</v>
      </c>
      <c r="N153" s="28">
        <v>1085000</v>
      </c>
      <c r="O153" s="28">
        <v>1085000</v>
      </c>
      <c r="P153" s="28">
        <v>870000</v>
      </c>
      <c r="Q153" s="28">
        <v>1227000</v>
      </c>
      <c r="R153" s="28">
        <v>536000</v>
      </c>
      <c r="S153" s="28">
        <v>1095000</v>
      </c>
      <c r="T153" s="28">
        <v>1239000</v>
      </c>
      <c r="U153" s="28">
        <v>1095000</v>
      </c>
      <c r="V153" s="28">
        <v>1145000</v>
      </c>
      <c r="W153" s="28">
        <v>1108000</v>
      </c>
      <c r="X153" s="28">
        <v>1191000</v>
      </c>
      <c r="Y153" s="28">
        <v>677000</v>
      </c>
      <c r="Z153" s="28">
        <v>677000</v>
      </c>
      <c r="AA153" s="28">
        <v>677000</v>
      </c>
      <c r="AB153" s="28">
        <v>677000</v>
      </c>
      <c r="AC153" s="28">
        <v>667000</v>
      </c>
      <c r="AD153" s="28">
        <v>729000</v>
      </c>
      <c r="AE153" s="28">
        <v>729000</v>
      </c>
      <c r="AF153" s="28">
        <v>716000</v>
      </c>
      <c r="AG153" s="28">
        <v>677000</v>
      </c>
      <c r="AH153" s="28">
        <v>664000</v>
      </c>
      <c r="AI153" s="28">
        <v>664000</v>
      </c>
      <c r="AJ153" s="28">
        <v>664000</v>
      </c>
      <c r="AK153" s="28">
        <v>605000</v>
      </c>
      <c r="AL153" s="28">
        <v>542000</v>
      </c>
      <c r="AM153" s="28">
        <v>542000</v>
      </c>
      <c r="AN153" s="28">
        <v>605000</v>
      </c>
      <c r="AO153" s="28">
        <v>990000</v>
      </c>
    </row>
    <row r="154" spans="1:41" ht="18" x14ac:dyDescent="0.25">
      <c r="A154" s="44" t="s">
        <v>131</v>
      </c>
      <c r="B154" s="25"/>
      <c r="C154" s="25"/>
      <c r="D154" s="33"/>
      <c r="E154" s="25"/>
      <c r="F154" s="33"/>
      <c r="G154" s="25"/>
      <c r="H154" s="33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</row>
    <row r="155" spans="1:41" ht="15" x14ac:dyDescent="0.2">
      <c r="A155" s="38" t="s">
        <v>132</v>
      </c>
      <c r="B155" s="28">
        <v>1201000</v>
      </c>
      <c r="C155" s="28">
        <v>706000</v>
      </c>
      <c r="D155" s="33"/>
      <c r="E155" s="28">
        <v>1247000</v>
      </c>
      <c r="F155" s="33"/>
      <c r="G155" s="28">
        <v>463000</v>
      </c>
      <c r="H155" s="33"/>
      <c r="I155" s="28">
        <v>278000</v>
      </c>
      <c r="J155" s="28">
        <v>187000</v>
      </c>
      <c r="K155" s="28">
        <v>445000</v>
      </c>
      <c r="L155" s="28">
        <v>515000</v>
      </c>
      <c r="M155" s="28">
        <v>568000</v>
      </c>
      <c r="N155" s="28">
        <v>681000</v>
      </c>
      <c r="O155" s="28">
        <v>681000</v>
      </c>
      <c r="P155" s="28">
        <v>495000</v>
      </c>
      <c r="Q155" s="28">
        <v>660000</v>
      </c>
      <c r="R155" s="28">
        <v>339000</v>
      </c>
      <c r="S155" s="28">
        <v>616000</v>
      </c>
      <c r="T155" s="28">
        <v>679000</v>
      </c>
      <c r="U155" s="28">
        <v>616000</v>
      </c>
      <c r="V155" s="28">
        <v>627000</v>
      </c>
      <c r="W155" s="28">
        <v>611000</v>
      </c>
      <c r="X155" s="28">
        <v>647000</v>
      </c>
      <c r="Y155" s="28">
        <v>347000</v>
      </c>
      <c r="Z155" s="28">
        <v>347000</v>
      </c>
      <c r="AA155" s="28">
        <v>347000</v>
      </c>
      <c r="AB155" s="28">
        <v>347000</v>
      </c>
      <c r="AC155" s="28">
        <v>343000</v>
      </c>
      <c r="AD155" s="28">
        <v>370000</v>
      </c>
      <c r="AE155" s="28">
        <v>370000</v>
      </c>
      <c r="AF155" s="28">
        <v>364000</v>
      </c>
      <c r="AG155" s="28">
        <v>347000</v>
      </c>
      <c r="AH155" s="28">
        <v>341000</v>
      </c>
      <c r="AI155" s="28">
        <v>341000</v>
      </c>
      <c r="AJ155" s="28">
        <v>341000</v>
      </c>
      <c r="AK155" s="28">
        <v>452000</v>
      </c>
      <c r="AL155" s="28">
        <v>425000</v>
      </c>
      <c r="AM155" s="28">
        <v>425000</v>
      </c>
      <c r="AN155" s="28">
        <v>452000</v>
      </c>
      <c r="AO155" s="28">
        <v>584000</v>
      </c>
    </row>
    <row r="156" spans="1:41" ht="15" x14ac:dyDescent="0.2">
      <c r="A156" s="38" t="s">
        <v>133</v>
      </c>
      <c r="B156" s="25"/>
      <c r="C156" s="28">
        <v>754000</v>
      </c>
      <c r="D156" s="33"/>
      <c r="E156" s="28">
        <v>1332000</v>
      </c>
      <c r="F156" s="33"/>
      <c r="G156" s="28">
        <v>494000</v>
      </c>
      <c r="H156" s="33"/>
      <c r="I156" s="28">
        <v>297000</v>
      </c>
      <c r="J156" s="28">
        <v>199000</v>
      </c>
      <c r="K156" s="28">
        <v>475000</v>
      </c>
      <c r="L156" s="28">
        <v>549000</v>
      </c>
      <c r="M156" s="28">
        <v>606000</v>
      </c>
      <c r="N156" s="28">
        <v>727000</v>
      </c>
      <c r="O156" s="28">
        <v>727000</v>
      </c>
      <c r="P156" s="28">
        <v>528000</v>
      </c>
      <c r="Q156" s="28">
        <v>705000</v>
      </c>
      <c r="R156" s="28">
        <v>361000</v>
      </c>
      <c r="S156" s="28">
        <v>657000</v>
      </c>
      <c r="T156" s="28">
        <v>724000</v>
      </c>
      <c r="U156" s="28">
        <v>657000</v>
      </c>
      <c r="V156" s="28">
        <v>669000</v>
      </c>
      <c r="W156" s="28">
        <v>652000</v>
      </c>
      <c r="X156" s="28">
        <v>690000</v>
      </c>
      <c r="Y156" s="28">
        <v>371000</v>
      </c>
      <c r="Z156" s="28">
        <v>371000</v>
      </c>
      <c r="AA156" s="28">
        <v>371000</v>
      </c>
      <c r="AB156" s="28">
        <v>371000</v>
      </c>
      <c r="AC156" s="28"/>
      <c r="AD156" s="28">
        <v>395000</v>
      </c>
      <c r="AE156" s="28">
        <v>395000</v>
      </c>
      <c r="AF156" s="28">
        <v>389000</v>
      </c>
      <c r="AG156" s="28">
        <v>371000</v>
      </c>
      <c r="AH156" s="28">
        <v>364000</v>
      </c>
      <c r="AI156" s="28">
        <v>364000</v>
      </c>
      <c r="AJ156" s="28">
        <v>364000</v>
      </c>
      <c r="AK156" s="25"/>
      <c r="AL156" s="25"/>
      <c r="AM156" s="25"/>
      <c r="AN156" s="25"/>
      <c r="AO156" s="25"/>
    </row>
    <row r="157" spans="1:41" ht="15" x14ac:dyDescent="0.2">
      <c r="A157" s="38" t="s">
        <v>134</v>
      </c>
      <c r="B157" s="25"/>
      <c r="C157" s="28">
        <v>802000</v>
      </c>
      <c r="D157" s="33"/>
      <c r="E157" s="28">
        <v>1416000</v>
      </c>
      <c r="F157" s="33"/>
      <c r="G157" s="28">
        <v>525000</v>
      </c>
      <c r="H157" s="33"/>
      <c r="I157" s="28">
        <v>315000</v>
      </c>
      <c r="J157" s="28">
        <v>212000</v>
      </c>
      <c r="K157" s="28">
        <v>505000</v>
      </c>
      <c r="L157" s="28">
        <v>584000</v>
      </c>
      <c r="M157" s="28">
        <v>644000</v>
      </c>
      <c r="N157" s="28">
        <v>772000</v>
      </c>
      <c r="O157" s="28">
        <v>772000</v>
      </c>
      <c r="P157" s="28">
        <v>561000</v>
      </c>
      <c r="Q157" s="28">
        <v>749000</v>
      </c>
      <c r="R157" s="28">
        <v>384000</v>
      </c>
      <c r="S157" s="28">
        <v>699000</v>
      </c>
      <c r="T157" s="28">
        <v>770000</v>
      </c>
      <c r="U157" s="28">
        <v>699000</v>
      </c>
      <c r="V157" s="28">
        <v>711000</v>
      </c>
      <c r="W157" s="28">
        <v>693000</v>
      </c>
      <c r="X157" s="28">
        <v>734000</v>
      </c>
      <c r="Y157" s="28">
        <v>394000</v>
      </c>
      <c r="Z157" s="28">
        <v>394000</v>
      </c>
      <c r="AA157" s="28">
        <v>394000</v>
      </c>
      <c r="AB157" s="28">
        <v>394000</v>
      </c>
      <c r="AC157" s="28"/>
      <c r="AD157" s="28">
        <v>420000</v>
      </c>
      <c r="AE157" s="28">
        <v>420000</v>
      </c>
      <c r="AF157" s="28">
        <v>413000</v>
      </c>
      <c r="AG157" s="28">
        <v>394000</v>
      </c>
      <c r="AH157" s="28">
        <v>387000</v>
      </c>
      <c r="AI157" s="28">
        <v>387000</v>
      </c>
      <c r="AJ157" s="28">
        <v>387000</v>
      </c>
      <c r="AK157" s="25"/>
      <c r="AL157" s="25"/>
      <c r="AM157" s="25"/>
      <c r="AN157" s="25"/>
      <c r="AO157" s="25"/>
    </row>
    <row r="158" spans="1:41" ht="15" x14ac:dyDescent="0.2">
      <c r="A158" s="38" t="s">
        <v>135</v>
      </c>
      <c r="B158" s="28">
        <v>1140000</v>
      </c>
      <c r="C158" s="28">
        <v>670000</v>
      </c>
      <c r="D158" s="33"/>
      <c r="E158" s="28">
        <v>1183000</v>
      </c>
      <c r="F158" s="33"/>
      <c r="G158" s="28">
        <v>440000</v>
      </c>
      <c r="H158" s="33"/>
      <c r="I158" s="28">
        <v>264000</v>
      </c>
      <c r="J158" s="28">
        <v>177000</v>
      </c>
      <c r="K158" s="28">
        <v>423000</v>
      </c>
      <c r="L158" s="28">
        <v>489000</v>
      </c>
      <c r="M158" s="28">
        <v>539000</v>
      </c>
      <c r="N158" s="28">
        <v>647000</v>
      </c>
      <c r="O158" s="28">
        <v>647000</v>
      </c>
      <c r="P158" s="28">
        <v>470000</v>
      </c>
      <c r="Q158" s="28">
        <v>627000</v>
      </c>
      <c r="R158" s="28">
        <v>322000</v>
      </c>
      <c r="S158" s="28">
        <v>585000</v>
      </c>
      <c r="T158" s="28">
        <v>644000</v>
      </c>
      <c r="U158" s="28">
        <v>585000</v>
      </c>
      <c r="V158" s="28">
        <v>595000</v>
      </c>
      <c r="W158" s="28">
        <v>580000</v>
      </c>
      <c r="X158" s="28">
        <v>614000</v>
      </c>
      <c r="Y158" s="28">
        <v>330000</v>
      </c>
      <c r="Z158" s="28">
        <v>330000</v>
      </c>
      <c r="AA158" s="28">
        <v>330000</v>
      </c>
      <c r="AB158" s="28">
        <v>330000</v>
      </c>
      <c r="AC158" s="28">
        <v>326000</v>
      </c>
      <c r="AD158" s="28">
        <v>351000</v>
      </c>
      <c r="AE158" s="28">
        <v>351000</v>
      </c>
      <c r="AF158" s="28">
        <v>346000</v>
      </c>
      <c r="AG158" s="28">
        <v>330000</v>
      </c>
      <c r="AH158" s="28">
        <v>324000</v>
      </c>
      <c r="AI158" s="28">
        <v>324000</v>
      </c>
      <c r="AJ158" s="28">
        <v>324000</v>
      </c>
      <c r="AK158" s="28">
        <v>429000</v>
      </c>
      <c r="AL158" s="28">
        <v>404000</v>
      </c>
      <c r="AM158" s="28">
        <v>404000</v>
      </c>
      <c r="AN158" s="28">
        <v>429000</v>
      </c>
      <c r="AO158" s="28">
        <v>554000</v>
      </c>
    </row>
    <row r="159" spans="1:41" ht="15" x14ac:dyDescent="0.2">
      <c r="A159" s="38" t="s">
        <v>136</v>
      </c>
      <c r="B159" s="28">
        <v>1038000</v>
      </c>
      <c r="C159" s="28">
        <v>610000</v>
      </c>
      <c r="D159" s="33"/>
      <c r="E159" s="28">
        <v>1077000</v>
      </c>
      <c r="F159" s="33"/>
      <c r="G159" s="28">
        <v>401000</v>
      </c>
      <c r="H159" s="33"/>
      <c r="I159" s="28">
        <v>241000</v>
      </c>
      <c r="J159" s="28">
        <v>162000</v>
      </c>
      <c r="K159" s="28">
        <v>385000</v>
      </c>
      <c r="L159" s="28">
        <v>446000</v>
      </c>
      <c r="M159" s="28">
        <v>492000</v>
      </c>
      <c r="N159" s="28">
        <v>590000</v>
      </c>
      <c r="O159" s="28">
        <v>590000</v>
      </c>
      <c r="P159" s="28">
        <v>428000</v>
      </c>
      <c r="Q159" s="28">
        <v>571000</v>
      </c>
      <c r="R159" s="28">
        <v>293000</v>
      </c>
      <c r="S159" s="28">
        <v>533000</v>
      </c>
      <c r="T159" s="28">
        <v>587000</v>
      </c>
      <c r="U159" s="28">
        <v>533000</v>
      </c>
      <c r="V159" s="28">
        <v>543000</v>
      </c>
      <c r="W159" s="28">
        <v>529000</v>
      </c>
      <c r="X159" s="28">
        <v>560000</v>
      </c>
      <c r="Y159" s="28">
        <v>300000</v>
      </c>
      <c r="Z159" s="28">
        <v>300000</v>
      </c>
      <c r="AA159" s="28">
        <v>300000</v>
      </c>
      <c r="AB159" s="28">
        <v>300000</v>
      </c>
      <c r="AC159" s="28">
        <v>297000</v>
      </c>
      <c r="AD159" s="28">
        <v>320000</v>
      </c>
      <c r="AE159" s="28">
        <v>320000</v>
      </c>
      <c r="AF159" s="28">
        <v>315000</v>
      </c>
      <c r="AG159" s="28">
        <v>300000</v>
      </c>
      <c r="AH159" s="28">
        <v>295000</v>
      </c>
      <c r="AI159" s="28">
        <v>295000</v>
      </c>
      <c r="AJ159" s="28">
        <v>295000</v>
      </c>
      <c r="AK159" s="28">
        <v>392000</v>
      </c>
      <c r="AL159" s="28">
        <v>368000</v>
      </c>
      <c r="AM159" s="28">
        <v>368000</v>
      </c>
      <c r="AN159" s="28">
        <v>392000</v>
      </c>
      <c r="AO159" s="28">
        <v>506000</v>
      </c>
    </row>
    <row r="160" spans="1:41" ht="15" x14ac:dyDescent="0.2">
      <c r="A160" s="38" t="s">
        <v>137</v>
      </c>
      <c r="B160" s="28">
        <v>184000</v>
      </c>
      <c r="C160" s="28">
        <v>109000</v>
      </c>
      <c r="D160" s="33"/>
      <c r="E160" s="28">
        <v>191000</v>
      </c>
      <c r="F160" s="33"/>
      <c r="G160" s="28">
        <v>78000</v>
      </c>
      <c r="H160" s="33"/>
      <c r="I160" s="28">
        <v>45000</v>
      </c>
      <c r="J160" s="28">
        <v>31000</v>
      </c>
      <c r="K160" s="28">
        <v>74000</v>
      </c>
      <c r="L160" s="28">
        <v>86000</v>
      </c>
      <c r="M160" s="28">
        <v>96000</v>
      </c>
      <c r="N160" s="28">
        <v>115000</v>
      </c>
      <c r="O160" s="28">
        <v>115000</v>
      </c>
      <c r="P160" s="28">
        <v>82000</v>
      </c>
      <c r="Q160" s="28">
        <v>108000</v>
      </c>
      <c r="R160" s="28">
        <v>57000</v>
      </c>
      <c r="S160" s="28">
        <v>102000</v>
      </c>
      <c r="T160" s="28">
        <v>111000</v>
      </c>
      <c r="U160" s="28">
        <v>102000</v>
      </c>
      <c r="V160" s="28">
        <v>103000</v>
      </c>
      <c r="W160" s="28">
        <v>100000</v>
      </c>
      <c r="X160" s="28">
        <v>106000</v>
      </c>
      <c r="Y160" s="28">
        <v>56000</v>
      </c>
      <c r="Z160" s="28">
        <v>56000</v>
      </c>
      <c r="AA160" s="28">
        <v>56000</v>
      </c>
      <c r="AB160" s="28">
        <v>56000</v>
      </c>
      <c r="AC160" s="28">
        <v>56000</v>
      </c>
      <c r="AD160" s="28">
        <v>60000</v>
      </c>
      <c r="AE160" s="28">
        <v>60000</v>
      </c>
      <c r="AF160" s="28">
        <v>59000</v>
      </c>
      <c r="AG160" s="28">
        <v>56000</v>
      </c>
      <c r="AH160" s="28">
        <v>55000</v>
      </c>
      <c r="AI160" s="28">
        <v>55000</v>
      </c>
      <c r="AJ160" s="28">
        <v>55000</v>
      </c>
      <c r="AK160" s="28">
        <v>79000</v>
      </c>
      <c r="AL160" s="28">
        <v>75000</v>
      </c>
      <c r="AM160" s="28">
        <v>75000</v>
      </c>
      <c r="AN160" s="28">
        <v>79000</v>
      </c>
      <c r="AO160" s="28">
        <v>97000</v>
      </c>
    </row>
    <row r="161" spans="1:41" ht="15" x14ac:dyDescent="0.2">
      <c r="A161" s="38" t="s">
        <v>138</v>
      </c>
      <c r="B161" s="28">
        <v>246000</v>
      </c>
      <c r="C161" s="28">
        <v>145000</v>
      </c>
      <c r="D161" s="33"/>
      <c r="E161" s="28">
        <v>255000</v>
      </c>
      <c r="F161" s="33"/>
      <c r="G161" s="28">
        <v>101000</v>
      </c>
      <c r="H161" s="33"/>
      <c r="I161" s="28">
        <v>59000</v>
      </c>
      <c r="J161" s="28">
        <v>41000</v>
      </c>
      <c r="K161" s="28">
        <v>96000</v>
      </c>
      <c r="L161" s="28">
        <v>112000</v>
      </c>
      <c r="M161" s="28">
        <v>124000</v>
      </c>
      <c r="N161" s="28">
        <v>149000</v>
      </c>
      <c r="O161" s="28">
        <v>149000</v>
      </c>
      <c r="P161" s="28">
        <v>107000</v>
      </c>
      <c r="Q161" s="28">
        <v>141000</v>
      </c>
      <c r="R161" s="28">
        <v>74000</v>
      </c>
      <c r="S161" s="28">
        <v>133000</v>
      </c>
      <c r="T161" s="28">
        <v>145000</v>
      </c>
      <c r="U161" s="28">
        <v>133000</v>
      </c>
      <c r="V161" s="28">
        <v>134000</v>
      </c>
      <c r="W161" s="28">
        <v>131000</v>
      </c>
      <c r="X161" s="28">
        <v>138000</v>
      </c>
      <c r="Y161" s="28">
        <v>74000</v>
      </c>
      <c r="Z161" s="28">
        <v>74000</v>
      </c>
      <c r="AA161" s="28">
        <v>74000</v>
      </c>
      <c r="AB161" s="28">
        <v>74000</v>
      </c>
      <c r="AC161" s="28">
        <v>73000</v>
      </c>
      <c r="AD161" s="28">
        <v>78000</v>
      </c>
      <c r="AE161" s="28">
        <v>78000</v>
      </c>
      <c r="AF161" s="28">
        <v>77000</v>
      </c>
      <c r="AG161" s="28">
        <v>74000</v>
      </c>
      <c r="AH161" s="28">
        <v>73000</v>
      </c>
      <c r="AI161" s="28">
        <v>73000</v>
      </c>
      <c r="AJ161" s="28">
        <v>73000</v>
      </c>
      <c r="AK161" s="28">
        <v>101000</v>
      </c>
      <c r="AL161" s="28">
        <v>96000</v>
      </c>
      <c r="AM161" s="28">
        <v>96000</v>
      </c>
      <c r="AN161" s="28">
        <v>101000</v>
      </c>
      <c r="AO161" s="28">
        <v>127000</v>
      </c>
    </row>
    <row r="162" spans="1:41" ht="15" x14ac:dyDescent="0.2">
      <c r="A162" s="38" t="s">
        <v>139</v>
      </c>
      <c r="B162" s="28">
        <v>307000</v>
      </c>
      <c r="C162" s="28">
        <v>181000</v>
      </c>
      <c r="D162" s="33"/>
      <c r="E162" s="28">
        <v>319000</v>
      </c>
      <c r="F162" s="33"/>
      <c r="G162" s="28">
        <v>124000</v>
      </c>
      <c r="H162" s="33"/>
      <c r="I162" s="28">
        <v>73000</v>
      </c>
      <c r="J162" s="28">
        <v>50000</v>
      </c>
      <c r="K162" s="28">
        <v>119000</v>
      </c>
      <c r="L162" s="28">
        <v>138000</v>
      </c>
      <c r="M162" s="28">
        <v>153000</v>
      </c>
      <c r="N162" s="28">
        <v>183000</v>
      </c>
      <c r="O162" s="28">
        <v>183000</v>
      </c>
      <c r="P162" s="28">
        <v>132000</v>
      </c>
      <c r="Q162" s="28">
        <v>174000</v>
      </c>
      <c r="R162" s="28">
        <v>91000</v>
      </c>
      <c r="S162" s="28">
        <v>164000</v>
      </c>
      <c r="T162" s="28">
        <v>180000</v>
      </c>
      <c r="U162" s="28">
        <v>164000</v>
      </c>
      <c r="V162" s="28">
        <v>166000</v>
      </c>
      <c r="W162" s="28">
        <v>162000</v>
      </c>
      <c r="X162" s="28">
        <v>171000</v>
      </c>
      <c r="Y162" s="28">
        <v>91000</v>
      </c>
      <c r="Z162" s="28">
        <v>91000</v>
      </c>
      <c r="AA162" s="28">
        <v>91000</v>
      </c>
      <c r="AB162" s="28">
        <v>91000</v>
      </c>
      <c r="AC162" s="28">
        <v>90000</v>
      </c>
      <c r="AD162" s="28">
        <v>97000</v>
      </c>
      <c r="AE162" s="28">
        <v>97000</v>
      </c>
      <c r="AF162" s="28">
        <v>96000</v>
      </c>
      <c r="AG162" s="28">
        <v>91000</v>
      </c>
      <c r="AH162" s="28">
        <v>90000</v>
      </c>
      <c r="AI162" s="28">
        <v>90000</v>
      </c>
      <c r="AJ162" s="28">
        <v>90000</v>
      </c>
      <c r="AK162" s="28">
        <v>124000</v>
      </c>
      <c r="AL162" s="28">
        <v>117000</v>
      </c>
      <c r="AM162" s="28">
        <v>117000</v>
      </c>
      <c r="AN162" s="28">
        <v>124000</v>
      </c>
      <c r="AO162" s="28">
        <v>156000</v>
      </c>
    </row>
    <row r="163" spans="1:41" ht="15" x14ac:dyDescent="0.2">
      <c r="A163" s="38" t="s">
        <v>140</v>
      </c>
      <c r="B163" s="28">
        <v>409000</v>
      </c>
      <c r="C163" s="28">
        <v>241000</v>
      </c>
      <c r="D163" s="33"/>
      <c r="E163" s="28">
        <v>425000</v>
      </c>
      <c r="F163" s="33"/>
      <c r="G163" s="28">
        <v>163000</v>
      </c>
      <c r="H163" s="33"/>
      <c r="I163" s="28">
        <v>97000</v>
      </c>
      <c r="J163" s="28">
        <v>66000</v>
      </c>
      <c r="K163" s="28">
        <v>156000</v>
      </c>
      <c r="L163" s="28">
        <v>181000</v>
      </c>
      <c r="M163" s="28">
        <v>200000</v>
      </c>
      <c r="N163" s="28">
        <v>240000</v>
      </c>
      <c r="O163" s="28">
        <v>240000</v>
      </c>
      <c r="P163" s="28">
        <v>173000</v>
      </c>
      <c r="Q163" s="28">
        <v>230000</v>
      </c>
      <c r="R163" s="28">
        <v>120000</v>
      </c>
      <c r="S163" s="28">
        <v>215000</v>
      </c>
      <c r="T163" s="28">
        <v>237000</v>
      </c>
      <c r="U163" s="28">
        <v>215000</v>
      </c>
      <c r="V163" s="28">
        <v>219000</v>
      </c>
      <c r="W163" s="28">
        <v>213000</v>
      </c>
      <c r="X163" s="28">
        <v>225000</v>
      </c>
      <c r="Y163" s="28">
        <v>120000</v>
      </c>
      <c r="Z163" s="28">
        <v>120000</v>
      </c>
      <c r="AA163" s="28">
        <v>120000</v>
      </c>
      <c r="AB163" s="28">
        <v>120000</v>
      </c>
      <c r="AC163" s="28">
        <v>119000</v>
      </c>
      <c r="AD163" s="28">
        <v>128000</v>
      </c>
      <c r="AE163" s="28">
        <v>128000</v>
      </c>
      <c r="AF163" s="28">
        <v>126000</v>
      </c>
      <c r="AG163" s="28">
        <v>120000</v>
      </c>
      <c r="AH163" s="28">
        <v>119000</v>
      </c>
      <c r="AI163" s="28">
        <v>119000</v>
      </c>
      <c r="AJ163" s="28">
        <v>119000</v>
      </c>
      <c r="AK163" s="28">
        <v>161000</v>
      </c>
      <c r="AL163" s="28">
        <v>152000</v>
      </c>
      <c r="AM163" s="28">
        <v>152000</v>
      </c>
      <c r="AN163" s="28">
        <v>161000</v>
      </c>
      <c r="AO163" s="28">
        <v>205000</v>
      </c>
    </row>
    <row r="164" spans="1:41" ht="15" x14ac:dyDescent="0.2">
      <c r="A164" s="38" t="s">
        <v>141</v>
      </c>
      <c r="B164" s="28">
        <v>511000</v>
      </c>
      <c r="C164" s="28">
        <v>301000</v>
      </c>
      <c r="D164" s="33"/>
      <c r="E164" s="28">
        <v>531000</v>
      </c>
      <c r="F164" s="33"/>
      <c r="G164" s="28">
        <v>202000</v>
      </c>
      <c r="H164" s="33"/>
      <c r="I164" s="28">
        <v>120000</v>
      </c>
      <c r="J164" s="28">
        <v>81000</v>
      </c>
      <c r="K164" s="28">
        <v>193000</v>
      </c>
      <c r="L164" s="28">
        <v>224000</v>
      </c>
      <c r="M164" s="28">
        <v>248000</v>
      </c>
      <c r="N164" s="28">
        <v>297000</v>
      </c>
      <c r="O164" s="28">
        <v>297000</v>
      </c>
      <c r="P164" s="28">
        <v>215000</v>
      </c>
      <c r="Q164" s="28">
        <v>285000</v>
      </c>
      <c r="R164" s="28">
        <v>148000</v>
      </c>
      <c r="S164" s="28">
        <v>267000</v>
      </c>
      <c r="T164" s="28">
        <v>294000</v>
      </c>
      <c r="U164" s="28">
        <v>267000</v>
      </c>
      <c r="V164" s="28">
        <v>271000</v>
      </c>
      <c r="W164" s="28">
        <v>265000</v>
      </c>
      <c r="X164" s="28">
        <v>280000</v>
      </c>
      <c r="Y164" s="28">
        <v>150000</v>
      </c>
      <c r="Z164" s="28">
        <v>150000</v>
      </c>
      <c r="AA164" s="28">
        <v>150000</v>
      </c>
      <c r="AB164" s="28">
        <v>150000</v>
      </c>
      <c r="AC164" s="28">
        <v>148000</v>
      </c>
      <c r="AD164" s="28">
        <v>159000</v>
      </c>
      <c r="AE164" s="28">
        <v>159000</v>
      </c>
      <c r="AF164" s="28">
        <v>157000</v>
      </c>
      <c r="AG164" s="28">
        <v>150000</v>
      </c>
      <c r="AH164" s="28">
        <v>147000</v>
      </c>
      <c r="AI164" s="28">
        <v>147000</v>
      </c>
      <c r="AJ164" s="28">
        <v>147000</v>
      </c>
      <c r="AK164" s="28">
        <v>199000</v>
      </c>
      <c r="AL164" s="28">
        <v>187000</v>
      </c>
      <c r="AM164" s="28">
        <v>187000</v>
      </c>
      <c r="AN164" s="28">
        <v>199000</v>
      </c>
      <c r="AO164" s="28">
        <v>254000</v>
      </c>
    </row>
    <row r="165" spans="1:41" ht="15" x14ac:dyDescent="0.2">
      <c r="A165" s="38" t="s">
        <v>142</v>
      </c>
      <c r="B165" s="28">
        <v>563000</v>
      </c>
      <c r="C165" s="28">
        <v>331000</v>
      </c>
      <c r="D165" s="33"/>
      <c r="E165" s="28">
        <v>584000</v>
      </c>
      <c r="F165" s="33"/>
      <c r="G165" s="28">
        <v>221000</v>
      </c>
      <c r="H165" s="33"/>
      <c r="I165" s="28">
        <v>132000</v>
      </c>
      <c r="J165" s="28">
        <v>89000</v>
      </c>
      <c r="K165" s="28">
        <v>212000</v>
      </c>
      <c r="L165" s="28">
        <v>245000</v>
      </c>
      <c r="M165" s="28">
        <v>271000</v>
      </c>
      <c r="N165" s="28">
        <v>325000</v>
      </c>
      <c r="O165" s="28">
        <v>325000</v>
      </c>
      <c r="P165" s="28">
        <v>235000</v>
      </c>
      <c r="Q165" s="28">
        <v>313000</v>
      </c>
      <c r="R165" s="28">
        <v>162000</v>
      </c>
      <c r="S165" s="28">
        <v>293000</v>
      </c>
      <c r="T165" s="28">
        <v>322000</v>
      </c>
      <c r="U165" s="28">
        <v>293000</v>
      </c>
      <c r="V165" s="28">
        <v>298000</v>
      </c>
      <c r="W165" s="28">
        <v>290000</v>
      </c>
      <c r="X165" s="28">
        <v>307000</v>
      </c>
      <c r="Y165" s="28">
        <v>164000</v>
      </c>
      <c r="Z165" s="28">
        <v>164000</v>
      </c>
      <c r="AA165" s="28">
        <v>164000</v>
      </c>
      <c r="AB165" s="28">
        <v>164000</v>
      </c>
      <c r="AC165" s="28">
        <v>162000</v>
      </c>
      <c r="AD165" s="28">
        <v>175000</v>
      </c>
      <c r="AE165" s="28">
        <v>175000</v>
      </c>
      <c r="AF165" s="28">
        <v>172000</v>
      </c>
      <c r="AG165" s="28">
        <v>164000</v>
      </c>
      <c r="AH165" s="28">
        <v>162000</v>
      </c>
      <c r="AI165" s="28">
        <v>162000</v>
      </c>
      <c r="AJ165" s="28">
        <v>162000</v>
      </c>
      <c r="AK165" s="28">
        <v>218000</v>
      </c>
      <c r="AL165" s="28">
        <v>205000</v>
      </c>
      <c r="AM165" s="28">
        <v>205000</v>
      </c>
      <c r="AN165" s="28">
        <v>218000</v>
      </c>
      <c r="AO165" s="28">
        <v>278000</v>
      </c>
    </row>
    <row r="166" spans="1:41" ht="15" x14ac:dyDescent="0.2">
      <c r="A166" s="38" t="s">
        <v>143</v>
      </c>
      <c r="B166" s="28">
        <v>614000</v>
      </c>
      <c r="C166" s="28">
        <v>361000</v>
      </c>
      <c r="D166" s="33"/>
      <c r="E166" s="28">
        <v>637000</v>
      </c>
      <c r="F166" s="33"/>
      <c r="G166" s="28">
        <v>240000</v>
      </c>
      <c r="H166" s="33"/>
      <c r="I166" s="28">
        <v>144000</v>
      </c>
      <c r="J166" s="28">
        <v>97000</v>
      </c>
      <c r="K166" s="28">
        <v>231000</v>
      </c>
      <c r="L166" s="28">
        <v>267000</v>
      </c>
      <c r="M166" s="28">
        <v>295000</v>
      </c>
      <c r="N166" s="28">
        <v>354000</v>
      </c>
      <c r="O166" s="28">
        <v>354000</v>
      </c>
      <c r="P166" s="28">
        <v>256000</v>
      </c>
      <c r="Q166" s="28">
        <v>341000</v>
      </c>
      <c r="R166" s="28">
        <v>176000</v>
      </c>
      <c r="S166" s="28">
        <v>319000</v>
      </c>
      <c r="T166" s="28">
        <v>351000</v>
      </c>
      <c r="U166" s="28">
        <v>319000</v>
      </c>
      <c r="V166" s="28">
        <v>324000</v>
      </c>
      <c r="W166" s="28">
        <v>316000</v>
      </c>
      <c r="X166" s="28">
        <v>334000</v>
      </c>
      <c r="Y166" s="28">
        <v>179000</v>
      </c>
      <c r="Z166" s="28">
        <v>179000</v>
      </c>
      <c r="AA166" s="28">
        <v>179000</v>
      </c>
      <c r="AB166" s="28">
        <v>179000</v>
      </c>
      <c r="AC166" s="28">
        <v>177000</v>
      </c>
      <c r="AD166" s="28">
        <v>191000</v>
      </c>
      <c r="AE166" s="28">
        <v>191000</v>
      </c>
      <c r="AF166" s="28">
        <v>188000</v>
      </c>
      <c r="AG166" s="28">
        <v>179000</v>
      </c>
      <c r="AH166" s="28">
        <v>176000</v>
      </c>
      <c r="AI166" s="28">
        <v>176000</v>
      </c>
      <c r="AJ166" s="28">
        <v>176000</v>
      </c>
      <c r="AK166" s="28">
        <v>236000</v>
      </c>
      <c r="AL166" s="28">
        <v>222000</v>
      </c>
      <c r="AM166" s="28">
        <v>222000</v>
      </c>
      <c r="AN166" s="28">
        <v>236000</v>
      </c>
      <c r="AO166" s="28">
        <v>303000</v>
      </c>
    </row>
    <row r="167" spans="1:41" ht="18" x14ac:dyDescent="0.25">
      <c r="A167" s="34" t="s">
        <v>144</v>
      </c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</row>
    <row r="168" spans="1:41" ht="15" x14ac:dyDescent="0.2">
      <c r="A168" s="38" t="s">
        <v>145</v>
      </c>
      <c r="B168" s="28">
        <v>511000</v>
      </c>
      <c r="C168" s="28">
        <v>301000</v>
      </c>
      <c r="D168" s="33"/>
      <c r="E168" s="28">
        <v>531000</v>
      </c>
      <c r="F168" s="33"/>
      <c r="G168" s="28">
        <v>202000</v>
      </c>
      <c r="H168" s="33"/>
      <c r="I168" s="28">
        <v>120000</v>
      </c>
      <c r="J168" s="28">
        <v>81000</v>
      </c>
      <c r="K168" s="28">
        <v>193000</v>
      </c>
      <c r="L168" s="28">
        <v>224000</v>
      </c>
      <c r="M168" s="28">
        <v>248000</v>
      </c>
      <c r="N168" s="28">
        <v>297000</v>
      </c>
      <c r="O168" s="28">
        <v>297000</v>
      </c>
      <c r="P168" s="28">
        <v>215000</v>
      </c>
      <c r="Q168" s="28">
        <v>285000</v>
      </c>
      <c r="R168" s="28">
        <v>148000</v>
      </c>
      <c r="S168" s="28">
        <v>267000</v>
      </c>
      <c r="T168" s="28">
        <v>294000</v>
      </c>
      <c r="U168" s="28">
        <v>267000</v>
      </c>
      <c r="V168" s="28">
        <v>271000</v>
      </c>
      <c r="W168" s="28">
        <v>265000</v>
      </c>
      <c r="X168" s="28">
        <v>280000</v>
      </c>
      <c r="Y168" s="28">
        <v>150000</v>
      </c>
      <c r="Z168" s="28">
        <v>150000</v>
      </c>
      <c r="AA168" s="28">
        <v>150000</v>
      </c>
      <c r="AB168" s="28">
        <v>150000</v>
      </c>
      <c r="AC168" s="28">
        <v>148000</v>
      </c>
      <c r="AD168" s="28">
        <v>159000</v>
      </c>
      <c r="AE168" s="28">
        <v>159000</v>
      </c>
      <c r="AF168" s="28">
        <v>157000</v>
      </c>
      <c r="AG168" s="28">
        <v>150000</v>
      </c>
      <c r="AH168" s="28">
        <v>147000</v>
      </c>
      <c r="AI168" s="28">
        <v>147000</v>
      </c>
      <c r="AJ168" s="28">
        <v>147000</v>
      </c>
      <c r="AK168" s="28">
        <v>199000</v>
      </c>
      <c r="AL168" s="28">
        <v>187000</v>
      </c>
      <c r="AM168" s="28">
        <v>187000</v>
      </c>
      <c r="AN168" s="28">
        <v>199000</v>
      </c>
      <c r="AO168" s="28">
        <v>254000</v>
      </c>
    </row>
    <row r="169" spans="1:41" ht="15" x14ac:dyDescent="0.2">
      <c r="A169" s="38" t="s">
        <v>146</v>
      </c>
      <c r="B169" s="28">
        <v>767000</v>
      </c>
      <c r="C169" s="28">
        <v>451000</v>
      </c>
      <c r="D169" s="33"/>
      <c r="E169" s="28">
        <v>796000</v>
      </c>
      <c r="F169" s="33"/>
      <c r="G169" s="28">
        <v>264000</v>
      </c>
      <c r="H169" s="33"/>
      <c r="I169" s="28">
        <v>166000</v>
      </c>
      <c r="J169" s="28">
        <v>108000</v>
      </c>
      <c r="K169" s="28">
        <v>259000</v>
      </c>
      <c r="L169" s="28">
        <v>297000</v>
      </c>
      <c r="M169" s="28">
        <v>321000</v>
      </c>
      <c r="N169" s="28">
        <v>385000</v>
      </c>
      <c r="O169" s="28">
        <v>385000</v>
      </c>
      <c r="P169" s="28">
        <v>288000</v>
      </c>
      <c r="Q169" s="28">
        <v>392000</v>
      </c>
      <c r="R169" s="28">
        <v>191000</v>
      </c>
      <c r="S169" s="28">
        <v>360000</v>
      </c>
      <c r="T169" s="28">
        <v>400000</v>
      </c>
      <c r="U169" s="28">
        <v>360000</v>
      </c>
      <c r="V169" s="28">
        <v>370000</v>
      </c>
      <c r="W169" s="28">
        <v>360000</v>
      </c>
      <c r="X169" s="28">
        <v>382000</v>
      </c>
      <c r="Y169" s="28">
        <v>209000</v>
      </c>
      <c r="Z169" s="28">
        <v>209000</v>
      </c>
      <c r="AA169" s="28">
        <v>209000</v>
      </c>
      <c r="AB169" s="28">
        <v>209000</v>
      </c>
      <c r="AC169" s="28">
        <v>207000</v>
      </c>
      <c r="AD169" s="28">
        <v>224000</v>
      </c>
      <c r="AE169" s="28">
        <v>224000</v>
      </c>
      <c r="AF169" s="28">
        <v>220000</v>
      </c>
      <c r="AG169" s="28">
        <v>209000</v>
      </c>
      <c r="AH169" s="28">
        <v>206000</v>
      </c>
      <c r="AI169" s="28">
        <v>206000</v>
      </c>
      <c r="AJ169" s="28">
        <v>206000</v>
      </c>
      <c r="AK169" s="28">
        <v>244000</v>
      </c>
      <c r="AL169" s="28">
        <v>226000</v>
      </c>
      <c r="AM169" s="28">
        <v>226000</v>
      </c>
      <c r="AN169" s="28">
        <v>244000</v>
      </c>
      <c r="AO169" s="28">
        <v>336000</v>
      </c>
    </row>
    <row r="170" spans="1:41" ht="15" x14ac:dyDescent="0.2">
      <c r="A170" s="38" t="s">
        <v>147</v>
      </c>
      <c r="B170" s="28">
        <v>1022000</v>
      </c>
      <c r="C170" s="28">
        <v>601000</v>
      </c>
      <c r="D170" s="33"/>
      <c r="E170" s="28">
        <v>1061000</v>
      </c>
      <c r="F170" s="33"/>
      <c r="G170" s="28">
        <v>325000</v>
      </c>
      <c r="H170" s="33"/>
      <c r="I170" s="28">
        <v>212000</v>
      </c>
      <c r="J170" s="28">
        <v>135000</v>
      </c>
      <c r="K170" s="28">
        <v>324000</v>
      </c>
      <c r="L170" s="28">
        <v>370000</v>
      </c>
      <c r="M170" s="28">
        <v>394000</v>
      </c>
      <c r="N170" s="28">
        <v>473000</v>
      </c>
      <c r="O170" s="28">
        <v>473000</v>
      </c>
      <c r="P170" s="28">
        <v>362000</v>
      </c>
      <c r="Q170" s="28">
        <v>498000</v>
      </c>
      <c r="R170" s="28">
        <v>235000</v>
      </c>
      <c r="S170" s="28">
        <v>453000</v>
      </c>
      <c r="T170" s="28">
        <v>506000</v>
      </c>
      <c r="U170" s="28">
        <v>453000</v>
      </c>
      <c r="V170" s="28">
        <v>468000</v>
      </c>
      <c r="W170" s="28">
        <v>455000</v>
      </c>
      <c r="X170" s="28">
        <v>485000</v>
      </c>
      <c r="Y170" s="28">
        <v>269000</v>
      </c>
      <c r="Z170" s="28">
        <v>269000</v>
      </c>
      <c r="AA170" s="28">
        <v>269000</v>
      </c>
      <c r="AB170" s="28">
        <v>269000</v>
      </c>
      <c r="AC170" s="28">
        <v>265000</v>
      </c>
      <c r="AD170" s="28">
        <v>288000</v>
      </c>
      <c r="AE170" s="28">
        <v>288000</v>
      </c>
      <c r="AF170" s="28">
        <v>283000</v>
      </c>
      <c r="AG170" s="28">
        <v>269000</v>
      </c>
      <c r="AH170" s="28">
        <v>264000</v>
      </c>
      <c r="AI170" s="28">
        <v>264000</v>
      </c>
      <c r="AJ170" s="28">
        <v>264000</v>
      </c>
      <c r="AK170" s="28">
        <v>288000</v>
      </c>
      <c r="AL170" s="28">
        <v>265000</v>
      </c>
      <c r="AM170" s="28">
        <v>265000</v>
      </c>
      <c r="AN170" s="28">
        <v>288000</v>
      </c>
      <c r="AO170" s="28">
        <v>419000</v>
      </c>
    </row>
    <row r="171" spans="1:41" ht="15" x14ac:dyDescent="0.2">
      <c r="A171" s="38" t="s">
        <v>148</v>
      </c>
      <c r="B171" s="28">
        <v>1278000</v>
      </c>
      <c r="C171" s="28">
        <v>751000</v>
      </c>
      <c r="D171" s="33"/>
      <c r="E171" s="28">
        <v>1326000</v>
      </c>
      <c r="F171" s="33"/>
      <c r="G171" s="28">
        <v>387000</v>
      </c>
      <c r="H171" s="33"/>
      <c r="I171" s="28">
        <v>258000</v>
      </c>
      <c r="J171" s="28">
        <v>161000</v>
      </c>
      <c r="K171" s="28">
        <v>389000</v>
      </c>
      <c r="L171" s="28">
        <v>442000</v>
      </c>
      <c r="M171" s="28">
        <v>468000</v>
      </c>
      <c r="N171" s="28">
        <v>561000</v>
      </c>
      <c r="O171" s="28">
        <v>561000</v>
      </c>
      <c r="P171" s="28">
        <v>436000</v>
      </c>
      <c r="Q171" s="28">
        <v>604000</v>
      </c>
      <c r="R171" s="28">
        <v>278000</v>
      </c>
      <c r="S171" s="28">
        <v>546000</v>
      </c>
      <c r="T171" s="28">
        <v>613000</v>
      </c>
      <c r="U171" s="28">
        <v>546000</v>
      </c>
      <c r="V171" s="28">
        <v>566000</v>
      </c>
      <c r="W171" s="28">
        <v>549000</v>
      </c>
      <c r="X171" s="28">
        <v>588000</v>
      </c>
      <c r="Y171" s="28">
        <v>328000</v>
      </c>
      <c r="Z171" s="28">
        <v>328000</v>
      </c>
      <c r="AA171" s="28">
        <v>328000</v>
      </c>
      <c r="AB171" s="28">
        <v>328000</v>
      </c>
      <c r="AC171" s="28">
        <v>324000</v>
      </c>
      <c r="AD171" s="28">
        <v>352000</v>
      </c>
      <c r="AE171" s="28">
        <v>352000</v>
      </c>
      <c r="AF171" s="28">
        <v>346000</v>
      </c>
      <c r="AG171" s="28">
        <v>328000</v>
      </c>
      <c r="AH171" s="28">
        <v>322000</v>
      </c>
      <c r="AI171" s="28">
        <v>322000</v>
      </c>
      <c r="AJ171" s="28">
        <v>322000</v>
      </c>
      <c r="AK171" s="28">
        <v>333000</v>
      </c>
      <c r="AL171" s="28">
        <v>304000</v>
      </c>
      <c r="AM171" s="28">
        <v>304000</v>
      </c>
      <c r="AN171" s="28">
        <v>333000</v>
      </c>
      <c r="AO171" s="28">
        <v>502000</v>
      </c>
    </row>
    <row r="172" spans="1:41" ht="15" x14ac:dyDescent="0.2">
      <c r="A172" s="38" t="s">
        <v>149</v>
      </c>
      <c r="B172" s="28">
        <v>1533000</v>
      </c>
      <c r="C172" s="28">
        <v>901000</v>
      </c>
      <c r="D172" s="33"/>
      <c r="E172" s="28">
        <v>1591000</v>
      </c>
      <c r="F172" s="33"/>
      <c r="G172" s="28">
        <v>449000</v>
      </c>
      <c r="H172" s="33"/>
      <c r="I172" s="28">
        <v>304000</v>
      </c>
      <c r="J172" s="28">
        <v>188000</v>
      </c>
      <c r="K172" s="28">
        <v>455000</v>
      </c>
      <c r="L172" s="28">
        <v>515000</v>
      </c>
      <c r="M172" s="28">
        <v>541000</v>
      </c>
      <c r="N172" s="28">
        <v>649000</v>
      </c>
      <c r="O172" s="28">
        <v>649000</v>
      </c>
      <c r="P172" s="28">
        <v>509000</v>
      </c>
      <c r="Q172" s="28">
        <v>710000</v>
      </c>
      <c r="R172" s="28">
        <v>321000</v>
      </c>
      <c r="S172" s="28">
        <v>639000</v>
      </c>
      <c r="T172" s="28">
        <v>719000</v>
      </c>
      <c r="U172" s="28">
        <v>639000</v>
      </c>
      <c r="V172" s="28">
        <v>665000</v>
      </c>
      <c r="W172" s="28">
        <v>644000</v>
      </c>
      <c r="X172" s="28">
        <v>690000</v>
      </c>
      <c r="Y172" s="28">
        <v>388000</v>
      </c>
      <c r="Z172" s="28">
        <v>388000</v>
      </c>
      <c r="AA172" s="28">
        <v>388000</v>
      </c>
      <c r="AB172" s="28">
        <v>388000</v>
      </c>
      <c r="AC172" s="28">
        <v>382000</v>
      </c>
      <c r="AD172" s="28">
        <v>417000</v>
      </c>
      <c r="AE172" s="28">
        <v>417000</v>
      </c>
      <c r="AF172" s="28">
        <v>410000</v>
      </c>
      <c r="AG172" s="28">
        <v>388000</v>
      </c>
      <c r="AH172" s="28">
        <v>381000</v>
      </c>
      <c r="AI172" s="28">
        <v>381000</v>
      </c>
      <c r="AJ172" s="28">
        <v>381000</v>
      </c>
      <c r="AK172" s="28">
        <v>378000</v>
      </c>
      <c r="AL172" s="28">
        <v>343000</v>
      </c>
      <c r="AM172" s="28">
        <v>343000</v>
      </c>
      <c r="AN172" s="28">
        <v>378000</v>
      </c>
      <c r="AO172" s="28">
        <v>584000</v>
      </c>
    </row>
    <row r="173" spans="1:41" ht="18" x14ac:dyDescent="0.25">
      <c r="A173" s="34" t="s">
        <v>150</v>
      </c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</row>
    <row r="174" spans="1:41" ht="15" x14ac:dyDescent="0.2">
      <c r="A174" s="26" t="s">
        <v>151</v>
      </c>
      <c r="B174" s="28">
        <v>511000</v>
      </c>
      <c r="C174" s="28">
        <v>301000</v>
      </c>
      <c r="D174" s="33"/>
      <c r="E174" s="28">
        <v>531000</v>
      </c>
      <c r="F174" s="33"/>
      <c r="G174" s="28">
        <v>202000</v>
      </c>
      <c r="H174" s="33"/>
      <c r="I174" s="28">
        <v>120000</v>
      </c>
      <c r="J174" s="28">
        <v>81000</v>
      </c>
      <c r="K174" s="28">
        <v>193000</v>
      </c>
      <c r="L174" s="28">
        <v>224000</v>
      </c>
      <c r="M174" s="28">
        <v>248000</v>
      </c>
      <c r="N174" s="28">
        <v>297000</v>
      </c>
      <c r="O174" s="28">
        <v>297000</v>
      </c>
      <c r="P174" s="28">
        <v>215000</v>
      </c>
      <c r="Q174" s="28">
        <v>285000</v>
      </c>
      <c r="R174" s="28">
        <v>148000</v>
      </c>
      <c r="S174" s="28">
        <v>267000</v>
      </c>
      <c r="T174" s="28">
        <v>294000</v>
      </c>
      <c r="U174" s="28">
        <v>267000</v>
      </c>
      <c r="V174" s="28">
        <v>271000</v>
      </c>
      <c r="W174" s="28">
        <v>265000</v>
      </c>
      <c r="X174" s="28">
        <v>280000</v>
      </c>
      <c r="Y174" s="28">
        <v>150000</v>
      </c>
      <c r="Z174" s="28">
        <v>150000</v>
      </c>
      <c r="AA174" s="28">
        <v>150000</v>
      </c>
      <c r="AB174" s="28">
        <v>150000</v>
      </c>
      <c r="AC174" s="28">
        <v>148000</v>
      </c>
      <c r="AD174" s="28">
        <v>159000</v>
      </c>
      <c r="AE174" s="28">
        <v>159000</v>
      </c>
      <c r="AF174" s="28">
        <v>157000</v>
      </c>
      <c r="AG174" s="28">
        <v>150000</v>
      </c>
      <c r="AH174" s="28">
        <v>147000</v>
      </c>
      <c r="AI174" s="28">
        <v>147000</v>
      </c>
      <c r="AJ174" s="28">
        <v>147000</v>
      </c>
      <c r="AK174" s="28">
        <v>199000</v>
      </c>
      <c r="AL174" s="28">
        <v>187000</v>
      </c>
      <c r="AM174" s="28">
        <v>187000</v>
      </c>
      <c r="AN174" s="28">
        <v>199000</v>
      </c>
      <c r="AO174" s="28">
        <v>254000</v>
      </c>
    </row>
    <row r="175" spans="1:41" ht="18" x14ac:dyDescent="0.25">
      <c r="A175" s="49" t="s">
        <v>152</v>
      </c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</row>
    <row r="176" spans="1:41" ht="15" x14ac:dyDescent="0.2">
      <c r="A176" s="31" t="s">
        <v>153</v>
      </c>
      <c r="B176" s="48"/>
      <c r="C176" s="28">
        <v>826000</v>
      </c>
      <c r="D176" s="48"/>
      <c r="E176" s="28">
        <v>2553000</v>
      </c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</row>
    <row r="177" spans="1:41" ht="15" x14ac:dyDescent="0.2">
      <c r="A177" s="31" t="s">
        <v>154</v>
      </c>
      <c r="B177" s="48"/>
      <c r="C177" s="28">
        <v>189000</v>
      </c>
      <c r="D177" s="48"/>
      <c r="E177" s="28">
        <v>584000</v>
      </c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</row>
    <row r="178" spans="1:41" ht="15" x14ac:dyDescent="0.2">
      <c r="A178" s="31" t="s">
        <v>155</v>
      </c>
      <c r="B178" s="48"/>
      <c r="C178" s="28">
        <v>429000</v>
      </c>
      <c r="D178" s="48"/>
      <c r="E178" s="28">
        <v>1326000</v>
      </c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</row>
  </sheetData>
  <mergeCells count="42">
    <mergeCell ref="G2:G3"/>
    <mergeCell ref="H2:H3"/>
    <mergeCell ref="A1:A2"/>
    <mergeCell ref="B1:J1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K2:AK3"/>
    <mergeCell ref="AL2:AL3"/>
    <mergeCell ref="AM2:AM3"/>
    <mergeCell ref="AN2:AN3"/>
    <mergeCell ref="AO2:AO3"/>
    <mergeCell ref="AD2:AD3"/>
    <mergeCell ref="AE2:AE3"/>
    <mergeCell ref="AF2:AF3"/>
    <mergeCell ref="AG2:AG3"/>
    <mergeCell ref="AH2:AH3"/>
    <mergeCell ref="AI2:AI3"/>
    <mergeCell ref="AJ2:A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K61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51" sqref="A51"/>
    </sheetView>
  </sheetViews>
  <sheetFormatPr defaultColWidth="12.5703125" defaultRowHeight="15.75" customHeight="1" x14ac:dyDescent="0.2"/>
  <cols>
    <col min="1" max="1" width="41.5703125" customWidth="1"/>
    <col min="2" max="37" width="17" customWidth="1"/>
  </cols>
  <sheetData>
    <row r="1" spans="1:37" ht="15.75" customHeight="1" x14ac:dyDescent="0.3">
      <c r="A1" s="273" t="s">
        <v>0</v>
      </c>
      <c r="B1" s="274" t="s">
        <v>1</v>
      </c>
      <c r="C1" s="271"/>
      <c r="D1" s="271"/>
      <c r="E1" s="271"/>
      <c r="F1" s="27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12.75" x14ac:dyDescent="0.2">
      <c r="A2" s="271"/>
      <c r="B2" s="272" t="s">
        <v>3</v>
      </c>
      <c r="C2" s="272" t="s">
        <v>4</v>
      </c>
      <c r="D2" s="272" t="s">
        <v>6</v>
      </c>
      <c r="E2" s="272" t="s">
        <v>10</v>
      </c>
      <c r="F2" s="272" t="s">
        <v>11</v>
      </c>
      <c r="G2" s="268" t="s">
        <v>12</v>
      </c>
      <c r="H2" s="268" t="s">
        <v>13</v>
      </c>
      <c r="I2" s="268" t="s">
        <v>14</v>
      </c>
      <c r="J2" s="268" t="s">
        <v>15</v>
      </c>
      <c r="K2" s="268" t="s">
        <v>16</v>
      </c>
      <c r="L2" s="268" t="s">
        <v>17</v>
      </c>
      <c r="M2" s="268" t="s">
        <v>18</v>
      </c>
      <c r="N2" s="268" t="s">
        <v>19</v>
      </c>
      <c r="O2" s="268" t="s">
        <v>20</v>
      </c>
      <c r="P2" s="268" t="s">
        <v>21</v>
      </c>
      <c r="Q2" s="268" t="s">
        <v>22</v>
      </c>
      <c r="R2" s="268" t="s">
        <v>23</v>
      </c>
      <c r="S2" s="268" t="s">
        <v>24</v>
      </c>
      <c r="T2" s="268" t="s">
        <v>25</v>
      </c>
      <c r="U2" s="268" t="s">
        <v>26</v>
      </c>
      <c r="V2" s="268" t="s">
        <v>27</v>
      </c>
      <c r="W2" s="268" t="s">
        <v>28</v>
      </c>
      <c r="X2" s="268" t="s">
        <v>29</v>
      </c>
      <c r="Y2" s="268" t="s">
        <v>30</v>
      </c>
      <c r="Z2" s="268" t="s">
        <v>31</v>
      </c>
      <c r="AA2" s="268" t="s">
        <v>32</v>
      </c>
      <c r="AB2" s="268" t="s">
        <v>33</v>
      </c>
      <c r="AC2" s="268" t="s">
        <v>34</v>
      </c>
      <c r="AD2" s="268" t="s">
        <v>182</v>
      </c>
      <c r="AE2" s="268" t="s">
        <v>183</v>
      </c>
      <c r="AF2" s="268" t="s">
        <v>184</v>
      </c>
      <c r="AG2" s="268" t="s">
        <v>38</v>
      </c>
      <c r="AH2" s="268" t="s">
        <v>39</v>
      </c>
      <c r="AI2" s="268" t="s">
        <v>40</v>
      </c>
      <c r="AJ2" s="268" t="s">
        <v>41</v>
      </c>
      <c r="AK2" s="268" t="s">
        <v>42</v>
      </c>
    </row>
    <row r="3" spans="1:37" ht="15.75" customHeight="1" x14ac:dyDescent="0.35">
      <c r="A3" s="5" t="s">
        <v>187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</row>
    <row r="4" spans="1:37" ht="15.75" customHeight="1" x14ac:dyDescent="0.35">
      <c r="A4" s="6" t="s">
        <v>44</v>
      </c>
      <c r="B4" s="8" t="s">
        <v>46</v>
      </c>
      <c r="C4" s="9" t="s">
        <v>47</v>
      </c>
      <c r="D4" s="9" t="s">
        <v>47</v>
      </c>
      <c r="E4" s="9" t="s">
        <v>49</v>
      </c>
      <c r="F4" s="9" t="s">
        <v>49</v>
      </c>
      <c r="G4" s="12" t="s">
        <v>50</v>
      </c>
      <c r="H4" s="12" t="s">
        <v>50</v>
      </c>
      <c r="I4" s="12" t="s">
        <v>50</v>
      </c>
      <c r="J4" s="12" t="s">
        <v>51</v>
      </c>
      <c r="K4" s="12" t="s">
        <v>51</v>
      </c>
      <c r="L4" s="12" t="s">
        <v>51</v>
      </c>
      <c r="M4" s="12" t="s">
        <v>51</v>
      </c>
      <c r="N4" s="12" t="s">
        <v>50</v>
      </c>
      <c r="O4" s="12" t="s">
        <v>51</v>
      </c>
      <c r="P4" s="12" t="s">
        <v>51</v>
      </c>
      <c r="Q4" s="12" t="s">
        <v>51</v>
      </c>
      <c r="R4" s="12" t="s">
        <v>51</v>
      </c>
      <c r="S4" s="12" t="s">
        <v>51</v>
      </c>
      <c r="T4" s="12" t="s">
        <v>51</v>
      </c>
      <c r="U4" s="12" t="s">
        <v>51</v>
      </c>
      <c r="V4" s="12" t="s">
        <v>51</v>
      </c>
      <c r="W4" s="12" t="s">
        <v>51</v>
      </c>
      <c r="X4" s="12" t="s">
        <v>51</v>
      </c>
      <c r="Y4" s="12" t="s">
        <v>51</v>
      </c>
      <c r="Z4" s="12" t="s">
        <v>51</v>
      </c>
      <c r="AA4" s="12" t="s">
        <v>51</v>
      </c>
      <c r="AB4" s="12" t="s">
        <v>51</v>
      </c>
      <c r="AC4" s="12" t="s">
        <v>51</v>
      </c>
      <c r="AD4" s="12" t="s">
        <v>51</v>
      </c>
      <c r="AE4" s="12" t="s">
        <v>51</v>
      </c>
      <c r="AF4" s="12" t="s">
        <v>51</v>
      </c>
      <c r="AG4" s="12" t="s">
        <v>51</v>
      </c>
      <c r="AH4" s="12" t="s">
        <v>50</v>
      </c>
      <c r="AI4" s="12" t="s">
        <v>50</v>
      </c>
      <c r="AJ4" s="12" t="s">
        <v>50</v>
      </c>
      <c r="AK4" s="12" t="s">
        <v>50</v>
      </c>
    </row>
    <row r="5" spans="1:37" ht="15.75" customHeight="1" x14ac:dyDescent="0.25">
      <c r="A5" s="14">
        <v>46175</v>
      </c>
      <c r="B5" s="48"/>
      <c r="C5" s="24"/>
      <c r="D5" s="24"/>
      <c r="E5" s="24"/>
      <c r="F5" s="24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</row>
    <row r="6" spans="1:37" ht="15.75" customHeight="1" x14ac:dyDescent="0.25">
      <c r="A6" s="53" t="s">
        <v>53</v>
      </c>
      <c r="B6" s="20" t="s">
        <v>56</v>
      </c>
      <c r="C6" s="20" t="s">
        <v>188</v>
      </c>
      <c r="D6" s="20" t="s">
        <v>188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2" t="s">
        <v>55</v>
      </c>
      <c r="Y6" s="22" t="s">
        <v>56</v>
      </c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</row>
    <row r="7" spans="1:37" ht="15.75" customHeight="1" x14ac:dyDescent="0.25">
      <c r="A7" s="54" t="s">
        <v>189</v>
      </c>
      <c r="B7" s="55"/>
      <c r="C7" s="56"/>
      <c r="D7" s="56"/>
      <c r="E7" s="55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</row>
    <row r="8" spans="1:37" ht="15" x14ac:dyDescent="0.2">
      <c r="A8" s="31" t="s">
        <v>190</v>
      </c>
      <c r="B8" s="28">
        <v>10084000</v>
      </c>
      <c r="C8" s="28">
        <v>5095000</v>
      </c>
      <c r="D8" s="28">
        <v>8338000</v>
      </c>
      <c r="E8" s="28">
        <v>4220000</v>
      </c>
      <c r="F8" s="28">
        <v>3672000</v>
      </c>
      <c r="G8" s="28">
        <v>4818000</v>
      </c>
      <c r="H8" s="28">
        <v>5055000</v>
      </c>
      <c r="I8" s="28">
        <v>5102000</v>
      </c>
      <c r="J8" s="28">
        <v>5548000</v>
      </c>
      <c r="K8" s="28">
        <v>5548000</v>
      </c>
      <c r="L8" s="28">
        <v>5058000</v>
      </c>
      <c r="M8" s="28">
        <v>5983000</v>
      </c>
      <c r="N8" s="28">
        <v>4195000</v>
      </c>
      <c r="O8" s="28">
        <v>5628000</v>
      </c>
      <c r="P8" s="28">
        <v>6004000</v>
      </c>
      <c r="Q8" s="28">
        <v>5628000</v>
      </c>
      <c r="R8" s="28">
        <v>5767000</v>
      </c>
      <c r="S8" s="28">
        <v>5671000</v>
      </c>
      <c r="T8" s="28">
        <v>5886000</v>
      </c>
      <c r="U8" s="28">
        <v>4604000</v>
      </c>
      <c r="V8" s="28">
        <v>4604000</v>
      </c>
      <c r="W8" s="28">
        <v>4604000</v>
      </c>
      <c r="X8" s="28">
        <v>4604000</v>
      </c>
      <c r="Y8" s="28">
        <v>4579000</v>
      </c>
      <c r="Z8" s="28">
        <v>4740000</v>
      </c>
      <c r="AA8" s="28">
        <v>4740000</v>
      </c>
      <c r="AB8" s="28">
        <v>4706000</v>
      </c>
      <c r="AC8" s="28">
        <v>4604000</v>
      </c>
      <c r="AD8" s="28">
        <v>4570000</v>
      </c>
      <c r="AE8" s="28">
        <v>4570000</v>
      </c>
      <c r="AF8" s="28">
        <v>4570000</v>
      </c>
      <c r="AG8" s="28">
        <v>4309000</v>
      </c>
      <c r="AH8" s="28">
        <v>4145000</v>
      </c>
      <c r="AI8" s="28">
        <v>4145000</v>
      </c>
      <c r="AJ8" s="28">
        <v>4309000</v>
      </c>
      <c r="AK8" s="28">
        <v>5345000</v>
      </c>
    </row>
    <row r="9" spans="1:37" ht="15" x14ac:dyDescent="0.2">
      <c r="A9" s="57" t="s">
        <v>191</v>
      </c>
      <c r="B9" s="58">
        <v>11428000</v>
      </c>
      <c r="C9" s="58">
        <v>5944000</v>
      </c>
      <c r="D9" s="58">
        <v>9727000</v>
      </c>
      <c r="E9" s="58">
        <v>4576000</v>
      </c>
      <c r="F9" s="58">
        <v>3937000</v>
      </c>
      <c r="G9" s="58">
        <v>5260000</v>
      </c>
      <c r="H9" s="58">
        <v>5530000</v>
      </c>
      <c r="I9" s="58">
        <v>5577000</v>
      </c>
      <c r="J9" s="58">
        <v>6088000</v>
      </c>
      <c r="K9" s="58">
        <v>6088000</v>
      </c>
      <c r="L9" s="58">
        <v>5539000</v>
      </c>
      <c r="M9" s="58">
        <v>6615000</v>
      </c>
      <c r="N9" s="58">
        <v>4534000</v>
      </c>
      <c r="O9" s="58">
        <v>6198000</v>
      </c>
      <c r="P9" s="58">
        <v>6636000</v>
      </c>
      <c r="Q9" s="58">
        <v>6198000</v>
      </c>
      <c r="R9" s="58">
        <v>6362000</v>
      </c>
      <c r="S9" s="58">
        <v>6251000</v>
      </c>
      <c r="T9" s="58">
        <v>6502000</v>
      </c>
      <c r="U9" s="58">
        <v>5023000</v>
      </c>
      <c r="V9" s="58">
        <v>5023000</v>
      </c>
      <c r="W9" s="58">
        <v>5023000</v>
      </c>
      <c r="X9" s="58">
        <v>5023000</v>
      </c>
      <c r="Y9" s="58">
        <v>4993000</v>
      </c>
      <c r="Z9" s="58">
        <v>5182000</v>
      </c>
      <c r="AA9" s="58">
        <v>5182000</v>
      </c>
      <c r="AB9" s="58">
        <v>5142000</v>
      </c>
      <c r="AC9" s="58">
        <v>5023000</v>
      </c>
      <c r="AD9" s="58">
        <v>4983000</v>
      </c>
      <c r="AE9" s="58">
        <v>4983000</v>
      </c>
      <c r="AF9" s="58">
        <v>4983000</v>
      </c>
      <c r="AG9" s="58">
        <v>4649000</v>
      </c>
      <c r="AH9" s="58">
        <v>4457000</v>
      </c>
      <c r="AI9" s="58">
        <v>4457000</v>
      </c>
      <c r="AJ9" s="58">
        <v>4649000</v>
      </c>
      <c r="AK9" s="58">
        <v>5864000</v>
      </c>
    </row>
    <row r="10" spans="1:37" ht="15" x14ac:dyDescent="0.2">
      <c r="A10" s="26" t="s">
        <v>192</v>
      </c>
      <c r="B10" s="28">
        <v>12772000</v>
      </c>
      <c r="C10" s="28">
        <v>6793000</v>
      </c>
      <c r="D10" s="28">
        <v>11117000</v>
      </c>
      <c r="E10" s="28">
        <v>4932000</v>
      </c>
      <c r="F10" s="28">
        <v>4202000</v>
      </c>
      <c r="G10" s="28">
        <v>5702000</v>
      </c>
      <c r="H10" s="28">
        <v>6006000</v>
      </c>
      <c r="I10" s="28">
        <v>6052000</v>
      </c>
      <c r="J10" s="28">
        <v>6629000</v>
      </c>
      <c r="K10" s="28">
        <v>6629000</v>
      </c>
      <c r="L10" s="28">
        <v>6019000</v>
      </c>
      <c r="M10" s="28">
        <v>7247000</v>
      </c>
      <c r="N10" s="28">
        <v>4873000</v>
      </c>
      <c r="O10" s="28">
        <v>6768000</v>
      </c>
      <c r="P10" s="28">
        <v>7269000</v>
      </c>
      <c r="Q10" s="28">
        <v>6768000</v>
      </c>
      <c r="R10" s="28">
        <v>6958000</v>
      </c>
      <c r="S10" s="28">
        <v>6830000</v>
      </c>
      <c r="T10" s="28">
        <v>7117000</v>
      </c>
      <c r="U10" s="28">
        <v>5442000</v>
      </c>
      <c r="V10" s="28">
        <v>5442000</v>
      </c>
      <c r="W10" s="28">
        <v>5442000</v>
      </c>
      <c r="X10" s="28">
        <v>5442000</v>
      </c>
      <c r="Y10" s="28">
        <v>5408000</v>
      </c>
      <c r="Z10" s="28">
        <v>5624000</v>
      </c>
      <c r="AA10" s="28">
        <v>5624000</v>
      </c>
      <c r="AB10" s="28">
        <v>5578000</v>
      </c>
      <c r="AC10" s="28">
        <v>5442000</v>
      </c>
      <c r="AD10" s="28">
        <v>5397000</v>
      </c>
      <c r="AE10" s="28">
        <v>5397000</v>
      </c>
      <c r="AF10" s="28">
        <v>5397000</v>
      </c>
      <c r="AG10" s="28">
        <v>4988000</v>
      </c>
      <c r="AH10" s="28">
        <v>4769000</v>
      </c>
      <c r="AI10" s="28">
        <v>4769000</v>
      </c>
      <c r="AJ10" s="28">
        <v>4988000</v>
      </c>
      <c r="AK10" s="28">
        <v>6384000</v>
      </c>
    </row>
    <row r="11" spans="1:37" ht="15" x14ac:dyDescent="0.2">
      <c r="A11" s="57" t="s">
        <v>193</v>
      </c>
      <c r="B11" s="58">
        <v>14923000</v>
      </c>
      <c r="C11" s="58">
        <v>8151000</v>
      </c>
      <c r="D11" s="58">
        <v>13340000</v>
      </c>
      <c r="E11" s="58">
        <v>5502000</v>
      </c>
      <c r="F11" s="58">
        <v>4625000</v>
      </c>
      <c r="G11" s="58">
        <v>6409000</v>
      </c>
      <c r="H11" s="58">
        <v>6767000</v>
      </c>
      <c r="I11" s="58">
        <v>6811000</v>
      </c>
      <c r="J11" s="58">
        <v>7495000</v>
      </c>
      <c r="K11" s="58">
        <v>7495000</v>
      </c>
      <c r="L11" s="58">
        <v>6787000</v>
      </c>
      <c r="M11" s="58">
        <v>8258000</v>
      </c>
      <c r="N11" s="58">
        <v>5416000</v>
      </c>
      <c r="O11" s="58">
        <v>7680000</v>
      </c>
      <c r="P11" s="58">
        <v>8281000</v>
      </c>
      <c r="Q11" s="58">
        <v>7680000</v>
      </c>
      <c r="R11" s="58">
        <v>7910000</v>
      </c>
      <c r="S11" s="58">
        <v>7758000</v>
      </c>
      <c r="T11" s="58">
        <v>8102000</v>
      </c>
      <c r="U11" s="58">
        <v>6112000</v>
      </c>
      <c r="V11" s="58">
        <v>6112000</v>
      </c>
      <c r="W11" s="58">
        <v>6112000</v>
      </c>
      <c r="X11" s="58">
        <v>6112000</v>
      </c>
      <c r="Y11" s="58">
        <v>6072000</v>
      </c>
      <c r="Z11" s="58">
        <v>6331000</v>
      </c>
      <c r="AA11" s="58">
        <v>6331000</v>
      </c>
      <c r="AB11" s="58">
        <v>6276000</v>
      </c>
      <c r="AC11" s="58">
        <v>6112000</v>
      </c>
      <c r="AD11" s="58">
        <v>6058000</v>
      </c>
      <c r="AE11" s="58">
        <v>6058000</v>
      </c>
      <c r="AF11" s="58">
        <v>6058000</v>
      </c>
      <c r="AG11" s="58">
        <v>5530000</v>
      </c>
      <c r="AH11" s="58">
        <v>5268000</v>
      </c>
      <c r="AI11" s="58">
        <v>5268000</v>
      </c>
      <c r="AJ11" s="58">
        <v>5530000</v>
      </c>
      <c r="AK11" s="58">
        <v>7216000</v>
      </c>
    </row>
    <row r="12" spans="1:37" ht="15" x14ac:dyDescent="0.2">
      <c r="A12" s="26" t="s">
        <v>194</v>
      </c>
      <c r="B12" s="28">
        <v>15460000</v>
      </c>
      <c r="C12" s="28">
        <v>8491000</v>
      </c>
      <c r="D12" s="28">
        <v>13896000</v>
      </c>
      <c r="E12" s="28">
        <v>5644000</v>
      </c>
      <c r="F12" s="28">
        <v>4731000</v>
      </c>
      <c r="G12" s="28">
        <v>6586000</v>
      </c>
      <c r="H12" s="28">
        <v>6957000</v>
      </c>
      <c r="I12" s="28">
        <v>7001000</v>
      </c>
      <c r="J12" s="28">
        <v>7711000</v>
      </c>
      <c r="K12" s="28">
        <v>7711000</v>
      </c>
      <c r="L12" s="28">
        <v>6980000</v>
      </c>
      <c r="M12" s="28">
        <v>8511000</v>
      </c>
      <c r="N12" s="28">
        <v>5551000</v>
      </c>
      <c r="O12" s="28">
        <v>7908000</v>
      </c>
      <c r="P12" s="28">
        <v>8534000</v>
      </c>
      <c r="Q12" s="28">
        <v>7908000</v>
      </c>
      <c r="R12" s="28">
        <v>8149000</v>
      </c>
      <c r="S12" s="28">
        <v>7990000</v>
      </c>
      <c r="T12" s="28">
        <v>8348000</v>
      </c>
      <c r="U12" s="28">
        <v>6280000</v>
      </c>
      <c r="V12" s="28">
        <v>6280000</v>
      </c>
      <c r="W12" s="28">
        <v>6280000</v>
      </c>
      <c r="X12" s="28">
        <v>6280000</v>
      </c>
      <c r="Y12" s="28">
        <v>6238000</v>
      </c>
      <c r="Z12" s="28">
        <v>6507000</v>
      </c>
      <c r="AA12" s="28">
        <v>6507000</v>
      </c>
      <c r="AB12" s="28">
        <v>6450000</v>
      </c>
      <c r="AC12" s="28">
        <v>6280000</v>
      </c>
      <c r="AD12" s="28">
        <v>6223000</v>
      </c>
      <c r="AE12" s="28">
        <v>6223000</v>
      </c>
      <c r="AF12" s="28">
        <v>6223000</v>
      </c>
      <c r="AG12" s="28">
        <v>5666000</v>
      </c>
      <c r="AH12" s="28">
        <v>5393000</v>
      </c>
      <c r="AI12" s="28">
        <v>5393000</v>
      </c>
      <c r="AJ12" s="28">
        <v>5666000</v>
      </c>
      <c r="AK12" s="28">
        <v>7424000</v>
      </c>
    </row>
    <row r="13" spans="1:37" ht="15" x14ac:dyDescent="0.2">
      <c r="A13" s="57" t="s">
        <v>195</v>
      </c>
      <c r="B13" s="58">
        <v>16804000</v>
      </c>
      <c r="C13" s="58">
        <v>9340000</v>
      </c>
      <c r="D13" s="58">
        <v>15286000</v>
      </c>
      <c r="E13" s="58">
        <v>6000000</v>
      </c>
      <c r="F13" s="58">
        <v>4996000</v>
      </c>
      <c r="G13" s="58">
        <v>7028000</v>
      </c>
      <c r="H13" s="58">
        <v>7433000</v>
      </c>
      <c r="I13" s="58">
        <v>7475000</v>
      </c>
      <c r="J13" s="58">
        <v>8252000</v>
      </c>
      <c r="K13" s="58">
        <v>8252000</v>
      </c>
      <c r="L13" s="58">
        <v>7460000</v>
      </c>
      <c r="M13" s="58">
        <v>9143000</v>
      </c>
      <c r="N13" s="58">
        <v>5890000</v>
      </c>
      <c r="O13" s="58">
        <v>8478000</v>
      </c>
      <c r="P13" s="58">
        <v>9166000</v>
      </c>
      <c r="Q13" s="58">
        <v>8478000</v>
      </c>
      <c r="R13" s="58">
        <v>8744000</v>
      </c>
      <c r="S13" s="58">
        <v>8569000</v>
      </c>
      <c r="T13" s="58">
        <v>8963000</v>
      </c>
      <c r="U13" s="58">
        <v>6699000</v>
      </c>
      <c r="V13" s="58">
        <v>6699000</v>
      </c>
      <c r="W13" s="58">
        <v>6699000</v>
      </c>
      <c r="X13" s="58">
        <v>6699000</v>
      </c>
      <c r="Y13" s="58">
        <v>6652000</v>
      </c>
      <c r="Z13" s="58">
        <v>6949000</v>
      </c>
      <c r="AA13" s="58">
        <v>6949000</v>
      </c>
      <c r="AB13" s="58">
        <v>6886000</v>
      </c>
      <c r="AC13" s="58">
        <v>6699000</v>
      </c>
      <c r="AD13" s="58">
        <v>6637000</v>
      </c>
      <c r="AE13" s="58">
        <v>6637000</v>
      </c>
      <c r="AF13" s="58">
        <v>6637000</v>
      </c>
      <c r="AG13" s="58">
        <v>6005000</v>
      </c>
      <c r="AH13" s="58">
        <v>5704000</v>
      </c>
      <c r="AI13" s="58">
        <v>5704000</v>
      </c>
      <c r="AJ13" s="58">
        <v>6005000</v>
      </c>
      <c r="AK13" s="58">
        <v>7944000</v>
      </c>
    </row>
    <row r="14" spans="1:37" ht="15" x14ac:dyDescent="0.2">
      <c r="A14" s="26" t="s">
        <v>196</v>
      </c>
      <c r="B14" s="28">
        <v>18149000</v>
      </c>
      <c r="C14" s="28">
        <v>10189000</v>
      </c>
      <c r="D14" s="28">
        <v>16675000</v>
      </c>
      <c r="E14" s="28">
        <v>6356000</v>
      </c>
      <c r="F14" s="28">
        <v>5261000</v>
      </c>
      <c r="G14" s="28">
        <v>7471000</v>
      </c>
      <c r="H14" s="28">
        <v>7909000</v>
      </c>
      <c r="I14" s="28">
        <v>7950000</v>
      </c>
      <c r="J14" s="28">
        <v>8793000</v>
      </c>
      <c r="K14" s="28">
        <v>8793000</v>
      </c>
      <c r="L14" s="28">
        <v>7940000</v>
      </c>
      <c r="M14" s="28">
        <v>9775000</v>
      </c>
      <c r="N14" s="28">
        <v>6229000</v>
      </c>
      <c r="O14" s="28">
        <v>9048000</v>
      </c>
      <c r="P14" s="28">
        <v>9799000</v>
      </c>
      <c r="Q14" s="28">
        <v>9048000</v>
      </c>
      <c r="R14" s="28">
        <v>9340000</v>
      </c>
      <c r="S14" s="28">
        <v>9149000</v>
      </c>
      <c r="T14" s="28">
        <v>9579000</v>
      </c>
      <c r="U14" s="28">
        <v>7118000</v>
      </c>
      <c r="V14" s="28">
        <v>7118000</v>
      </c>
      <c r="W14" s="28">
        <v>7118000</v>
      </c>
      <c r="X14" s="28">
        <v>7118000</v>
      </c>
      <c r="Y14" s="28">
        <v>7067000</v>
      </c>
      <c r="Z14" s="28">
        <v>7391000</v>
      </c>
      <c r="AA14" s="28">
        <v>7391000</v>
      </c>
      <c r="AB14" s="28">
        <v>7322000</v>
      </c>
      <c r="AC14" s="28">
        <v>7118000</v>
      </c>
      <c r="AD14" s="28">
        <v>7050000</v>
      </c>
      <c r="AE14" s="28">
        <v>7050000</v>
      </c>
      <c r="AF14" s="28">
        <v>7050000</v>
      </c>
      <c r="AG14" s="28">
        <v>6344000</v>
      </c>
      <c r="AH14" s="28">
        <v>6016000</v>
      </c>
      <c r="AI14" s="28">
        <v>6016000</v>
      </c>
      <c r="AJ14" s="28">
        <v>6344000</v>
      </c>
      <c r="AK14" s="28">
        <v>8463000</v>
      </c>
    </row>
    <row r="15" spans="1:37" ht="15" x14ac:dyDescent="0.2">
      <c r="A15" s="57" t="s">
        <v>197</v>
      </c>
      <c r="B15" s="58">
        <v>19493000</v>
      </c>
      <c r="C15" s="58">
        <v>11038000</v>
      </c>
      <c r="D15" s="58">
        <v>18065000</v>
      </c>
      <c r="E15" s="58">
        <v>6712000</v>
      </c>
      <c r="F15" s="58">
        <v>5525000</v>
      </c>
      <c r="G15" s="58">
        <v>7913000</v>
      </c>
      <c r="H15" s="58">
        <v>8384000</v>
      </c>
      <c r="I15" s="58">
        <v>8424000</v>
      </c>
      <c r="J15" s="58">
        <v>9334000</v>
      </c>
      <c r="K15" s="58">
        <v>9334000</v>
      </c>
      <c r="L15" s="58">
        <v>8420000</v>
      </c>
      <c r="M15" s="58">
        <v>10408000</v>
      </c>
      <c r="N15" s="58">
        <v>6568000</v>
      </c>
      <c r="O15" s="58">
        <v>9618000</v>
      </c>
      <c r="P15" s="58">
        <v>10432000</v>
      </c>
      <c r="Q15" s="58">
        <v>9618000</v>
      </c>
      <c r="R15" s="58">
        <v>9935000</v>
      </c>
      <c r="S15" s="58">
        <v>9729000</v>
      </c>
      <c r="T15" s="58">
        <v>10194000</v>
      </c>
      <c r="U15" s="58">
        <v>7537000</v>
      </c>
      <c r="V15" s="58">
        <v>7537000</v>
      </c>
      <c r="W15" s="58">
        <v>7537000</v>
      </c>
      <c r="X15" s="58">
        <v>7537000</v>
      </c>
      <c r="Y15" s="58">
        <v>7482000</v>
      </c>
      <c r="Z15" s="58">
        <v>7832000</v>
      </c>
      <c r="AA15" s="58">
        <v>7832000</v>
      </c>
      <c r="AB15" s="58">
        <v>7759000</v>
      </c>
      <c r="AC15" s="58">
        <v>7537000</v>
      </c>
      <c r="AD15" s="58">
        <v>7463000</v>
      </c>
      <c r="AE15" s="58">
        <v>7463000</v>
      </c>
      <c r="AF15" s="58">
        <v>7463000</v>
      </c>
      <c r="AG15" s="58">
        <v>6683000</v>
      </c>
      <c r="AH15" s="58">
        <v>6328000</v>
      </c>
      <c r="AI15" s="58">
        <v>6328000</v>
      </c>
      <c r="AJ15" s="58">
        <v>6683000</v>
      </c>
      <c r="AK15" s="58">
        <v>8983000</v>
      </c>
    </row>
    <row r="16" spans="1:37" ht="15" x14ac:dyDescent="0.2">
      <c r="A16" s="26" t="s">
        <v>198</v>
      </c>
      <c r="B16" s="28">
        <v>20837000</v>
      </c>
      <c r="C16" s="28">
        <v>11887000</v>
      </c>
      <c r="D16" s="28">
        <v>19454000</v>
      </c>
      <c r="E16" s="28">
        <v>7068000</v>
      </c>
      <c r="F16" s="28">
        <v>5790000</v>
      </c>
      <c r="G16" s="28">
        <v>8355000</v>
      </c>
      <c r="H16" s="28">
        <v>8860000</v>
      </c>
      <c r="I16" s="28">
        <v>8899000</v>
      </c>
      <c r="J16" s="28">
        <v>9875000</v>
      </c>
      <c r="K16" s="28">
        <v>9875000</v>
      </c>
      <c r="L16" s="28">
        <v>8901000</v>
      </c>
      <c r="M16" s="28">
        <v>11040000</v>
      </c>
      <c r="N16" s="28">
        <v>6907000</v>
      </c>
      <c r="O16" s="28">
        <v>10188000</v>
      </c>
      <c r="P16" s="28">
        <v>11064000</v>
      </c>
      <c r="Q16" s="28">
        <v>10188000</v>
      </c>
      <c r="R16" s="28">
        <v>10531000</v>
      </c>
      <c r="S16" s="28">
        <v>10308000</v>
      </c>
      <c r="T16" s="28">
        <v>10810000</v>
      </c>
      <c r="U16" s="28">
        <v>7956000</v>
      </c>
      <c r="V16" s="28">
        <v>7956000</v>
      </c>
      <c r="W16" s="28">
        <v>7956000</v>
      </c>
      <c r="X16" s="28">
        <v>7956000</v>
      </c>
      <c r="Y16" s="28">
        <v>7896000</v>
      </c>
      <c r="Z16" s="28">
        <v>8274000</v>
      </c>
      <c r="AA16" s="28">
        <v>8274000</v>
      </c>
      <c r="AB16" s="28">
        <v>8195000</v>
      </c>
      <c r="AC16" s="28">
        <v>7956000</v>
      </c>
      <c r="AD16" s="28">
        <v>7877000</v>
      </c>
      <c r="AE16" s="28">
        <v>7877000</v>
      </c>
      <c r="AF16" s="28">
        <v>7877000</v>
      </c>
      <c r="AG16" s="28">
        <v>7022000</v>
      </c>
      <c r="AH16" s="28">
        <v>6640000</v>
      </c>
      <c r="AI16" s="28">
        <v>6640000</v>
      </c>
      <c r="AJ16" s="28">
        <v>7022000</v>
      </c>
      <c r="AK16" s="28">
        <v>9503000</v>
      </c>
    </row>
    <row r="17" spans="1:37" ht="15" x14ac:dyDescent="0.2">
      <c r="A17" s="57" t="s">
        <v>199</v>
      </c>
      <c r="B17" s="58">
        <v>22181000</v>
      </c>
      <c r="C17" s="58">
        <v>12736000</v>
      </c>
      <c r="D17" s="58">
        <v>20844000</v>
      </c>
      <c r="E17" s="58">
        <v>7424000</v>
      </c>
      <c r="F17" s="58">
        <v>6055000</v>
      </c>
      <c r="G17" s="58">
        <v>8797000</v>
      </c>
      <c r="H17" s="58">
        <v>9335000</v>
      </c>
      <c r="I17" s="58">
        <v>9374000</v>
      </c>
      <c r="J17" s="58">
        <v>10416000</v>
      </c>
      <c r="K17" s="58">
        <v>10416000</v>
      </c>
      <c r="L17" s="58">
        <v>9381000</v>
      </c>
      <c r="M17" s="58">
        <v>11672000</v>
      </c>
      <c r="N17" s="58">
        <v>7246000</v>
      </c>
      <c r="O17" s="58">
        <v>10758000</v>
      </c>
      <c r="P17" s="58">
        <v>11697000</v>
      </c>
      <c r="Q17" s="58">
        <v>10758000</v>
      </c>
      <c r="R17" s="58">
        <v>11126000</v>
      </c>
      <c r="S17" s="58">
        <v>10888000</v>
      </c>
      <c r="T17" s="58">
        <v>11425000</v>
      </c>
      <c r="U17" s="58">
        <v>8375000</v>
      </c>
      <c r="V17" s="58">
        <v>8375000</v>
      </c>
      <c r="W17" s="58">
        <v>8375000</v>
      </c>
      <c r="X17" s="58">
        <v>8375000</v>
      </c>
      <c r="Y17" s="58">
        <v>8311000</v>
      </c>
      <c r="Z17" s="58">
        <v>8716000</v>
      </c>
      <c r="AA17" s="58">
        <v>8716000</v>
      </c>
      <c r="AB17" s="58">
        <v>8631000</v>
      </c>
      <c r="AC17" s="58">
        <v>8375000</v>
      </c>
      <c r="AD17" s="58">
        <v>8290000</v>
      </c>
      <c r="AE17" s="58">
        <v>8290000</v>
      </c>
      <c r="AF17" s="58">
        <v>8290000</v>
      </c>
      <c r="AG17" s="58">
        <v>7361000</v>
      </c>
      <c r="AH17" s="58">
        <v>6951000</v>
      </c>
      <c r="AI17" s="58">
        <v>6951000</v>
      </c>
      <c r="AJ17" s="58">
        <v>7361000</v>
      </c>
      <c r="AK17" s="58">
        <v>10023000</v>
      </c>
    </row>
    <row r="18" spans="1:37" ht="15.75" customHeight="1" x14ac:dyDescent="0.25">
      <c r="A18" s="59" t="s">
        <v>200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spans="1:37" ht="15" x14ac:dyDescent="0.2">
      <c r="A19" s="31" t="s">
        <v>201</v>
      </c>
      <c r="B19" s="28">
        <v>11385000</v>
      </c>
      <c r="C19" s="28">
        <v>5442000</v>
      </c>
      <c r="D19" s="28">
        <v>8905000</v>
      </c>
      <c r="E19" s="28">
        <v>4506000</v>
      </c>
      <c r="F19" s="28">
        <v>3921000</v>
      </c>
      <c r="G19" s="28">
        <v>5143000</v>
      </c>
      <c r="H19" s="28">
        <v>5396000</v>
      </c>
      <c r="I19" s="28">
        <v>5446000</v>
      </c>
      <c r="J19" s="28">
        <v>5920000</v>
      </c>
      <c r="K19" s="28">
        <v>5920000</v>
      </c>
      <c r="L19" s="28">
        <v>5400000</v>
      </c>
      <c r="M19" s="28">
        <v>6387000</v>
      </c>
      <c r="N19" s="28">
        <v>4478000</v>
      </c>
      <c r="O19" s="28">
        <v>6008000</v>
      </c>
      <c r="P19" s="28">
        <v>6409000</v>
      </c>
      <c r="Q19" s="28">
        <v>6008000</v>
      </c>
      <c r="R19" s="28">
        <v>6156000</v>
      </c>
      <c r="S19" s="28">
        <v>6054000</v>
      </c>
      <c r="T19" s="28">
        <v>6284000</v>
      </c>
      <c r="U19" s="28">
        <v>4916000</v>
      </c>
      <c r="V19" s="28">
        <v>4916000</v>
      </c>
      <c r="W19" s="28">
        <v>4916000</v>
      </c>
      <c r="X19" s="28">
        <v>4916000</v>
      </c>
      <c r="Y19" s="28"/>
      <c r="Z19" s="28">
        <v>5062000</v>
      </c>
      <c r="AA19" s="28">
        <v>5062000</v>
      </c>
      <c r="AB19" s="28">
        <v>5025000</v>
      </c>
      <c r="AC19" s="28">
        <v>4916000</v>
      </c>
      <c r="AD19" s="28">
        <v>4880000</v>
      </c>
      <c r="AE19" s="28">
        <v>4880000</v>
      </c>
      <c r="AF19" s="28">
        <v>4880000</v>
      </c>
      <c r="AG19" s="25"/>
      <c r="AH19" s="25"/>
      <c r="AI19" s="25"/>
      <c r="AJ19" s="25"/>
      <c r="AK19" s="25"/>
    </row>
    <row r="20" spans="1:37" ht="15" x14ac:dyDescent="0.2">
      <c r="A20" s="57" t="s">
        <v>202</v>
      </c>
      <c r="B20" s="58">
        <v>12923000</v>
      </c>
      <c r="C20" s="58">
        <v>6349000</v>
      </c>
      <c r="D20" s="58">
        <v>10390000</v>
      </c>
      <c r="E20" s="58">
        <v>4886000</v>
      </c>
      <c r="F20" s="58">
        <v>4204000</v>
      </c>
      <c r="G20" s="58">
        <v>5615000</v>
      </c>
      <c r="H20" s="58">
        <v>5903000</v>
      </c>
      <c r="I20" s="58">
        <v>5952000</v>
      </c>
      <c r="J20" s="58">
        <v>6497000</v>
      </c>
      <c r="K20" s="58">
        <v>6497000</v>
      </c>
      <c r="L20" s="58">
        <v>5913000</v>
      </c>
      <c r="M20" s="58">
        <v>7062000</v>
      </c>
      <c r="N20" s="58">
        <v>4840000</v>
      </c>
      <c r="O20" s="58">
        <v>6616000</v>
      </c>
      <c r="P20" s="58">
        <v>7084000</v>
      </c>
      <c r="Q20" s="58">
        <v>6616000</v>
      </c>
      <c r="R20" s="58">
        <v>6792000</v>
      </c>
      <c r="S20" s="58">
        <v>6673000</v>
      </c>
      <c r="T20" s="58">
        <v>6941000</v>
      </c>
      <c r="U20" s="58">
        <v>5364000</v>
      </c>
      <c r="V20" s="58">
        <v>5364000</v>
      </c>
      <c r="W20" s="58">
        <v>5364000</v>
      </c>
      <c r="X20" s="58">
        <v>5364000</v>
      </c>
      <c r="Y20" s="58"/>
      <c r="Z20" s="58">
        <v>5533000</v>
      </c>
      <c r="AA20" s="58">
        <v>5533000</v>
      </c>
      <c r="AB20" s="58">
        <v>5491000</v>
      </c>
      <c r="AC20" s="58">
        <v>5364000</v>
      </c>
      <c r="AD20" s="58">
        <v>5321000</v>
      </c>
      <c r="AE20" s="58">
        <v>5321000</v>
      </c>
      <c r="AF20" s="58">
        <v>5321000</v>
      </c>
      <c r="AG20" s="60"/>
      <c r="AH20" s="60"/>
      <c r="AI20" s="60"/>
      <c r="AJ20" s="60"/>
      <c r="AK20" s="60"/>
    </row>
    <row r="21" spans="1:37" ht="15" x14ac:dyDescent="0.2">
      <c r="A21" s="26" t="s">
        <v>203</v>
      </c>
      <c r="B21" s="28">
        <v>14461000</v>
      </c>
      <c r="C21" s="28">
        <v>7255000</v>
      </c>
      <c r="D21" s="28">
        <v>11874000</v>
      </c>
      <c r="E21" s="28">
        <v>5266000</v>
      </c>
      <c r="F21" s="28">
        <v>4486000</v>
      </c>
      <c r="G21" s="28">
        <v>6087000</v>
      </c>
      <c r="H21" s="28">
        <v>6411000</v>
      </c>
      <c r="I21" s="28">
        <v>6458000</v>
      </c>
      <c r="J21" s="28">
        <v>7074000</v>
      </c>
      <c r="K21" s="28">
        <v>7074000</v>
      </c>
      <c r="L21" s="28">
        <v>6425000</v>
      </c>
      <c r="M21" s="28">
        <v>7736000</v>
      </c>
      <c r="N21" s="28">
        <v>5202000</v>
      </c>
      <c r="O21" s="28">
        <v>7225000</v>
      </c>
      <c r="P21" s="28">
        <v>7759000</v>
      </c>
      <c r="Q21" s="28">
        <v>7225000</v>
      </c>
      <c r="R21" s="28">
        <v>7427000</v>
      </c>
      <c r="S21" s="28">
        <v>7291000</v>
      </c>
      <c r="T21" s="28">
        <v>7597000</v>
      </c>
      <c r="U21" s="28">
        <v>5811000</v>
      </c>
      <c r="V21" s="28">
        <v>5811000</v>
      </c>
      <c r="W21" s="28">
        <v>5811000</v>
      </c>
      <c r="X21" s="28">
        <v>5811000</v>
      </c>
      <c r="Y21" s="28"/>
      <c r="Z21" s="28">
        <v>6005000</v>
      </c>
      <c r="AA21" s="28">
        <v>6005000</v>
      </c>
      <c r="AB21" s="28">
        <v>5956000</v>
      </c>
      <c r="AC21" s="28">
        <v>5811000</v>
      </c>
      <c r="AD21" s="28">
        <v>5763000</v>
      </c>
      <c r="AE21" s="28">
        <v>5763000</v>
      </c>
      <c r="AF21" s="28">
        <v>5763000</v>
      </c>
      <c r="AG21" s="25"/>
      <c r="AH21" s="25"/>
      <c r="AI21" s="25"/>
      <c r="AJ21" s="25"/>
      <c r="AK21" s="25"/>
    </row>
    <row r="22" spans="1:37" ht="15" x14ac:dyDescent="0.2">
      <c r="A22" s="57" t="s">
        <v>204</v>
      </c>
      <c r="B22" s="58">
        <v>16922000</v>
      </c>
      <c r="C22" s="58">
        <v>8706000</v>
      </c>
      <c r="D22" s="58">
        <v>14248000</v>
      </c>
      <c r="E22" s="58">
        <v>5874000</v>
      </c>
      <c r="F22" s="58">
        <v>4938000</v>
      </c>
      <c r="G22" s="58">
        <v>6842000</v>
      </c>
      <c r="H22" s="58">
        <v>7223000</v>
      </c>
      <c r="I22" s="58">
        <v>7268000</v>
      </c>
      <c r="J22" s="58">
        <v>7997000</v>
      </c>
      <c r="K22" s="58">
        <v>7997000</v>
      </c>
      <c r="L22" s="58">
        <v>7245000</v>
      </c>
      <c r="M22" s="58">
        <v>8816000</v>
      </c>
      <c r="N22" s="58">
        <v>5780000</v>
      </c>
      <c r="O22" s="58">
        <v>8198000</v>
      </c>
      <c r="P22" s="58">
        <v>8839000</v>
      </c>
      <c r="Q22" s="58">
        <v>8198000</v>
      </c>
      <c r="R22" s="58">
        <v>8444000</v>
      </c>
      <c r="S22" s="58">
        <v>8281000</v>
      </c>
      <c r="T22" s="58">
        <v>8648000</v>
      </c>
      <c r="U22" s="58">
        <v>6527000</v>
      </c>
      <c r="V22" s="58">
        <v>6527000</v>
      </c>
      <c r="W22" s="58">
        <v>6527000</v>
      </c>
      <c r="X22" s="58">
        <v>6527000</v>
      </c>
      <c r="Y22" s="58"/>
      <c r="Z22" s="58">
        <v>6760000</v>
      </c>
      <c r="AA22" s="58">
        <v>6760000</v>
      </c>
      <c r="AB22" s="58">
        <v>6701000</v>
      </c>
      <c r="AC22" s="58">
        <v>6527000</v>
      </c>
      <c r="AD22" s="58">
        <v>6469000</v>
      </c>
      <c r="AE22" s="58">
        <v>6469000</v>
      </c>
      <c r="AF22" s="58">
        <v>6469000</v>
      </c>
      <c r="AG22" s="60"/>
      <c r="AH22" s="60"/>
      <c r="AI22" s="60"/>
      <c r="AJ22" s="60"/>
      <c r="AK22" s="60"/>
    </row>
    <row r="23" spans="1:37" ht="15" x14ac:dyDescent="0.2">
      <c r="A23" s="26" t="s">
        <v>205</v>
      </c>
      <c r="B23" s="28">
        <v>17537000</v>
      </c>
      <c r="C23" s="28">
        <v>9069000</v>
      </c>
      <c r="D23" s="28">
        <v>14842000</v>
      </c>
      <c r="E23" s="28">
        <v>6026000</v>
      </c>
      <c r="F23" s="28">
        <v>5051000</v>
      </c>
      <c r="G23" s="28">
        <v>7031000</v>
      </c>
      <c r="H23" s="28">
        <v>7426000</v>
      </c>
      <c r="I23" s="28">
        <v>7471000</v>
      </c>
      <c r="J23" s="28">
        <v>8228000</v>
      </c>
      <c r="K23" s="28">
        <v>8228000</v>
      </c>
      <c r="L23" s="28">
        <v>7450000</v>
      </c>
      <c r="M23" s="28">
        <v>9086000</v>
      </c>
      <c r="N23" s="28">
        <v>5925000</v>
      </c>
      <c r="O23" s="28">
        <v>8441000</v>
      </c>
      <c r="P23" s="28">
        <v>9109000</v>
      </c>
      <c r="Q23" s="28">
        <v>8441000</v>
      </c>
      <c r="R23" s="28">
        <v>8698000</v>
      </c>
      <c r="S23" s="28">
        <v>8529000</v>
      </c>
      <c r="T23" s="28">
        <v>8911000</v>
      </c>
      <c r="U23" s="28">
        <v>6706000</v>
      </c>
      <c r="V23" s="28">
        <v>6706000</v>
      </c>
      <c r="W23" s="28">
        <v>6706000</v>
      </c>
      <c r="X23" s="28">
        <v>6706000</v>
      </c>
      <c r="Y23" s="28"/>
      <c r="Z23" s="28">
        <v>6948000</v>
      </c>
      <c r="AA23" s="28">
        <v>6948000</v>
      </c>
      <c r="AB23" s="28">
        <v>6888000</v>
      </c>
      <c r="AC23" s="28">
        <v>6706000</v>
      </c>
      <c r="AD23" s="28">
        <v>6645000</v>
      </c>
      <c r="AE23" s="28">
        <v>6645000</v>
      </c>
      <c r="AF23" s="28">
        <v>6645000</v>
      </c>
      <c r="AG23" s="25"/>
      <c r="AH23" s="25"/>
      <c r="AI23" s="25"/>
      <c r="AJ23" s="25"/>
      <c r="AK23" s="25"/>
    </row>
    <row r="24" spans="1:37" ht="15" x14ac:dyDescent="0.2">
      <c r="A24" s="57" t="s">
        <v>206</v>
      </c>
      <c r="B24" s="58">
        <v>19075000</v>
      </c>
      <c r="C24" s="58">
        <v>9976000</v>
      </c>
      <c r="D24" s="58">
        <v>16326000</v>
      </c>
      <c r="E24" s="58">
        <v>6407000</v>
      </c>
      <c r="F24" s="58">
        <v>5334000</v>
      </c>
      <c r="G24" s="58">
        <v>7502000</v>
      </c>
      <c r="H24" s="58">
        <v>7933000</v>
      </c>
      <c r="I24" s="58">
        <v>7977000</v>
      </c>
      <c r="J24" s="58">
        <v>8805000</v>
      </c>
      <c r="K24" s="58">
        <v>8805000</v>
      </c>
      <c r="L24" s="58">
        <v>7963000</v>
      </c>
      <c r="M24" s="58">
        <v>9760000</v>
      </c>
      <c r="N24" s="58">
        <v>6287000</v>
      </c>
      <c r="O24" s="58">
        <v>9049000</v>
      </c>
      <c r="P24" s="58">
        <v>9784000</v>
      </c>
      <c r="Q24" s="58">
        <v>9049000</v>
      </c>
      <c r="R24" s="58">
        <v>9334000</v>
      </c>
      <c r="S24" s="58">
        <v>9147000</v>
      </c>
      <c r="T24" s="58">
        <v>9568000</v>
      </c>
      <c r="U24" s="58">
        <v>7153000</v>
      </c>
      <c r="V24" s="58">
        <v>7153000</v>
      </c>
      <c r="W24" s="58">
        <v>7153000</v>
      </c>
      <c r="X24" s="58">
        <v>7153000</v>
      </c>
      <c r="Y24" s="58"/>
      <c r="Z24" s="58">
        <v>7420000</v>
      </c>
      <c r="AA24" s="58">
        <v>7420000</v>
      </c>
      <c r="AB24" s="58">
        <v>7353000</v>
      </c>
      <c r="AC24" s="58">
        <v>7153000</v>
      </c>
      <c r="AD24" s="58">
        <v>7086000</v>
      </c>
      <c r="AE24" s="58">
        <v>7086000</v>
      </c>
      <c r="AF24" s="58">
        <v>7086000</v>
      </c>
      <c r="AG24" s="60"/>
      <c r="AH24" s="60"/>
      <c r="AI24" s="60"/>
      <c r="AJ24" s="60"/>
      <c r="AK24" s="60"/>
    </row>
    <row r="25" spans="1:37" ht="15" x14ac:dyDescent="0.2">
      <c r="A25" s="26" t="s">
        <v>207</v>
      </c>
      <c r="B25" s="28">
        <v>20613000</v>
      </c>
      <c r="C25" s="28">
        <v>10883000</v>
      </c>
      <c r="D25" s="28">
        <v>17810000</v>
      </c>
      <c r="E25" s="28">
        <v>6787000</v>
      </c>
      <c r="F25" s="28">
        <v>5616000</v>
      </c>
      <c r="G25" s="28">
        <v>7974000</v>
      </c>
      <c r="H25" s="28">
        <v>8441000</v>
      </c>
      <c r="I25" s="28">
        <v>8483000</v>
      </c>
      <c r="J25" s="28">
        <v>9382000</v>
      </c>
      <c r="K25" s="28">
        <v>9382000</v>
      </c>
      <c r="L25" s="28">
        <v>8475000</v>
      </c>
      <c r="M25" s="28">
        <v>10435000</v>
      </c>
      <c r="N25" s="28">
        <v>6648000</v>
      </c>
      <c r="O25" s="28">
        <v>9658000</v>
      </c>
      <c r="P25" s="28">
        <v>10460000</v>
      </c>
      <c r="Q25" s="28">
        <v>9658000</v>
      </c>
      <c r="R25" s="28">
        <v>9969000</v>
      </c>
      <c r="S25" s="28">
        <v>9766000</v>
      </c>
      <c r="T25" s="28">
        <v>10225000</v>
      </c>
      <c r="U25" s="28">
        <v>7600000</v>
      </c>
      <c r="V25" s="28">
        <v>7600000</v>
      </c>
      <c r="W25" s="28">
        <v>7600000</v>
      </c>
      <c r="X25" s="28">
        <v>7600000</v>
      </c>
      <c r="Y25" s="28"/>
      <c r="Z25" s="28">
        <v>7891000</v>
      </c>
      <c r="AA25" s="28">
        <v>7891000</v>
      </c>
      <c r="AB25" s="28">
        <v>7819000</v>
      </c>
      <c r="AC25" s="28">
        <v>7600000</v>
      </c>
      <c r="AD25" s="28">
        <v>7528000</v>
      </c>
      <c r="AE25" s="28">
        <v>7528000</v>
      </c>
      <c r="AF25" s="28">
        <v>7528000</v>
      </c>
      <c r="AG25" s="25"/>
      <c r="AH25" s="25"/>
      <c r="AI25" s="25"/>
      <c r="AJ25" s="25"/>
      <c r="AK25" s="25"/>
    </row>
    <row r="26" spans="1:37" ht="15" x14ac:dyDescent="0.2">
      <c r="A26" s="57" t="s">
        <v>208</v>
      </c>
      <c r="B26" s="58">
        <v>22151000</v>
      </c>
      <c r="C26" s="58">
        <v>11790000</v>
      </c>
      <c r="D26" s="58">
        <v>19295000</v>
      </c>
      <c r="E26" s="58">
        <v>7167000</v>
      </c>
      <c r="F26" s="58">
        <v>5899000</v>
      </c>
      <c r="G26" s="58">
        <v>8446000</v>
      </c>
      <c r="H26" s="58">
        <v>8948000</v>
      </c>
      <c r="I26" s="58">
        <v>8989000</v>
      </c>
      <c r="J26" s="58">
        <v>9959000</v>
      </c>
      <c r="K26" s="58">
        <v>9959000</v>
      </c>
      <c r="L26" s="58">
        <v>8988000</v>
      </c>
      <c r="M26" s="58">
        <v>11110000</v>
      </c>
      <c r="N26" s="58">
        <v>7010000</v>
      </c>
      <c r="O26" s="58">
        <v>10266000</v>
      </c>
      <c r="P26" s="58">
        <v>11135000</v>
      </c>
      <c r="Q26" s="58">
        <v>10266000</v>
      </c>
      <c r="R26" s="58">
        <v>10605000</v>
      </c>
      <c r="S26" s="58">
        <v>10384000</v>
      </c>
      <c r="T26" s="58">
        <v>10882000</v>
      </c>
      <c r="U26" s="58">
        <v>8047000</v>
      </c>
      <c r="V26" s="58">
        <v>8047000</v>
      </c>
      <c r="W26" s="58">
        <v>8047000</v>
      </c>
      <c r="X26" s="58">
        <v>8047000</v>
      </c>
      <c r="Y26" s="58"/>
      <c r="Z26" s="58">
        <v>8363000</v>
      </c>
      <c r="AA26" s="58">
        <v>8363000</v>
      </c>
      <c r="AB26" s="58">
        <v>8284000</v>
      </c>
      <c r="AC26" s="58">
        <v>8047000</v>
      </c>
      <c r="AD26" s="58">
        <v>7969000</v>
      </c>
      <c r="AE26" s="58">
        <v>7969000</v>
      </c>
      <c r="AF26" s="58">
        <v>7969000</v>
      </c>
      <c r="AG26" s="60"/>
      <c r="AH26" s="60"/>
      <c r="AI26" s="60"/>
      <c r="AJ26" s="60"/>
      <c r="AK26" s="60"/>
    </row>
    <row r="27" spans="1:37" ht="15" x14ac:dyDescent="0.2">
      <c r="A27" s="26" t="s">
        <v>209</v>
      </c>
      <c r="B27" s="28">
        <v>23689000</v>
      </c>
      <c r="C27" s="28">
        <v>12697000</v>
      </c>
      <c r="D27" s="28">
        <v>20779000</v>
      </c>
      <c r="E27" s="28">
        <v>7547000</v>
      </c>
      <c r="F27" s="28">
        <v>6182000</v>
      </c>
      <c r="G27" s="28">
        <v>8918000</v>
      </c>
      <c r="H27" s="28">
        <v>9456000</v>
      </c>
      <c r="I27" s="28">
        <v>9495000</v>
      </c>
      <c r="J27" s="28">
        <v>10536000</v>
      </c>
      <c r="K27" s="28">
        <v>10536000</v>
      </c>
      <c r="L27" s="28">
        <v>9500000</v>
      </c>
      <c r="M27" s="28">
        <v>11784000</v>
      </c>
      <c r="N27" s="28">
        <v>7371000</v>
      </c>
      <c r="O27" s="28">
        <v>10874000</v>
      </c>
      <c r="P27" s="28">
        <v>11810000</v>
      </c>
      <c r="Q27" s="28">
        <v>10874000</v>
      </c>
      <c r="R27" s="28">
        <v>11240000</v>
      </c>
      <c r="S27" s="28">
        <v>11003000</v>
      </c>
      <c r="T27" s="28">
        <v>11538000</v>
      </c>
      <c r="U27" s="28">
        <v>8495000</v>
      </c>
      <c r="V27" s="28">
        <v>8495000</v>
      </c>
      <c r="W27" s="28">
        <v>8495000</v>
      </c>
      <c r="X27" s="28">
        <v>8495000</v>
      </c>
      <c r="Y27" s="28"/>
      <c r="Z27" s="28">
        <v>8835000</v>
      </c>
      <c r="AA27" s="28">
        <v>8835000</v>
      </c>
      <c r="AB27" s="28">
        <v>8750000</v>
      </c>
      <c r="AC27" s="28">
        <v>8495000</v>
      </c>
      <c r="AD27" s="28">
        <v>8410000</v>
      </c>
      <c r="AE27" s="28">
        <v>8410000</v>
      </c>
      <c r="AF27" s="28">
        <v>8410000</v>
      </c>
      <c r="AG27" s="25"/>
      <c r="AH27" s="25"/>
      <c r="AI27" s="25"/>
      <c r="AJ27" s="25"/>
      <c r="AK27" s="25"/>
    </row>
    <row r="28" spans="1:37" ht="15" x14ac:dyDescent="0.2">
      <c r="A28" s="57" t="s">
        <v>210</v>
      </c>
      <c r="B28" s="58">
        <v>25227000</v>
      </c>
      <c r="C28" s="58">
        <v>13603000</v>
      </c>
      <c r="D28" s="58">
        <v>22263000</v>
      </c>
      <c r="E28" s="58">
        <v>7927000</v>
      </c>
      <c r="F28" s="58">
        <v>6464000</v>
      </c>
      <c r="G28" s="58">
        <v>9390000</v>
      </c>
      <c r="H28" s="58">
        <v>9963000</v>
      </c>
      <c r="I28" s="58">
        <v>10001000</v>
      </c>
      <c r="J28" s="58">
        <v>11113000</v>
      </c>
      <c r="K28" s="58">
        <v>11113000</v>
      </c>
      <c r="L28" s="58">
        <v>10013000</v>
      </c>
      <c r="M28" s="58">
        <v>12459000</v>
      </c>
      <c r="N28" s="58">
        <v>7733000</v>
      </c>
      <c r="O28" s="58">
        <v>11483000</v>
      </c>
      <c r="P28" s="58">
        <v>12485000</v>
      </c>
      <c r="Q28" s="58">
        <v>11483000</v>
      </c>
      <c r="R28" s="58">
        <v>11876000</v>
      </c>
      <c r="S28" s="58">
        <v>11622000</v>
      </c>
      <c r="T28" s="58">
        <v>12195000</v>
      </c>
      <c r="U28" s="58">
        <v>8942000</v>
      </c>
      <c r="V28" s="58">
        <v>8942000</v>
      </c>
      <c r="W28" s="58">
        <v>8942000</v>
      </c>
      <c r="X28" s="58">
        <v>8942000</v>
      </c>
      <c r="Y28" s="58"/>
      <c r="Z28" s="58">
        <v>9306000</v>
      </c>
      <c r="AA28" s="58">
        <v>9306000</v>
      </c>
      <c r="AB28" s="58">
        <v>9215000</v>
      </c>
      <c r="AC28" s="58">
        <v>8942000</v>
      </c>
      <c r="AD28" s="58">
        <v>8851000</v>
      </c>
      <c r="AE28" s="58">
        <v>8851000</v>
      </c>
      <c r="AF28" s="58">
        <v>8851000</v>
      </c>
      <c r="AG28" s="60"/>
      <c r="AH28" s="60"/>
      <c r="AI28" s="60"/>
      <c r="AJ28" s="60"/>
      <c r="AK28" s="60"/>
    </row>
    <row r="29" spans="1:37" ht="15.75" customHeight="1" x14ac:dyDescent="0.25">
      <c r="A29" s="59" t="s">
        <v>65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</row>
    <row r="30" spans="1:37" ht="15" x14ac:dyDescent="0.2">
      <c r="A30" s="31" t="s">
        <v>211</v>
      </c>
      <c r="B30" s="28">
        <v>12110000</v>
      </c>
      <c r="C30" s="28">
        <v>5789000</v>
      </c>
      <c r="D30" s="28">
        <v>9473000</v>
      </c>
      <c r="E30" s="28">
        <v>4792000</v>
      </c>
      <c r="F30" s="28">
        <v>4170000</v>
      </c>
      <c r="G30" s="28">
        <v>5469000</v>
      </c>
      <c r="H30" s="28">
        <v>5737000</v>
      </c>
      <c r="I30" s="28">
        <v>5789000</v>
      </c>
      <c r="J30" s="28">
        <v>6293000</v>
      </c>
      <c r="K30" s="28">
        <v>6293000</v>
      </c>
      <c r="L30" s="28">
        <v>5742000</v>
      </c>
      <c r="M30" s="28">
        <v>6791000</v>
      </c>
      <c r="N30" s="28">
        <v>4762000</v>
      </c>
      <c r="O30" s="28">
        <v>6388000</v>
      </c>
      <c r="P30" s="28">
        <v>6814000</v>
      </c>
      <c r="Q30" s="28">
        <v>6388000</v>
      </c>
      <c r="R30" s="28">
        <v>6546000</v>
      </c>
      <c r="S30" s="28">
        <v>6437000</v>
      </c>
      <c r="T30" s="28">
        <v>6682000</v>
      </c>
      <c r="U30" s="28">
        <v>5228000</v>
      </c>
      <c r="V30" s="28">
        <v>5228000</v>
      </c>
      <c r="W30" s="28">
        <v>5228000</v>
      </c>
      <c r="X30" s="28">
        <v>5228000</v>
      </c>
      <c r="Y30" s="28"/>
      <c r="Z30" s="28">
        <v>5383000</v>
      </c>
      <c r="AA30" s="28">
        <v>5383000</v>
      </c>
      <c r="AB30" s="28">
        <v>5345000</v>
      </c>
      <c r="AC30" s="28">
        <v>5228000</v>
      </c>
      <c r="AD30" s="28">
        <v>5190000</v>
      </c>
      <c r="AE30" s="28">
        <v>5190000</v>
      </c>
      <c r="AF30" s="28">
        <v>5190000</v>
      </c>
      <c r="AG30" s="25"/>
      <c r="AH30" s="25"/>
      <c r="AI30" s="25"/>
      <c r="AJ30" s="25"/>
      <c r="AK30" s="25"/>
    </row>
    <row r="31" spans="1:37" ht="15" x14ac:dyDescent="0.2">
      <c r="A31" s="57" t="s">
        <v>212</v>
      </c>
      <c r="B31" s="58">
        <v>13747000</v>
      </c>
      <c r="C31" s="58">
        <v>6753000</v>
      </c>
      <c r="D31" s="58">
        <v>11052000</v>
      </c>
      <c r="E31" s="58">
        <v>5197000</v>
      </c>
      <c r="F31" s="58">
        <v>4470000</v>
      </c>
      <c r="G31" s="58">
        <v>5970000</v>
      </c>
      <c r="H31" s="58">
        <v>6276000</v>
      </c>
      <c r="I31" s="58">
        <v>6327000</v>
      </c>
      <c r="J31" s="58">
        <v>6906000</v>
      </c>
      <c r="K31" s="58">
        <v>6906000</v>
      </c>
      <c r="L31" s="58">
        <v>6286000</v>
      </c>
      <c r="M31" s="58">
        <v>7509000</v>
      </c>
      <c r="N31" s="58">
        <v>5146000</v>
      </c>
      <c r="O31" s="58">
        <v>7035000</v>
      </c>
      <c r="P31" s="58">
        <v>7532000</v>
      </c>
      <c r="Q31" s="58">
        <v>7035000</v>
      </c>
      <c r="R31" s="58">
        <v>7221000</v>
      </c>
      <c r="S31" s="58">
        <v>7095000</v>
      </c>
      <c r="T31" s="58">
        <v>7380000</v>
      </c>
      <c r="U31" s="58">
        <v>5704000</v>
      </c>
      <c r="V31" s="58">
        <v>5704000</v>
      </c>
      <c r="W31" s="58">
        <v>5704000</v>
      </c>
      <c r="X31" s="58">
        <v>5704000</v>
      </c>
      <c r="Y31" s="58"/>
      <c r="Z31" s="58">
        <v>5885000</v>
      </c>
      <c r="AA31" s="58">
        <v>5885000</v>
      </c>
      <c r="AB31" s="58">
        <v>5840000</v>
      </c>
      <c r="AC31" s="58">
        <v>5704000</v>
      </c>
      <c r="AD31" s="58">
        <v>5659000</v>
      </c>
      <c r="AE31" s="58">
        <v>5659000</v>
      </c>
      <c r="AF31" s="58">
        <v>5659000</v>
      </c>
      <c r="AG31" s="60"/>
      <c r="AH31" s="60"/>
      <c r="AI31" s="60"/>
      <c r="AJ31" s="60"/>
      <c r="AK31" s="60"/>
    </row>
    <row r="32" spans="1:37" ht="15" x14ac:dyDescent="0.2">
      <c r="A32" s="26" t="s">
        <v>213</v>
      </c>
      <c r="B32" s="28">
        <v>15383000</v>
      </c>
      <c r="C32" s="28">
        <v>7718000</v>
      </c>
      <c r="D32" s="28">
        <v>12631000</v>
      </c>
      <c r="E32" s="28">
        <v>5601000</v>
      </c>
      <c r="F32" s="28">
        <v>4771000</v>
      </c>
      <c r="G32" s="28">
        <v>6472000</v>
      </c>
      <c r="H32" s="28">
        <v>6815000</v>
      </c>
      <c r="I32" s="28">
        <v>6865000</v>
      </c>
      <c r="J32" s="28">
        <v>7519000</v>
      </c>
      <c r="K32" s="28">
        <v>7519000</v>
      </c>
      <c r="L32" s="28">
        <v>6831000</v>
      </c>
      <c r="M32" s="28">
        <v>8226000</v>
      </c>
      <c r="N32" s="28">
        <v>5530000</v>
      </c>
      <c r="O32" s="28">
        <v>7681000</v>
      </c>
      <c r="P32" s="28">
        <v>8250000</v>
      </c>
      <c r="Q32" s="28">
        <v>7681000</v>
      </c>
      <c r="R32" s="28">
        <v>7897000</v>
      </c>
      <c r="S32" s="28">
        <v>7752000</v>
      </c>
      <c r="T32" s="28">
        <v>8078000</v>
      </c>
      <c r="U32" s="28">
        <v>6180000</v>
      </c>
      <c r="V32" s="28">
        <v>6180000</v>
      </c>
      <c r="W32" s="28">
        <v>6180000</v>
      </c>
      <c r="X32" s="28">
        <v>6180000</v>
      </c>
      <c r="Y32" s="28"/>
      <c r="Z32" s="28">
        <v>6386000</v>
      </c>
      <c r="AA32" s="28">
        <v>6386000</v>
      </c>
      <c r="AB32" s="28">
        <v>6335000</v>
      </c>
      <c r="AC32" s="28">
        <v>6180000</v>
      </c>
      <c r="AD32" s="28">
        <v>6128000</v>
      </c>
      <c r="AE32" s="28">
        <v>6128000</v>
      </c>
      <c r="AF32" s="28">
        <v>6128000</v>
      </c>
      <c r="AG32" s="25"/>
      <c r="AH32" s="25"/>
      <c r="AI32" s="25"/>
      <c r="AJ32" s="25"/>
      <c r="AK32" s="25"/>
    </row>
    <row r="33" spans="1:37" ht="15" x14ac:dyDescent="0.2">
      <c r="A33" s="57" t="s">
        <v>214</v>
      </c>
      <c r="B33" s="58">
        <v>18000000</v>
      </c>
      <c r="C33" s="58">
        <v>9261000</v>
      </c>
      <c r="D33" s="58">
        <v>15157000</v>
      </c>
      <c r="E33" s="58">
        <v>6247000</v>
      </c>
      <c r="F33" s="58">
        <v>5251000</v>
      </c>
      <c r="G33" s="58">
        <v>7274000</v>
      </c>
      <c r="H33" s="58">
        <v>7678000</v>
      </c>
      <c r="I33" s="58">
        <v>7725000</v>
      </c>
      <c r="J33" s="58">
        <v>8500000</v>
      </c>
      <c r="K33" s="58">
        <v>8500000</v>
      </c>
      <c r="L33" s="58">
        <v>7703000</v>
      </c>
      <c r="M33" s="58">
        <v>9373000</v>
      </c>
      <c r="N33" s="58">
        <v>6145000</v>
      </c>
      <c r="O33" s="58">
        <v>8716000</v>
      </c>
      <c r="P33" s="58">
        <v>9398000</v>
      </c>
      <c r="Q33" s="58">
        <v>8716000</v>
      </c>
      <c r="R33" s="58">
        <v>8978000</v>
      </c>
      <c r="S33" s="58">
        <v>8805000</v>
      </c>
      <c r="T33" s="58">
        <v>9195000</v>
      </c>
      <c r="U33" s="58">
        <v>6941000</v>
      </c>
      <c r="V33" s="58">
        <v>6941000</v>
      </c>
      <c r="W33" s="58">
        <v>6941000</v>
      </c>
      <c r="X33" s="58">
        <v>6941000</v>
      </c>
      <c r="Y33" s="58"/>
      <c r="Z33" s="58">
        <v>7189000</v>
      </c>
      <c r="AA33" s="58">
        <v>7189000</v>
      </c>
      <c r="AB33" s="58">
        <v>7127000</v>
      </c>
      <c r="AC33" s="58">
        <v>6941000</v>
      </c>
      <c r="AD33" s="58">
        <v>6879000</v>
      </c>
      <c r="AE33" s="58">
        <v>6879000</v>
      </c>
      <c r="AF33" s="58">
        <v>6879000</v>
      </c>
      <c r="AG33" s="60"/>
      <c r="AH33" s="60"/>
      <c r="AI33" s="60"/>
      <c r="AJ33" s="60"/>
      <c r="AK33" s="60"/>
    </row>
    <row r="34" spans="1:37" ht="15" x14ac:dyDescent="0.2">
      <c r="A34" s="26" t="s">
        <v>215</v>
      </c>
      <c r="B34" s="28">
        <v>18655000</v>
      </c>
      <c r="C34" s="28">
        <v>9647000</v>
      </c>
      <c r="D34" s="28">
        <v>15788000</v>
      </c>
      <c r="E34" s="28">
        <v>6409000</v>
      </c>
      <c r="F34" s="28">
        <v>5372000</v>
      </c>
      <c r="G34" s="28">
        <v>7475000</v>
      </c>
      <c r="H34" s="28">
        <v>7894000</v>
      </c>
      <c r="I34" s="28">
        <v>7940000</v>
      </c>
      <c r="J34" s="28">
        <v>8745000</v>
      </c>
      <c r="K34" s="28">
        <v>8745000</v>
      </c>
      <c r="L34" s="28">
        <v>7921000</v>
      </c>
      <c r="M34" s="28">
        <v>9660000</v>
      </c>
      <c r="N34" s="28">
        <v>6299000</v>
      </c>
      <c r="O34" s="28">
        <v>8974000</v>
      </c>
      <c r="P34" s="28">
        <v>9685000</v>
      </c>
      <c r="Q34" s="28">
        <v>8974000</v>
      </c>
      <c r="R34" s="28">
        <v>9248000</v>
      </c>
      <c r="S34" s="28">
        <v>9068000</v>
      </c>
      <c r="T34" s="28">
        <v>9474000</v>
      </c>
      <c r="U34" s="28">
        <v>7131000</v>
      </c>
      <c r="V34" s="28">
        <v>7131000</v>
      </c>
      <c r="W34" s="28">
        <v>7131000</v>
      </c>
      <c r="X34" s="28">
        <v>7131000</v>
      </c>
      <c r="Y34" s="28"/>
      <c r="Z34" s="28">
        <v>7389000</v>
      </c>
      <c r="AA34" s="28">
        <v>7389000</v>
      </c>
      <c r="AB34" s="28">
        <v>7325000</v>
      </c>
      <c r="AC34" s="28">
        <v>7131000</v>
      </c>
      <c r="AD34" s="28">
        <v>7067000</v>
      </c>
      <c r="AE34" s="28">
        <v>7067000</v>
      </c>
      <c r="AF34" s="28">
        <v>7067000</v>
      </c>
      <c r="AG34" s="25"/>
      <c r="AH34" s="25"/>
      <c r="AI34" s="25"/>
      <c r="AJ34" s="25"/>
      <c r="AK34" s="25"/>
    </row>
    <row r="35" spans="1:37" ht="15" x14ac:dyDescent="0.2">
      <c r="A35" s="57" t="s">
        <v>216</v>
      </c>
      <c r="B35" s="58">
        <v>20291000</v>
      </c>
      <c r="C35" s="58">
        <v>10612000</v>
      </c>
      <c r="D35" s="58">
        <v>17367000</v>
      </c>
      <c r="E35" s="58">
        <v>6813000</v>
      </c>
      <c r="F35" s="58">
        <v>5672000</v>
      </c>
      <c r="G35" s="58">
        <v>7976000</v>
      </c>
      <c r="H35" s="58">
        <v>8433000</v>
      </c>
      <c r="I35" s="58">
        <v>8478000</v>
      </c>
      <c r="J35" s="58">
        <v>9358000</v>
      </c>
      <c r="K35" s="58">
        <v>9358000</v>
      </c>
      <c r="L35" s="58">
        <v>8466000</v>
      </c>
      <c r="M35" s="58">
        <v>10377000</v>
      </c>
      <c r="N35" s="58">
        <v>6683000</v>
      </c>
      <c r="O35" s="58">
        <v>9621000</v>
      </c>
      <c r="P35" s="58">
        <v>10403000</v>
      </c>
      <c r="Q35" s="58">
        <v>9621000</v>
      </c>
      <c r="R35" s="58">
        <v>9924000</v>
      </c>
      <c r="S35" s="58">
        <v>9725000</v>
      </c>
      <c r="T35" s="58">
        <v>10173000</v>
      </c>
      <c r="U35" s="58">
        <v>7607000</v>
      </c>
      <c r="V35" s="58">
        <v>7607000</v>
      </c>
      <c r="W35" s="58">
        <v>7607000</v>
      </c>
      <c r="X35" s="58">
        <v>7607000</v>
      </c>
      <c r="Y35" s="58"/>
      <c r="Z35" s="58">
        <v>7891000</v>
      </c>
      <c r="AA35" s="58">
        <v>7891000</v>
      </c>
      <c r="AB35" s="58">
        <v>7820000</v>
      </c>
      <c r="AC35" s="58">
        <v>7607000</v>
      </c>
      <c r="AD35" s="58">
        <v>7536000</v>
      </c>
      <c r="AE35" s="58">
        <v>7536000</v>
      </c>
      <c r="AF35" s="58">
        <v>7536000</v>
      </c>
      <c r="AG35" s="60"/>
      <c r="AH35" s="60"/>
      <c r="AI35" s="60"/>
      <c r="AJ35" s="60"/>
      <c r="AK35" s="60"/>
    </row>
    <row r="36" spans="1:37" ht="15" x14ac:dyDescent="0.2">
      <c r="A36" s="26" t="s">
        <v>217</v>
      </c>
      <c r="B36" s="28">
        <v>21927000</v>
      </c>
      <c r="C36" s="28">
        <v>11577000</v>
      </c>
      <c r="D36" s="28">
        <v>18946000</v>
      </c>
      <c r="E36" s="28">
        <v>7217000</v>
      </c>
      <c r="F36" s="28">
        <v>5972000</v>
      </c>
      <c r="G36" s="28">
        <v>8478000</v>
      </c>
      <c r="H36" s="28">
        <v>8973000</v>
      </c>
      <c r="I36" s="28">
        <v>9016000</v>
      </c>
      <c r="J36" s="28">
        <v>9971000</v>
      </c>
      <c r="K36" s="28">
        <v>9971000</v>
      </c>
      <c r="L36" s="28">
        <v>9010000</v>
      </c>
      <c r="M36" s="28">
        <v>11095000</v>
      </c>
      <c r="N36" s="28">
        <v>7067000</v>
      </c>
      <c r="O36" s="28">
        <v>10267000</v>
      </c>
      <c r="P36" s="28">
        <v>11120000</v>
      </c>
      <c r="Q36" s="28">
        <v>10267000</v>
      </c>
      <c r="R36" s="28">
        <v>10599000</v>
      </c>
      <c r="S36" s="28">
        <v>10383000</v>
      </c>
      <c r="T36" s="28">
        <v>10871000</v>
      </c>
      <c r="U36" s="28">
        <v>8082000</v>
      </c>
      <c r="V36" s="28">
        <v>8082000</v>
      </c>
      <c r="W36" s="28">
        <v>8082000</v>
      </c>
      <c r="X36" s="28">
        <v>8082000</v>
      </c>
      <c r="Y36" s="28"/>
      <c r="Z36" s="28">
        <v>8392000</v>
      </c>
      <c r="AA36" s="28">
        <v>8392000</v>
      </c>
      <c r="AB36" s="28">
        <v>8315000</v>
      </c>
      <c r="AC36" s="28">
        <v>8082000</v>
      </c>
      <c r="AD36" s="28">
        <v>8005000</v>
      </c>
      <c r="AE36" s="28">
        <v>8005000</v>
      </c>
      <c r="AF36" s="28">
        <v>8005000</v>
      </c>
      <c r="AG36" s="25"/>
      <c r="AH36" s="25"/>
      <c r="AI36" s="25"/>
      <c r="AJ36" s="25"/>
      <c r="AK36" s="25"/>
    </row>
    <row r="37" spans="1:37" ht="15" x14ac:dyDescent="0.2">
      <c r="A37" s="57" t="s">
        <v>218</v>
      </c>
      <c r="B37" s="58">
        <v>23563000</v>
      </c>
      <c r="C37" s="58">
        <v>12541000</v>
      </c>
      <c r="D37" s="58">
        <v>20525000</v>
      </c>
      <c r="E37" s="58">
        <v>7621000</v>
      </c>
      <c r="F37" s="58">
        <v>6273000</v>
      </c>
      <c r="G37" s="58">
        <v>8979000</v>
      </c>
      <c r="H37" s="58">
        <v>9512000</v>
      </c>
      <c r="I37" s="58">
        <v>9554000</v>
      </c>
      <c r="J37" s="58">
        <v>10584000</v>
      </c>
      <c r="K37" s="58">
        <v>10584000</v>
      </c>
      <c r="L37" s="58">
        <v>9555000</v>
      </c>
      <c r="M37" s="58">
        <v>11812000</v>
      </c>
      <c r="N37" s="58">
        <v>7452000</v>
      </c>
      <c r="O37" s="58">
        <v>10914000</v>
      </c>
      <c r="P37" s="58">
        <v>11838000</v>
      </c>
      <c r="Q37" s="58">
        <v>10914000</v>
      </c>
      <c r="R37" s="58">
        <v>11275000</v>
      </c>
      <c r="S37" s="58">
        <v>11040000</v>
      </c>
      <c r="T37" s="58">
        <v>11569000</v>
      </c>
      <c r="U37" s="58">
        <v>8558000</v>
      </c>
      <c r="V37" s="58">
        <v>8558000</v>
      </c>
      <c r="W37" s="58">
        <v>8558000</v>
      </c>
      <c r="X37" s="58">
        <v>8558000</v>
      </c>
      <c r="Y37" s="58"/>
      <c r="Z37" s="58">
        <v>8894000</v>
      </c>
      <c r="AA37" s="58">
        <v>8894000</v>
      </c>
      <c r="AB37" s="58">
        <v>8810000</v>
      </c>
      <c r="AC37" s="58">
        <v>8558000</v>
      </c>
      <c r="AD37" s="58">
        <v>8474000</v>
      </c>
      <c r="AE37" s="58">
        <v>8474000</v>
      </c>
      <c r="AF37" s="58">
        <v>8474000</v>
      </c>
      <c r="AG37" s="60"/>
      <c r="AH37" s="60"/>
      <c r="AI37" s="60"/>
      <c r="AJ37" s="60"/>
      <c r="AK37" s="60"/>
    </row>
    <row r="38" spans="1:37" ht="15" x14ac:dyDescent="0.2">
      <c r="A38" s="26" t="s">
        <v>219</v>
      </c>
      <c r="B38" s="28">
        <v>25199000</v>
      </c>
      <c r="C38" s="28">
        <v>13506000</v>
      </c>
      <c r="D38" s="28">
        <v>22103000</v>
      </c>
      <c r="E38" s="28">
        <v>8025000</v>
      </c>
      <c r="F38" s="28">
        <v>6573000</v>
      </c>
      <c r="G38" s="28">
        <v>9481000</v>
      </c>
      <c r="H38" s="28">
        <v>10051000</v>
      </c>
      <c r="I38" s="28">
        <v>10092000</v>
      </c>
      <c r="J38" s="28">
        <v>11196000</v>
      </c>
      <c r="K38" s="28">
        <v>11196000</v>
      </c>
      <c r="L38" s="28">
        <v>10100000</v>
      </c>
      <c r="M38" s="28">
        <v>12529000</v>
      </c>
      <c r="N38" s="28">
        <v>7836000</v>
      </c>
      <c r="O38" s="28">
        <v>11560000</v>
      </c>
      <c r="P38" s="28">
        <v>12555000</v>
      </c>
      <c r="Q38" s="28">
        <v>11560000</v>
      </c>
      <c r="R38" s="28">
        <v>11950000</v>
      </c>
      <c r="S38" s="28">
        <v>11698000</v>
      </c>
      <c r="T38" s="28">
        <v>12267000</v>
      </c>
      <c r="U38" s="28">
        <v>9034000</v>
      </c>
      <c r="V38" s="28">
        <v>9034000</v>
      </c>
      <c r="W38" s="28">
        <v>9034000</v>
      </c>
      <c r="X38" s="28">
        <v>9034000</v>
      </c>
      <c r="Y38" s="28"/>
      <c r="Z38" s="28">
        <v>9395000</v>
      </c>
      <c r="AA38" s="28">
        <v>9395000</v>
      </c>
      <c r="AB38" s="28">
        <v>9305000</v>
      </c>
      <c r="AC38" s="28">
        <v>9034000</v>
      </c>
      <c r="AD38" s="28">
        <v>8943000</v>
      </c>
      <c r="AE38" s="28">
        <v>8943000</v>
      </c>
      <c r="AF38" s="28">
        <v>8943000</v>
      </c>
      <c r="AG38" s="25"/>
      <c r="AH38" s="25"/>
      <c r="AI38" s="25"/>
      <c r="AJ38" s="25"/>
      <c r="AK38" s="25"/>
    </row>
    <row r="39" spans="1:37" ht="15" x14ac:dyDescent="0.2">
      <c r="A39" s="57" t="s">
        <v>220</v>
      </c>
      <c r="B39" s="58">
        <v>26835000</v>
      </c>
      <c r="C39" s="58">
        <v>14471000</v>
      </c>
      <c r="D39" s="58">
        <v>23682000</v>
      </c>
      <c r="E39" s="58">
        <v>8429000</v>
      </c>
      <c r="F39" s="58">
        <v>6873000</v>
      </c>
      <c r="G39" s="58">
        <v>9982000</v>
      </c>
      <c r="H39" s="58">
        <v>10591000</v>
      </c>
      <c r="I39" s="58">
        <v>10629000</v>
      </c>
      <c r="J39" s="58">
        <v>11809000</v>
      </c>
      <c r="K39" s="58">
        <v>11809000</v>
      </c>
      <c r="L39" s="58">
        <v>10645000</v>
      </c>
      <c r="M39" s="58">
        <v>13246000</v>
      </c>
      <c r="N39" s="58">
        <v>8220000</v>
      </c>
      <c r="O39" s="58">
        <v>12207000</v>
      </c>
      <c r="P39" s="58">
        <v>13273000</v>
      </c>
      <c r="Q39" s="58">
        <v>12207000</v>
      </c>
      <c r="R39" s="58">
        <v>12626000</v>
      </c>
      <c r="S39" s="58">
        <v>12355000</v>
      </c>
      <c r="T39" s="58">
        <v>12966000</v>
      </c>
      <c r="U39" s="58">
        <v>9509000</v>
      </c>
      <c r="V39" s="58">
        <v>9509000</v>
      </c>
      <c r="W39" s="58">
        <v>9509000</v>
      </c>
      <c r="X39" s="58">
        <v>9509000</v>
      </c>
      <c r="Y39" s="58"/>
      <c r="Z39" s="58">
        <v>9896000</v>
      </c>
      <c r="AA39" s="58">
        <v>9896000</v>
      </c>
      <c r="AB39" s="58">
        <v>9800000</v>
      </c>
      <c r="AC39" s="58">
        <v>9509000</v>
      </c>
      <c r="AD39" s="58">
        <v>9413000</v>
      </c>
      <c r="AE39" s="58">
        <v>9413000</v>
      </c>
      <c r="AF39" s="58">
        <v>9413000</v>
      </c>
      <c r="AG39" s="60"/>
      <c r="AH39" s="60"/>
      <c r="AI39" s="60"/>
      <c r="AJ39" s="60"/>
      <c r="AK39" s="60"/>
    </row>
    <row r="40" spans="1:37" ht="15.75" customHeight="1" x14ac:dyDescent="0.25">
      <c r="A40" s="59" t="s">
        <v>66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5" x14ac:dyDescent="0.2">
      <c r="A41" s="31" t="s">
        <v>221</v>
      </c>
      <c r="B41" s="28">
        <v>9569000</v>
      </c>
      <c r="C41" s="28">
        <v>4835000</v>
      </c>
      <c r="D41" s="28">
        <v>7912000</v>
      </c>
      <c r="E41" s="28">
        <v>4005000</v>
      </c>
      <c r="F41" s="28">
        <v>3486000</v>
      </c>
      <c r="G41" s="28">
        <v>4574000</v>
      </c>
      <c r="H41" s="28">
        <v>4799000</v>
      </c>
      <c r="I41" s="28">
        <v>4845000</v>
      </c>
      <c r="J41" s="28">
        <v>5268000</v>
      </c>
      <c r="K41" s="28">
        <v>5268000</v>
      </c>
      <c r="L41" s="28">
        <v>4802000</v>
      </c>
      <c r="M41" s="28">
        <v>5680000</v>
      </c>
      <c r="N41" s="28">
        <v>3983000</v>
      </c>
      <c r="O41" s="28">
        <v>5343000</v>
      </c>
      <c r="P41" s="28">
        <v>5699000</v>
      </c>
      <c r="Q41" s="28">
        <v>5343000</v>
      </c>
      <c r="R41" s="28">
        <v>5474000</v>
      </c>
      <c r="S41" s="28">
        <v>5384000</v>
      </c>
      <c r="T41" s="28">
        <v>5588000</v>
      </c>
      <c r="U41" s="28">
        <v>4370000</v>
      </c>
      <c r="V41" s="28">
        <v>4370000</v>
      </c>
      <c r="W41" s="28">
        <v>4370000</v>
      </c>
      <c r="X41" s="28">
        <v>4370000</v>
      </c>
      <c r="Y41" s="28">
        <v>4346000</v>
      </c>
      <c r="Z41" s="28">
        <v>4499000</v>
      </c>
      <c r="AA41" s="28">
        <v>4499000</v>
      </c>
      <c r="AB41" s="28">
        <v>4467000</v>
      </c>
      <c r="AC41" s="28">
        <v>4370000</v>
      </c>
      <c r="AD41" s="28">
        <v>4338000</v>
      </c>
      <c r="AE41" s="28">
        <v>4338000</v>
      </c>
      <c r="AF41" s="28">
        <v>4338000</v>
      </c>
      <c r="AG41" s="28">
        <v>4093000</v>
      </c>
      <c r="AH41" s="28">
        <v>3937000</v>
      </c>
      <c r="AI41" s="28">
        <v>3937000</v>
      </c>
      <c r="AJ41" s="28">
        <v>4093000</v>
      </c>
      <c r="AK41" s="28">
        <v>5074000</v>
      </c>
    </row>
    <row r="42" spans="1:37" ht="15" x14ac:dyDescent="0.2">
      <c r="A42" s="57" t="s">
        <v>222</v>
      </c>
      <c r="B42" s="58">
        <v>10844000</v>
      </c>
      <c r="C42" s="58">
        <v>5640000</v>
      </c>
      <c r="D42" s="58">
        <v>9231000</v>
      </c>
      <c r="E42" s="58">
        <v>4343000</v>
      </c>
      <c r="F42" s="58">
        <v>3737000</v>
      </c>
      <c r="G42" s="58">
        <v>4994000</v>
      </c>
      <c r="H42" s="58">
        <v>5251000</v>
      </c>
      <c r="I42" s="58">
        <v>5296000</v>
      </c>
      <c r="J42" s="58">
        <v>5782000</v>
      </c>
      <c r="K42" s="58">
        <v>5782000</v>
      </c>
      <c r="L42" s="58">
        <v>5258000</v>
      </c>
      <c r="M42" s="58">
        <v>6280000</v>
      </c>
      <c r="N42" s="58">
        <v>4305000</v>
      </c>
      <c r="O42" s="58">
        <v>5885000</v>
      </c>
      <c r="P42" s="58">
        <v>6300000</v>
      </c>
      <c r="Q42" s="58">
        <v>5885000</v>
      </c>
      <c r="R42" s="58">
        <v>6040000</v>
      </c>
      <c r="S42" s="58">
        <v>5934000</v>
      </c>
      <c r="T42" s="58">
        <v>6172000</v>
      </c>
      <c r="U42" s="58">
        <v>4768000</v>
      </c>
      <c r="V42" s="58">
        <v>4768000</v>
      </c>
      <c r="W42" s="58">
        <v>4768000</v>
      </c>
      <c r="X42" s="58">
        <v>4768000</v>
      </c>
      <c r="Y42" s="58">
        <v>4739000</v>
      </c>
      <c r="Z42" s="58">
        <v>4919000</v>
      </c>
      <c r="AA42" s="58">
        <v>4919000</v>
      </c>
      <c r="AB42" s="58">
        <v>4881000</v>
      </c>
      <c r="AC42" s="58">
        <v>4768000</v>
      </c>
      <c r="AD42" s="58">
        <v>4730000</v>
      </c>
      <c r="AE42" s="58">
        <v>4730000</v>
      </c>
      <c r="AF42" s="58">
        <v>4730000</v>
      </c>
      <c r="AG42" s="58">
        <v>4415000</v>
      </c>
      <c r="AH42" s="58">
        <v>4234000</v>
      </c>
      <c r="AI42" s="58">
        <v>4234000</v>
      </c>
      <c r="AJ42" s="58">
        <v>4415000</v>
      </c>
      <c r="AK42" s="58">
        <v>5568000</v>
      </c>
    </row>
    <row r="43" spans="1:37" ht="15" x14ac:dyDescent="0.2">
      <c r="A43" s="26" t="s">
        <v>223</v>
      </c>
      <c r="B43" s="28">
        <v>12120000</v>
      </c>
      <c r="C43" s="28">
        <v>6446000</v>
      </c>
      <c r="D43" s="28">
        <v>10549000</v>
      </c>
      <c r="E43" s="28">
        <v>4681000</v>
      </c>
      <c r="F43" s="28">
        <v>3988000</v>
      </c>
      <c r="G43" s="28">
        <v>5413000</v>
      </c>
      <c r="H43" s="28">
        <v>5703000</v>
      </c>
      <c r="I43" s="28">
        <v>5747000</v>
      </c>
      <c r="J43" s="28">
        <v>6296000</v>
      </c>
      <c r="K43" s="28">
        <v>6296000</v>
      </c>
      <c r="L43" s="28">
        <v>5714000</v>
      </c>
      <c r="M43" s="28">
        <v>6880000</v>
      </c>
      <c r="N43" s="28">
        <v>4627000</v>
      </c>
      <c r="O43" s="28">
        <v>6426000</v>
      </c>
      <c r="P43" s="28">
        <v>6901000</v>
      </c>
      <c r="Q43" s="28">
        <v>6426000</v>
      </c>
      <c r="R43" s="28">
        <v>6605000</v>
      </c>
      <c r="S43" s="28">
        <v>6485000</v>
      </c>
      <c r="T43" s="28">
        <v>6757000</v>
      </c>
      <c r="U43" s="28">
        <v>5165000</v>
      </c>
      <c r="V43" s="28">
        <v>5165000</v>
      </c>
      <c r="W43" s="28">
        <v>5165000</v>
      </c>
      <c r="X43" s="28">
        <v>5165000</v>
      </c>
      <c r="Y43" s="28">
        <v>5133000</v>
      </c>
      <c r="Z43" s="28">
        <v>5338000</v>
      </c>
      <c r="AA43" s="28">
        <v>5338000</v>
      </c>
      <c r="AB43" s="28">
        <v>5295000</v>
      </c>
      <c r="AC43" s="28">
        <v>5165000</v>
      </c>
      <c r="AD43" s="28">
        <v>5122000</v>
      </c>
      <c r="AE43" s="28">
        <v>5122000</v>
      </c>
      <c r="AF43" s="28">
        <v>5122000</v>
      </c>
      <c r="AG43" s="28">
        <v>4737000</v>
      </c>
      <c r="AH43" s="28">
        <v>4530000</v>
      </c>
      <c r="AI43" s="28">
        <v>4530000</v>
      </c>
      <c r="AJ43" s="28">
        <v>4737000</v>
      </c>
      <c r="AK43" s="28">
        <v>6062000</v>
      </c>
    </row>
    <row r="44" spans="1:37" ht="15" x14ac:dyDescent="0.2">
      <c r="A44" s="57" t="s">
        <v>224</v>
      </c>
      <c r="B44" s="58">
        <v>14161000</v>
      </c>
      <c r="C44" s="58">
        <v>7735000</v>
      </c>
      <c r="D44" s="58">
        <v>12659000</v>
      </c>
      <c r="E44" s="58">
        <v>5222000</v>
      </c>
      <c r="F44" s="58">
        <v>4390000</v>
      </c>
      <c r="G44" s="58">
        <v>6085000</v>
      </c>
      <c r="H44" s="58">
        <v>6425000</v>
      </c>
      <c r="I44" s="58">
        <v>6468000</v>
      </c>
      <c r="J44" s="58">
        <v>7118000</v>
      </c>
      <c r="K44" s="58">
        <v>7118000</v>
      </c>
      <c r="L44" s="58">
        <v>6444000</v>
      </c>
      <c r="M44" s="58">
        <v>7840000</v>
      </c>
      <c r="N44" s="58">
        <v>5142000</v>
      </c>
      <c r="O44" s="58">
        <v>7292000</v>
      </c>
      <c r="P44" s="58">
        <v>7862000</v>
      </c>
      <c r="Q44" s="58">
        <v>7292000</v>
      </c>
      <c r="R44" s="58">
        <v>7510000</v>
      </c>
      <c r="S44" s="58">
        <v>7365000</v>
      </c>
      <c r="T44" s="58">
        <v>7692000</v>
      </c>
      <c r="U44" s="58">
        <v>5802000</v>
      </c>
      <c r="V44" s="58">
        <v>5802000</v>
      </c>
      <c r="W44" s="58">
        <v>5802000</v>
      </c>
      <c r="X44" s="58">
        <v>5802000</v>
      </c>
      <c r="Y44" s="58">
        <v>5763000</v>
      </c>
      <c r="Z44" s="58">
        <v>6009000</v>
      </c>
      <c r="AA44" s="58">
        <v>6009000</v>
      </c>
      <c r="AB44" s="58">
        <v>5957000</v>
      </c>
      <c r="AC44" s="58">
        <v>5802000</v>
      </c>
      <c r="AD44" s="58">
        <v>5750000</v>
      </c>
      <c r="AE44" s="58">
        <v>5750000</v>
      </c>
      <c r="AF44" s="58">
        <v>5750000</v>
      </c>
      <c r="AG44" s="58">
        <v>5253000</v>
      </c>
      <c r="AH44" s="58">
        <v>5004000</v>
      </c>
      <c r="AI44" s="58">
        <v>5004000</v>
      </c>
      <c r="AJ44" s="58">
        <v>5253000</v>
      </c>
      <c r="AK44" s="58">
        <v>6852000</v>
      </c>
    </row>
    <row r="45" spans="1:37" ht="15" x14ac:dyDescent="0.2">
      <c r="A45" s="26" t="s">
        <v>225</v>
      </c>
      <c r="B45" s="28">
        <v>14671000</v>
      </c>
      <c r="C45" s="28">
        <v>8057000</v>
      </c>
      <c r="D45" s="28">
        <v>13186000</v>
      </c>
      <c r="E45" s="28">
        <v>5357000</v>
      </c>
      <c r="F45" s="28">
        <v>4491000</v>
      </c>
      <c r="G45" s="28">
        <v>6253000</v>
      </c>
      <c r="H45" s="28">
        <v>6606000</v>
      </c>
      <c r="I45" s="28">
        <v>6648000</v>
      </c>
      <c r="J45" s="28">
        <v>7324000</v>
      </c>
      <c r="K45" s="28">
        <v>7324000</v>
      </c>
      <c r="L45" s="28">
        <v>6627000</v>
      </c>
      <c r="M45" s="28">
        <v>8080000</v>
      </c>
      <c r="N45" s="28">
        <v>5271000</v>
      </c>
      <c r="O45" s="28">
        <v>7509000</v>
      </c>
      <c r="P45" s="28">
        <v>8102000</v>
      </c>
      <c r="Q45" s="28">
        <v>7509000</v>
      </c>
      <c r="R45" s="28">
        <v>7736000</v>
      </c>
      <c r="S45" s="28">
        <v>7586000</v>
      </c>
      <c r="T45" s="28">
        <v>7925000</v>
      </c>
      <c r="U45" s="28">
        <v>5961000</v>
      </c>
      <c r="V45" s="28">
        <v>5961000</v>
      </c>
      <c r="W45" s="28">
        <v>5961000</v>
      </c>
      <c r="X45" s="28">
        <v>5961000</v>
      </c>
      <c r="Y45" s="28">
        <v>5921000</v>
      </c>
      <c r="Z45" s="28">
        <v>6177000</v>
      </c>
      <c r="AA45" s="28">
        <v>6177000</v>
      </c>
      <c r="AB45" s="28">
        <v>6123000</v>
      </c>
      <c r="AC45" s="28">
        <v>5961000</v>
      </c>
      <c r="AD45" s="28">
        <v>5907000</v>
      </c>
      <c r="AE45" s="28">
        <v>5907000</v>
      </c>
      <c r="AF45" s="28">
        <v>5907000</v>
      </c>
      <c r="AG45" s="28">
        <v>5382000</v>
      </c>
      <c r="AH45" s="28">
        <v>5123000</v>
      </c>
      <c r="AI45" s="28">
        <v>5123000</v>
      </c>
      <c r="AJ45" s="28">
        <v>5382000</v>
      </c>
      <c r="AK45" s="28">
        <v>7049000</v>
      </c>
    </row>
    <row r="46" spans="1:37" ht="15" x14ac:dyDescent="0.2">
      <c r="A46" s="57" t="s">
        <v>226</v>
      </c>
      <c r="B46" s="58">
        <v>15946000</v>
      </c>
      <c r="C46" s="58">
        <v>8863000</v>
      </c>
      <c r="D46" s="58">
        <v>14505000</v>
      </c>
      <c r="E46" s="58">
        <v>5695000</v>
      </c>
      <c r="F46" s="58">
        <v>4742000</v>
      </c>
      <c r="G46" s="58">
        <v>6673000</v>
      </c>
      <c r="H46" s="58">
        <v>7058000</v>
      </c>
      <c r="I46" s="58">
        <v>7099000</v>
      </c>
      <c r="J46" s="58">
        <v>7837000</v>
      </c>
      <c r="K46" s="58">
        <v>7837000</v>
      </c>
      <c r="L46" s="58">
        <v>7083000</v>
      </c>
      <c r="M46" s="58">
        <v>8681000</v>
      </c>
      <c r="N46" s="58">
        <v>5593000</v>
      </c>
      <c r="O46" s="58">
        <v>8050000</v>
      </c>
      <c r="P46" s="58">
        <v>8703000</v>
      </c>
      <c r="Q46" s="58">
        <v>8050000</v>
      </c>
      <c r="R46" s="58">
        <v>8302000</v>
      </c>
      <c r="S46" s="58">
        <v>8136000</v>
      </c>
      <c r="T46" s="58">
        <v>8510000</v>
      </c>
      <c r="U46" s="58">
        <v>6359000</v>
      </c>
      <c r="V46" s="58">
        <v>6359000</v>
      </c>
      <c r="W46" s="58">
        <v>6359000</v>
      </c>
      <c r="X46" s="58">
        <v>6359000</v>
      </c>
      <c r="Y46" s="58">
        <v>6314000</v>
      </c>
      <c r="Z46" s="58">
        <v>6596000</v>
      </c>
      <c r="AA46" s="58">
        <v>6596000</v>
      </c>
      <c r="AB46" s="58">
        <v>6537000</v>
      </c>
      <c r="AC46" s="58">
        <v>6359000</v>
      </c>
      <c r="AD46" s="58">
        <v>6300000</v>
      </c>
      <c r="AE46" s="58">
        <v>6300000</v>
      </c>
      <c r="AF46" s="58">
        <v>6300000</v>
      </c>
      <c r="AG46" s="58">
        <v>5704000</v>
      </c>
      <c r="AH46" s="58">
        <v>5419000</v>
      </c>
      <c r="AI46" s="58">
        <v>5419000</v>
      </c>
      <c r="AJ46" s="58">
        <v>5704000</v>
      </c>
      <c r="AK46" s="58">
        <v>7543000</v>
      </c>
    </row>
    <row r="47" spans="1:37" ht="15" x14ac:dyDescent="0.2">
      <c r="A47" s="26" t="s">
        <v>227</v>
      </c>
      <c r="B47" s="28">
        <v>17222000</v>
      </c>
      <c r="C47" s="28">
        <v>9669000</v>
      </c>
      <c r="D47" s="28">
        <v>15824000</v>
      </c>
      <c r="E47" s="28">
        <v>6033000</v>
      </c>
      <c r="F47" s="28">
        <v>4994000</v>
      </c>
      <c r="G47" s="28">
        <v>7093000</v>
      </c>
      <c r="H47" s="28">
        <v>7509000</v>
      </c>
      <c r="I47" s="28">
        <v>7550000</v>
      </c>
      <c r="J47" s="28">
        <v>8351000</v>
      </c>
      <c r="K47" s="28">
        <v>8351000</v>
      </c>
      <c r="L47" s="28">
        <v>7539000</v>
      </c>
      <c r="M47" s="28">
        <v>9281000</v>
      </c>
      <c r="N47" s="28">
        <v>5915000</v>
      </c>
      <c r="O47" s="28">
        <v>8591000</v>
      </c>
      <c r="P47" s="28">
        <v>9304000</v>
      </c>
      <c r="Q47" s="28">
        <v>8591000</v>
      </c>
      <c r="R47" s="28">
        <v>8867000</v>
      </c>
      <c r="S47" s="28">
        <v>8686000</v>
      </c>
      <c r="T47" s="28">
        <v>9094000</v>
      </c>
      <c r="U47" s="28">
        <v>6756000</v>
      </c>
      <c r="V47" s="28">
        <v>6756000</v>
      </c>
      <c r="W47" s="28">
        <v>6756000</v>
      </c>
      <c r="X47" s="28">
        <v>6756000</v>
      </c>
      <c r="Y47" s="28">
        <v>6708000</v>
      </c>
      <c r="Z47" s="28">
        <v>7015000</v>
      </c>
      <c r="AA47" s="28">
        <v>7015000</v>
      </c>
      <c r="AB47" s="28">
        <v>6950000</v>
      </c>
      <c r="AC47" s="28">
        <v>6756000</v>
      </c>
      <c r="AD47" s="28">
        <v>6692000</v>
      </c>
      <c r="AE47" s="28">
        <v>6692000</v>
      </c>
      <c r="AF47" s="28">
        <v>6692000</v>
      </c>
      <c r="AG47" s="28">
        <v>6027000</v>
      </c>
      <c r="AH47" s="28">
        <v>5716000</v>
      </c>
      <c r="AI47" s="28">
        <v>5716000</v>
      </c>
      <c r="AJ47" s="28">
        <v>6027000</v>
      </c>
      <c r="AK47" s="28">
        <v>8037000</v>
      </c>
    </row>
    <row r="48" spans="1:37" ht="15" x14ac:dyDescent="0.2">
      <c r="A48" s="57" t="s">
        <v>228</v>
      </c>
      <c r="B48" s="58">
        <v>18497000</v>
      </c>
      <c r="C48" s="58">
        <v>10475000</v>
      </c>
      <c r="D48" s="58">
        <v>17142000</v>
      </c>
      <c r="E48" s="58">
        <v>6371000</v>
      </c>
      <c r="F48" s="58">
        <v>5245000</v>
      </c>
      <c r="G48" s="58">
        <v>7513000</v>
      </c>
      <c r="H48" s="58">
        <v>7961000</v>
      </c>
      <c r="I48" s="58">
        <v>8001000</v>
      </c>
      <c r="J48" s="58">
        <v>8865000</v>
      </c>
      <c r="K48" s="58">
        <v>8865000</v>
      </c>
      <c r="L48" s="58">
        <v>7995000</v>
      </c>
      <c r="M48" s="58">
        <v>9881000</v>
      </c>
      <c r="N48" s="58">
        <v>6237000</v>
      </c>
      <c r="O48" s="58">
        <v>9133000</v>
      </c>
      <c r="P48" s="58">
        <v>9904000</v>
      </c>
      <c r="Q48" s="58">
        <v>9133000</v>
      </c>
      <c r="R48" s="58">
        <v>9433000</v>
      </c>
      <c r="S48" s="58">
        <v>9237000</v>
      </c>
      <c r="T48" s="58">
        <v>9679000</v>
      </c>
      <c r="U48" s="58">
        <v>7154000</v>
      </c>
      <c r="V48" s="58">
        <v>7154000</v>
      </c>
      <c r="W48" s="58">
        <v>7154000</v>
      </c>
      <c r="X48" s="58">
        <v>7154000</v>
      </c>
      <c r="Y48" s="58">
        <v>7102000</v>
      </c>
      <c r="Z48" s="58">
        <v>7435000</v>
      </c>
      <c r="AA48" s="58">
        <v>7435000</v>
      </c>
      <c r="AB48" s="58">
        <v>7364000</v>
      </c>
      <c r="AC48" s="58">
        <v>7154000</v>
      </c>
      <c r="AD48" s="58">
        <v>7084000</v>
      </c>
      <c r="AE48" s="58">
        <v>7084000</v>
      </c>
      <c r="AF48" s="58">
        <v>7084000</v>
      </c>
      <c r="AG48" s="58">
        <v>6349000</v>
      </c>
      <c r="AH48" s="58">
        <v>6012000</v>
      </c>
      <c r="AI48" s="58">
        <v>6012000</v>
      </c>
      <c r="AJ48" s="58">
        <v>6349000</v>
      </c>
      <c r="AK48" s="58">
        <v>8530000</v>
      </c>
    </row>
    <row r="49" spans="1:37" ht="15" x14ac:dyDescent="0.2">
      <c r="A49" s="26" t="s">
        <v>229</v>
      </c>
      <c r="B49" s="28">
        <v>19773000</v>
      </c>
      <c r="C49" s="28">
        <v>11280000</v>
      </c>
      <c r="D49" s="28">
        <v>18461000</v>
      </c>
      <c r="E49" s="28">
        <v>6709000</v>
      </c>
      <c r="F49" s="28">
        <v>5496000</v>
      </c>
      <c r="G49" s="28">
        <v>7933000</v>
      </c>
      <c r="H49" s="28">
        <v>8413000</v>
      </c>
      <c r="I49" s="28">
        <v>8452000</v>
      </c>
      <c r="J49" s="28">
        <v>9379000</v>
      </c>
      <c r="K49" s="28">
        <v>9379000</v>
      </c>
      <c r="L49" s="28">
        <v>8451000</v>
      </c>
      <c r="M49" s="28">
        <v>10481000</v>
      </c>
      <c r="N49" s="28">
        <v>6559000</v>
      </c>
      <c r="O49" s="28">
        <v>9674000</v>
      </c>
      <c r="P49" s="28">
        <v>10505000</v>
      </c>
      <c r="Q49" s="28">
        <v>9674000</v>
      </c>
      <c r="R49" s="28">
        <v>9998000</v>
      </c>
      <c r="S49" s="28">
        <v>9787000</v>
      </c>
      <c r="T49" s="28">
        <v>10263000</v>
      </c>
      <c r="U49" s="28">
        <v>7552000</v>
      </c>
      <c r="V49" s="28">
        <v>7552000</v>
      </c>
      <c r="W49" s="28">
        <v>7552000</v>
      </c>
      <c r="X49" s="28">
        <v>7552000</v>
      </c>
      <c r="Y49" s="28">
        <v>7495000</v>
      </c>
      <c r="Z49" s="28">
        <v>7854000</v>
      </c>
      <c r="AA49" s="28">
        <v>7854000</v>
      </c>
      <c r="AB49" s="28">
        <v>7778000</v>
      </c>
      <c r="AC49" s="28">
        <v>7552000</v>
      </c>
      <c r="AD49" s="28">
        <v>7477000</v>
      </c>
      <c r="AE49" s="28">
        <v>7477000</v>
      </c>
      <c r="AF49" s="28">
        <v>7477000</v>
      </c>
      <c r="AG49" s="28">
        <v>6672000</v>
      </c>
      <c r="AH49" s="28">
        <v>6308000</v>
      </c>
      <c r="AI49" s="28">
        <v>6308000</v>
      </c>
      <c r="AJ49" s="28">
        <v>6672000</v>
      </c>
      <c r="AK49" s="28">
        <v>9024000</v>
      </c>
    </row>
    <row r="50" spans="1:37" ht="15" x14ac:dyDescent="0.2">
      <c r="A50" s="57" t="s">
        <v>230</v>
      </c>
      <c r="B50" s="58">
        <v>21048000</v>
      </c>
      <c r="C50" s="58">
        <v>12086000</v>
      </c>
      <c r="D50" s="58">
        <v>19779000</v>
      </c>
      <c r="E50" s="58">
        <v>7047000</v>
      </c>
      <c r="F50" s="58">
        <v>5748000</v>
      </c>
      <c r="G50" s="58">
        <v>8353000</v>
      </c>
      <c r="H50" s="58">
        <v>8865000</v>
      </c>
      <c r="I50" s="58">
        <v>8903000</v>
      </c>
      <c r="J50" s="58">
        <v>9893000</v>
      </c>
      <c r="K50" s="58">
        <v>9893000</v>
      </c>
      <c r="L50" s="58">
        <v>8907000</v>
      </c>
      <c r="M50" s="58">
        <v>11081000</v>
      </c>
      <c r="N50" s="58">
        <v>6881000</v>
      </c>
      <c r="O50" s="58">
        <v>10215000</v>
      </c>
      <c r="P50" s="58">
        <v>11106000</v>
      </c>
      <c r="Q50" s="58">
        <v>10215000</v>
      </c>
      <c r="R50" s="58">
        <v>10564000</v>
      </c>
      <c r="S50" s="58">
        <v>10338000</v>
      </c>
      <c r="T50" s="58">
        <v>10847000</v>
      </c>
      <c r="U50" s="58">
        <v>7950000</v>
      </c>
      <c r="V50" s="58">
        <v>7950000</v>
      </c>
      <c r="W50" s="58">
        <v>7950000</v>
      </c>
      <c r="X50" s="58">
        <v>7950000</v>
      </c>
      <c r="Y50" s="58">
        <v>7889000</v>
      </c>
      <c r="Z50" s="58">
        <v>8273000</v>
      </c>
      <c r="AA50" s="58">
        <v>8273000</v>
      </c>
      <c r="AB50" s="58">
        <v>8192000</v>
      </c>
      <c r="AC50" s="58">
        <v>7950000</v>
      </c>
      <c r="AD50" s="58">
        <v>7869000</v>
      </c>
      <c r="AE50" s="58">
        <v>7869000</v>
      </c>
      <c r="AF50" s="58">
        <v>7869000</v>
      </c>
      <c r="AG50" s="58">
        <v>6994000</v>
      </c>
      <c r="AH50" s="58">
        <v>6605000</v>
      </c>
      <c r="AI50" s="58">
        <v>6605000</v>
      </c>
      <c r="AJ50" s="58">
        <v>6994000</v>
      </c>
      <c r="AK50" s="58">
        <v>9518000</v>
      </c>
    </row>
    <row r="51" spans="1:37" ht="18" x14ac:dyDescent="0.25">
      <c r="A51" s="59" t="s">
        <v>67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</row>
    <row r="52" spans="1:37" ht="15" x14ac:dyDescent="0.2">
      <c r="A52" s="31" t="s">
        <v>231</v>
      </c>
      <c r="B52" s="28">
        <v>8711000</v>
      </c>
      <c r="C52" s="28">
        <v>4401000</v>
      </c>
      <c r="D52" s="28">
        <v>7203000</v>
      </c>
      <c r="E52" s="28">
        <v>3648000</v>
      </c>
      <c r="F52" s="28">
        <v>3175000</v>
      </c>
      <c r="G52" s="28">
        <v>4167000</v>
      </c>
      <c r="H52" s="28">
        <v>4373000</v>
      </c>
      <c r="I52" s="28">
        <v>4416000</v>
      </c>
      <c r="J52" s="28">
        <v>4802000</v>
      </c>
      <c r="K52" s="28">
        <v>4802000</v>
      </c>
      <c r="L52" s="28">
        <v>4375000</v>
      </c>
      <c r="M52" s="28">
        <v>5174000</v>
      </c>
      <c r="N52" s="28">
        <v>3629000</v>
      </c>
      <c r="O52" s="28">
        <v>4868000</v>
      </c>
      <c r="P52" s="28">
        <v>5193000</v>
      </c>
      <c r="Q52" s="28">
        <v>4868000</v>
      </c>
      <c r="R52" s="28">
        <v>4987000</v>
      </c>
      <c r="S52" s="28">
        <v>4905000</v>
      </c>
      <c r="T52" s="28">
        <v>5091000</v>
      </c>
      <c r="U52" s="28">
        <v>3980000</v>
      </c>
      <c r="V52" s="28">
        <v>3980000</v>
      </c>
      <c r="W52" s="28">
        <v>3980000</v>
      </c>
      <c r="X52" s="28">
        <v>3980000</v>
      </c>
      <c r="Y52" s="28">
        <v>3958000</v>
      </c>
      <c r="Z52" s="28">
        <v>4097000</v>
      </c>
      <c r="AA52" s="28">
        <v>4097000</v>
      </c>
      <c r="AB52" s="28">
        <v>4068000</v>
      </c>
      <c r="AC52" s="28">
        <v>3980000</v>
      </c>
      <c r="AD52" s="28">
        <v>3950000</v>
      </c>
      <c r="AE52" s="28">
        <v>3950000</v>
      </c>
      <c r="AF52" s="28">
        <v>3950000</v>
      </c>
      <c r="AG52" s="28">
        <v>3732000</v>
      </c>
      <c r="AH52" s="28">
        <v>3590000</v>
      </c>
      <c r="AI52" s="28">
        <v>3590000</v>
      </c>
      <c r="AJ52" s="28">
        <v>3732000</v>
      </c>
      <c r="AK52" s="28">
        <v>4624000</v>
      </c>
    </row>
    <row r="53" spans="1:37" ht="15" x14ac:dyDescent="0.2">
      <c r="A53" s="57" t="s">
        <v>232</v>
      </c>
      <c r="B53" s="58">
        <v>9872000</v>
      </c>
      <c r="C53" s="58">
        <v>5135000</v>
      </c>
      <c r="D53" s="58">
        <v>8403000</v>
      </c>
      <c r="E53" s="58">
        <v>3956000</v>
      </c>
      <c r="F53" s="58">
        <v>3404000</v>
      </c>
      <c r="G53" s="58">
        <v>4550000</v>
      </c>
      <c r="H53" s="58">
        <v>4785000</v>
      </c>
      <c r="I53" s="58">
        <v>4827000</v>
      </c>
      <c r="J53" s="58">
        <v>5271000</v>
      </c>
      <c r="K53" s="58">
        <v>5271000</v>
      </c>
      <c r="L53" s="58">
        <v>4791000</v>
      </c>
      <c r="M53" s="58">
        <v>5721000</v>
      </c>
      <c r="N53" s="58">
        <v>3923000</v>
      </c>
      <c r="O53" s="58">
        <v>5362000</v>
      </c>
      <c r="P53" s="58">
        <v>5740000</v>
      </c>
      <c r="Q53" s="58">
        <v>5362000</v>
      </c>
      <c r="R53" s="58">
        <v>5503000</v>
      </c>
      <c r="S53" s="58">
        <v>5407000</v>
      </c>
      <c r="T53" s="58">
        <v>5623000</v>
      </c>
      <c r="U53" s="58">
        <v>4342000</v>
      </c>
      <c r="V53" s="58">
        <v>4342000</v>
      </c>
      <c r="W53" s="58">
        <v>4342000</v>
      </c>
      <c r="X53" s="58">
        <v>4342000</v>
      </c>
      <c r="Y53" s="58">
        <v>4316000</v>
      </c>
      <c r="Z53" s="58">
        <v>4479000</v>
      </c>
      <c r="AA53" s="58">
        <v>4479000</v>
      </c>
      <c r="AB53" s="58">
        <v>4445000</v>
      </c>
      <c r="AC53" s="58">
        <v>4342000</v>
      </c>
      <c r="AD53" s="58">
        <v>4308000</v>
      </c>
      <c r="AE53" s="58">
        <v>4308000</v>
      </c>
      <c r="AF53" s="58">
        <v>4308000</v>
      </c>
      <c r="AG53" s="58">
        <v>4026000</v>
      </c>
      <c r="AH53" s="58">
        <v>3861000</v>
      </c>
      <c r="AI53" s="58">
        <v>3861000</v>
      </c>
      <c r="AJ53" s="58">
        <v>4026000</v>
      </c>
      <c r="AK53" s="58">
        <v>5074000</v>
      </c>
    </row>
    <row r="54" spans="1:37" ht="15" x14ac:dyDescent="0.2">
      <c r="A54" s="26" t="s">
        <v>233</v>
      </c>
      <c r="B54" s="28">
        <v>11033000</v>
      </c>
      <c r="C54" s="28">
        <v>5868000</v>
      </c>
      <c r="D54" s="28">
        <v>9603000</v>
      </c>
      <c r="E54" s="28">
        <v>4264000</v>
      </c>
      <c r="F54" s="28">
        <v>3633000</v>
      </c>
      <c r="G54" s="28">
        <v>4932000</v>
      </c>
      <c r="H54" s="28">
        <v>5197000</v>
      </c>
      <c r="I54" s="28">
        <v>5239000</v>
      </c>
      <c r="J54" s="28">
        <v>5740000</v>
      </c>
      <c r="K54" s="28">
        <v>5740000</v>
      </c>
      <c r="L54" s="28">
        <v>5207000</v>
      </c>
      <c r="M54" s="28">
        <v>6268000</v>
      </c>
      <c r="N54" s="28">
        <v>4216000</v>
      </c>
      <c r="O54" s="28">
        <v>5855000</v>
      </c>
      <c r="P54" s="28">
        <v>6288000</v>
      </c>
      <c r="Q54" s="28">
        <v>5855000</v>
      </c>
      <c r="R54" s="28">
        <v>6018000</v>
      </c>
      <c r="S54" s="28">
        <v>5909000</v>
      </c>
      <c r="T54" s="28">
        <v>6156000</v>
      </c>
      <c r="U54" s="28">
        <v>4704000</v>
      </c>
      <c r="V54" s="28">
        <v>4704000</v>
      </c>
      <c r="W54" s="28">
        <v>4704000</v>
      </c>
      <c r="X54" s="28">
        <v>4704000</v>
      </c>
      <c r="Y54" s="28">
        <v>4675000</v>
      </c>
      <c r="Z54" s="28">
        <v>4861000</v>
      </c>
      <c r="AA54" s="28">
        <v>4861000</v>
      </c>
      <c r="AB54" s="28">
        <v>4822000</v>
      </c>
      <c r="AC54" s="28">
        <v>4704000</v>
      </c>
      <c r="AD54" s="28">
        <v>4665000</v>
      </c>
      <c r="AE54" s="28">
        <v>4665000</v>
      </c>
      <c r="AF54" s="28">
        <v>4665000</v>
      </c>
      <c r="AG54" s="28">
        <v>4320000</v>
      </c>
      <c r="AH54" s="28">
        <v>4132000</v>
      </c>
      <c r="AI54" s="28">
        <v>4132000</v>
      </c>
      <c r="AJ54" s="28">
        <v>4320000</v>
      </c>
      <c r="AK54" s="28">
        <v>5525000</v>
      </c>
    </row>
    <row r="55" spans="1:37" ht="15" x14ac:dyDescent="0.2">
      <c r="A55" s="57" t="s">
        <v>234</v>
      </c>
      <c r="B55" s="58">
        <v>12891000</v>
      </c>
      <c r="C55" s="58">
        <v>7042000</v>
      </c>
      <c r="D55" s="58">
        <v>11524000</v>
      </c>
      <c r="E55" s="58">
        <v>4756000</v>
      </c>
      <c r="F55" s="58">
        <v>3999000</v>
      </c>
      <c r="G55" s="58">
        <v>5545000</v>
      </c>
      <c r="H55" s="58">
        <v>5856000</v>
      </c>
      <c r="I55" s="58">
        <v>5897000</v>
      </c>
      <c r="J55" s="58">
        <v>6490000</v>
      </c>
      <c r="K55" s="58">
        <v>6490000</v>
      </c>
      <c r="L55" s="58">
        <v>5872000</v>
      </c>
      <c r="M55" s="58">
        <v>7143000</v>
      </c>
      <c r="N55" s="58">
        <v>4686000</v>
      </c>
      <c r="O55" s="58">
        <v>6645000</v>
      </c>
      <c r="P55" s="58">
        <v>7164000</v>
      </c>
      <c r="Q55" s="58">
        <v>6645000</v>
      </c>
      <c r="R55" s="58">
        <v>6843000</v>
      </c>
      <c r="S55" s="58">
        <v>6711000</v>
      </c>
      <c r="T55" s="58">
        <v>7008000</v>
      </c>
      <c r="U55" s="58">
        <v>5284000</v>
      </c>
      <c r="V55" s="58">
        <v>5284000</v>
      </c>
      <c r="W55" s="58">
        <v>5284000</v>
      </c>
      <c r="X55" s="58">
        <v>5284000</v>
      </c>
      <c r="Y55" s="58">
        <v>5249000</v>
      </c>
      <c r="Z55" s="58">
        <v>5473000</v>
      </c>
      <c r="AA55" s="58">
        <v>5473000</v>
      </c>
      <c r="AB55" s="58">
        <v>5425000</v>
      </c>
      <c r="AC55" s="58">
        <v>5284000</v>
      </c>
      <c r="AD55" s="58">
        <v>5237000</v>
      </c>
      <c r="AE55" s="58">
        <v>5237000</v>
      </c>
      <c r="AF55" s="58">
        <v>5237000</v>
      </c>
      <c r="AG55" s="58">
        <v>4791000</v>
      </c>
      <c r="AH55" s="58">
        <v>4565000</v>
      </c>
      <c r="AI55" s="58">
        <v>4565000</v>
      </c>
      <c r="AJ55" s="58">
        <v>4791000</v>
      </c>
      <c r="AK55" s="58">
        <v>6245000</v>
      </c>
    </row>
    <row r="56" spans="1:37" ht="15" x14ac:dyDescent="0.2">
      <c r="A56" s="26" t="s">
        <v>235</v>
      </c>
      <c r="B56" s="28">
        <v>13355000</v>
      </c>
      <c r="C56" s="28">
        <v>7335000</v>
      </c>
      <c r="D56" s="28">
        <v>12004000</v>
      </c>
      <c r="E56" s="28">
        <v>4879000</v>
      </c>
      <c r="F56" s="28">
        <v>4091000</v>
      </c>
      <c r="G56" s="28">
        <v>5698000</v>
      </c>
      <c r="H56" s="28">
        <v>6021000</v>
      </c>
      <c r="I56" s="28">
        <v>6061000</v>
      </c>
      <c r="J56" s="28">
        <v>6678000</v>
      </c>
      <c r="K56" s="28">
        <v>6678000</v>
      </c>
      <c r="L56" s="28">
        <v>6038000</v>
      </c>
      <c r="M56" s="28">
        <v>7362000</v>
      </c>
      <c r="N56" s="28">
        <v>4804000</v>
      </c>
      <c r="O56" s="28">
        <v>6842000</v>
      </c>
      <c r="P56" s="28">
        <v>7383000</v>
      </c>
      <c r="Q56" s="28">
        <v>6842000</v>
      </c>
      <c r="R56" s="28">
        <v>7049000</v>
      </c>
      <c r="S56" s="28">
        <v>6912000</v>
      </c>
      <c r="T56" s="28">
        <v>7221000</v>
      </c>
      <c r="U56" s="28">
        <v>5429000</v>
      </c>
      <c r="V56" s="28">
        <v>5429000</v>
      </c>
      <c r="W56" s="28">
        <v>5429000</v>
      </c>
      <c r="X56" s="28">
        <v>5429000</v>
      </c>
      <c r="Y56" s="28">
        <v>5392000</v>
      </c>
      <c r="Z56" s="28">
        <v>5625000</v>
      </c>
      <c r="AA56" s="28">
        <v>5625000</v>
      </c>
      <c r="AB56" s="28">
        <v>5576000</v>
      </c>
      <c r="AC56" s="28">
        <v>5429000</v>
      </c>
      <c r="AD56" s="28">
        <v>5380000</v>
      </c>
      <c r="AE56" s="28">
        <v>5380000</v>
      </c>
      <c r="AF56" s="28">
        <v>5380000</v>
      </c>
      <c r="AG56" s="28">
        <v>4909000</v>
      </c>
      <c r="AH56" s="28">
        <v>4673000</v>
      </c>
      <c r="AI56" s="28">
        <v>4673000</v>
      </c>
      <c r="AJ56" s="28">
        <v>4909000</v>
      </c>
      <c r="AK56" s="28">
        <v>6425000</v>
      </c>
    </row>
    <row r="57" spans="1:37" ht="15" x14ac:dyDescent="0.2">
      <c r="A57" s="57" t="s">
        <v>236</v>
      </c>
      <c r="B57" s="58">
        <v>14516000</v>
      </c>
      <c r="C57" s="58">
        <v>8068000</v>
      </c>
      <c r="D57" s="58">
        <v>13204000</v>
      </c>
      <c r="E57" s="58">
        <v>5187000</v>
      </c>
      <c r="F57" s="58">
        <v>4320000</v>
      </c>
      <c r="G57" s="58">
        <v>6081000</v>
      </c>
      <c r="H57" s="58">
        <v>6432000</v>
      </c>
      <c r="I57" s="58">
        <v>6472000</v>
      </c>
      <c r="J57" s="58">
        <v>7146000</v>
      </c>
      <c r="K57" s="58">
        <v>7146000</v>
      </c>
      <c r="L57" s="58">
        <v>6454000</v>
      </c>
      <c r="M57" s="58">
        <v>7909000</v>
      </c>
      <c r="N57" s="58">
        <v>5097000</v>
      </c>
      <c r="O57" s="58">
        <v>7336000</v>
      </c>
      <c r="P57" s="58">
        <v>7930000</v>
      </c>
      <c r="Q57" s="58">
        <v>7336000</v>
      </c>
      <c r="R57" s="58">
        <v>7565000</v>
      </c>
      <c r="S57" s="58">
        <v>7414000</v>
      </c>
      <c r="T57" s="58">
        <v>7754000</v>
      </c>
      <c r="U57" s="58">
        <v>5791000</v>
      </c>
      <c r="V57" s="58">
        <v>5791000</v>
      </c>
      <c r="W57" s="58">
        <v>5791000</v>
      </c>
      <c r="X57" s="58">
        <v>5791000</v>
      </c>
      <c r="Y57" s="58">
        <v>5751000</v>
      </c>
      <c r="Z57" s="58">
        <v>6007000</v>
      </c>
      <c r="AA57" s="58">
        <v>6007000</v>
      </c>
      <c r="AB57" s="58">
        <v>5953000</v>
      </c>
      <c r="AC57" s="58">
        <v>5791000</v>
      </c>
      <c r="AD57" s="58">
        <v>5738000</v>
      </c>
      <c r="AE57" s="58">
        <v>5738000</v>
      </c>
      <c r="AF57" s="58">
        <v>5738000</v>
      </c>
      <c r="AG57" s="58">
        <v>5204000</v>
      </c>
      <c r="AH57" s="58">
        <v>4944000</v>
      </c>
      <c r="AI57" s="58">
        <v>4944000</v>
      </c>
      <c r="AJ57" s="58">
        <v>5204000</v>
      </c>
      <c r="AK57" s="58">
        <v>6875000</v>
      </c>
    </row>
    <row r="58" spans="1:37" ht="15" x14ac:dyDescent="0.2">
      <c r="A58" s="26" t="s">
        <v>237</v>
      </c>
      <c r="B58" s="28">
        <v>15677000</v>
      </c>
      <c r="C58" s="28">
        <v>8802000</v>
      </c>
      <c r="D58" s="28">
        <v>14405000</v>
      </c>
      <c r="E58" s="28">
        <v>5495000</v>
      </c>
      <c r="F58" s="28">
        <v>4549000</v>
      </c>
      <c r="G58" s="28">
        <v>6464000</v>
      </c>
      <c r="H58" s="28">
        <v>6844000</v>
      </c>
      <c r="I58" s="28">
        <v>6884000</v>
      </c>
      <c r="J58" s="28">
        <v>7615000</v>
      </c>
      <c r="K58" s="28">
        <v>7615000</v>
      </c>
      <c r="L58" s="28">
        <v>6870000</v>
      </c>
      <c r="M58" s="28">
        <v>8456000</v>
      </c>
      <c r="N58" s="28">
        <v>5391000</v>
      </c>
      <c r="O58" s="28">
        <v>7829000</v>
      </c>
      <c r="P58" s="28">
        <v>8478000</v>
      </c>
      <c r="Q58" s="28">
        <v>7829000</v>
      </c>
      <c r="R58" s="28">
        <v>8080000</v>
      </c>
      <c r="S58" s="28">
        <v>7915000</v>
      </c>
      <c r="T58" s="28">
        <v>8287000</v>
      </c>
      <c r="U58" s="28">
        <v>6154000</v>
      </c>
      <c r="V58" s="28">
        <v>6154000</v>
      </c>
      <c r="W58" s="28">
        <v>6154000</v>
      </c>
      <c r="X58" s="28">
        <v>6154000</v>
      </c>
      <c r="Y58" s="28">
        <v>6110000</v>
      </c>
      <c r="Z58" s="28">
        <v>6389000</v>
      </c>
      <c r="AA58" s="28">
        <v>6389000</v>
      </c>
      <c r="AB58" s="28">
        <v>6330000</v>
      </c>
      <c r="AC58" s="28">
        <v>6154000</v>
      </c>
      <c r="AD58" s="28">
        <v>6095000</v>
      </c>
      <c r="AE58" s="28">
        <v>6095000</v>
      </c>
      <c r="AF58" s="28">
        <v>6095000</v>
      </c>
      <c r="AG58" s="28">
        <v>5498000</v>
      </c>
      <c r="AH58" s="28">
        <v>5215000</v>
      </c>
      <c r="AI58" s="28">
        <v>5215000</v>
      </c>
      <c r="AJ58" s="28">
        <v>5498000</v>
      </c>
      <c r="AK58" s="28">
        <v>7325000</v>
      </c>
    </row>
    <row r="59" spans="1:37" ht="15" x14ac:dyDescent="0.2">
      <c r="A59" s="57" t="s">
        <v>238</v>
      </c>
      <c r="B59" s="58">
        <v>16838000</v>
      </c>
      <c r="C59" s="58">
        <v>9535000</v>
      </c>
      <c r="D59" s="58">
        <v>15605000</v>
      </c>
      <c r="E59" s="58">
        <v>5803000</v>
      </c>
      <c r="F59" s="58">
        <v>4778000</v>
      </c>
      <c r="G59" s="58">
        <v>6846000</v>
      </c>
      <c r="H59" s="58">
        <v>7256000</v>
      </c>
      <c r="I59" s="58">
        <v>7295000</v>
      </c>
      <c r="J59" s="58">
        <v>8084000</v>
      </c>
      <c r="K59" s="58">
        <v>8084000</v>
      </c>
      <c r="L59" s="58">
        <v>7286000</v>
      </c>
      <c r="M59" s="58">
        <v>9003000</v>
      </c>
      <c r="N59" s="58">
        <v>5684000</v>
      </c>
      <c r="O59" s="58">
        <v>8323000</v>
      </c>
      <c r="P59" s="58">
        <v>9025000</v>
      </c>
      <c r="Q59" s="58">
        <v>8323000</v>
      </c>
      <c r="R59" s="58">
        <v>8595000</v>
      </c>
      <c r="S59" s="58">
        <v>8417000</v>
      </c>
      <c r="T59" s="58">
        <v>8819000</v>
      </c>
      <c r="U59" s="58">
        <v>6516000</v>
      </c>
      <c r="V59" s="58">
        <v>6516000</v>
      </c>
      <c r="W59" s="58">
        <v>6516000</v>
      </c>
      <c r="X59" s="58">
        <v>6516000</v>
      </c>
      <c r="Y59" s="58">
        <v>6468000</v>
      </c>
      <c r="Z59" s="58">
        <v>6771000</v>
      </c>
      <c r="AA59" s="58">
        <v>6771000</v>
      </c>
      <c r="AB59" s="58">
        <v>6707000</v>
      </c>
      <c r="AC59" s="58">
        <v>6516000</v>
      </c>
      <c r="AD59" s="58">
        <v>6453000</v>
      </c>
      <c r="AE59" s="58">
        <v>6453000</v>
      </c>
      <c r="AF59" s="58">
        <v>6453000</v>
      </c>
      <c r="AG59" s="58">
        <v>5792000</v>
      </c>
      <c r="AH59" s="58">
        <v>5486000</v>
      </c>
      <c r="AI59" s="58">
        <v>5486000</v>
      </c>
      <c r="AJ59" s="58">
        <v>5792000</v>
      </c>
      <c r="AK59" s="58">
        <v>7776000</v>
      </c>
    </row>
    <row r="60" spans="1:37" ht="15" x14ac:dyDescent="0.2">
      <c r="A60" s="26" t="s">
        <v>239</v>
      </c>
      <c r="B60" s="28">
        <v>18000000</v>
      </c>
      <c r="C60" s="28">
        <v>10269000</v>
      </c>
      <c r="D60" s="28">
        <v>16805000</v>
      </c>
      <c r="E60" s="28">
        <v>6111000</v>
      </c>
      <c r="F60" s="28">
        <v>5007000</v>
      </c>
      <c r="G60" s="28">
        <v>7229000</v>
      </c>
      <c r="H60" s="28">
        <v>7668000</v>
      </c>
      <c r="I60" s="28">
        <v>7706000</v>
      </c>
      <c r="J60" s="28">
        <v>8553000</v>
      </c>
      <c r="K60" s="28">
        <v>8553000</v>
      </c>
      <c r="L60" s="28">
        <v>7702000</v>
      </c>
      <c r="M60" s="28">
        <v>9550000</v>
      </c>
      <c r="N60" s="28">
        <v>5978000</v>
      </c>
      <c r="O60" s="28">
        <v>8816000</v>
      </c>
      <c r="P60" s="28">
        <v>9573000</v>
      </c>
      <c r="Q60" s="28">
        <v>8816000</v>
      </c>
      <c r="R60" s="28">
        <v>9111000</v>
      </c>
      <c r="S60" s="28">
        <v>8919000</v>
      </c>
      <c r="T60" s="28">
        <v>9352000</v>
      </c>
      <c r="U60" s="28">
        <v>6878000</v>
      </c>
      <c r="V60" s="28">
        <v>6878000</v>
      </c>
      <c r="W60" s="28">
        <v>6878000</v>
      </c>
      <c r="X60" s="28">
        <v>6878000</v>
      </c>
      <c r="Y60" s="28">
        <v>6827000</v>
      </c>
      <c r="Z60" s="28">
        <v>7153000</v>
      </c>
      <c r="AA60" s="28">
        <v>7153000</v>
      </c>
      <c r="AB60" s="28">
        <v>7085000</v>
      </c>
      <c r="AC60" s="28">
        <v>6878000</v>
      </c>
      <c r="AD60" s="28">
        <v>6810000</v>
      </c>
      <c r="AE60" s="28">
        <v>6810000</v>
      </c>
      <c r="AF60" s="28">
        <v>6810000</v>
      </c>
      <c r="AG60" s="28">
        <v>6087000</v>
      </c>
      <c r="AH60" s="28">
        <v>5756000</v>
      </c>
      <c r="AI60" s="28">
        <v>5756000</v>
      </c>
      <c r="AJ60" s="28">
        <v>6087000</v>
      </c>
      <c r="AK60" s="28">
        <v>8226000</v>
      </c>
    </row>
    <row r="61" spans="1:37" ht="15" x14ac:dyDescent="0.2">
      <c r="A61" s="57" t="s">
        <v>240</v>
      </c>
      <c r="B61" s="58">
        <v>19161000</v>
      </c>
      <c r="C61" s="58">
        <v>11002000</v>
      </c>
      <c r="D61" s="58">
        <v>18006000</v>
      </c>
      <c r="E61" s="58">
        <v>6419000</v>
      </c>
      <c r="F61" s="58">
        <v>5236000</v>
      </c>
      <c r="G61" s="58">
        <v>7612000</v>
      </c>
      <c r="H61" s="58">
        <v>8080000</v>
      </c>
      <c r="I61" s="58">
        <v>8118000</v>
      </c>
      <c r="J61" s="58">
        <v>9022000</v>
      </c>
      <c r="K61" s="58">
        <v>9022000</v>
      </c>
      <c r="L61" s="58">
        <v>8117000</v>
      </c>
      <c r="M61" s="58">
        <v>10097000</v>
      </c>
      <c r="N61" s="58">
        <v>6272000</v>
      </c>
      <c r="O61" s="58">
        <v>9310000</v>
      </c>
      <c r="P61" s="58">
        <v>10120000</v>
      </c>
      <c r="Q61" s="58">
        <v>9310000</v>
      </c>
      <c r="R61" s="58">
        <v>9626000</v>
      </c>
      <c r="S61" s="58">
        <v>9420000</v>
      </c>
      <c r="T61" s="58">
        <v>9885000</v>
      </c>
      <c r="U61" s="58">
        <v>7241000</v>
      </c>
      <c r="V61" s="58">
        <v>7241000</v>
      </c>
      <c r="W61" s="58">
        <v>7241000</v>
      </c>
      <c r="X61" s="58">
        <v>7241000</v>
      </c>
      <c r="Y61" s="58">
        <v>7186000</v>
      </c>
      <c r="Z61" s="58">
        <v>7535000</v>
      </c>
      <c r="AA61" s="58">
        <v>7535000</v>
      </c>
      <c r="AB61" s="58">
        <v>7462000</v>
      </c>
      <c r="AC61" s="58">
        <v>7241000</v>
      </c>
      <c r="AD61" s="58">
        <v>7167000</v>
      </c>
      <c r="AE61" s="58">
        <v>7167000</v>
      </c>
      <c r="AF61" s="58">
        <v>7167000</v>
      </c>
      <c r="AG61" s="58">
        <v>6381000</v>
      </c>
      <c r="AH61" s="58">
        <v>6027000</v>
      </c>
      <c r="AI61" s="58">
        <v>6027000</v>
      </c>
      <c r="AJ61" s="58">
        <v>6381000</v>
      </c>
      <c r="AK61" s="58">
        <v>8676000</v>
      </c>
    </row>
  </sheetData>
  <mergeCells count="38">
    <mergeCell ref="A1:A2"/>
    <mergeCell ref="B1:F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I2:AI3"/>
    <mergeCell ref="AJ2:AJ3"/>
    <mergeCell ref="AK2:AK3"/>
    <mergeCell ref="AB2:AB3"/>
    <mergeCell ref="AC2:AC3"/>
    <mergeCell ref="AD2:AD3"/>
    <mergeCell ref="AE2:AE3"/>
    <mergeCell ref="AF2:AF3"/>
    <mergeCell ref="AG2:AG3"/>
    <mergeCell ref="AH2:A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J87"/>
  <sheetViews>
    <sheetView zoomScale="115" zoomScaleNormal="115" workbookViewId="0">
      <pane xSplit="2" ySplit="4" topLeftCell="J20" activePane="bottomRight" state="frozen"/>
      <selection pane="topRight" activeCell="C1" sqref="C1"/>
      <selection pane="bottomLeft" activeCell="A5" sqref="A5"/>
      <selection pane="bottomRight" activeCell="B5" sqref="B5"/>
    </sheetView>
  </sheetViews>
  <sheetFormatPr defaultColWidth="12.5703125" defaultRowHeight="15.75" customHeight="1" x14ac:dyDescent="0.2"/>
  <cols>
    <col min="1" max="1" width="5.42578125" customWidth="1"/>
    <col min="2" max="2" width="31.28515625" bestFit="1" customWidth="1"/>
    <col min="3" max="3" width="10.28515625" customWidth="1"/>
    <col min="18" max="18" width="9.7109375" customWidth="1"/>
    <col min="33" max="33" width="8.5703125" customWidth="1"/>
    <col min="48" max="48" width="9.7109375" customWidth="1"/>
  </cols>
  <sheetData>
    <row r="1" spans="1:62" ht="33.75" customHeight="1" x14ac:dyDescent="0.2">
      <c r="A1" s="281" t="s">
        <v>241</v>
      </c>
      <c r="B1" s="271"/>
      <c r="C1" s="282" t="s">
        <v>242</v>
      </c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83" t="s">
        <v>243</v>
      </c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  <c r="AE1" s="271"/>
      <c r="AF1" s="271"/>
      <c r="AG1" s="284" t="s">
        <v>244</v>
      </c>
      <c r="AH1" s="271"/>
      <c r="AI1" s="271"/>
      <c r="AJ1" s="271"/>
      <c r="AK1" s="271"/>
      <c r="AL1" s="271"/>
      <c r="AM1" s="271"/>
      <c r="AN1" s="271"/>
      <c r="AO1" s="271"/>
      <c r="AP1" s="271"/>
      <c r="AQ1" s="271"/>
      <c r="AR1" s="271"/>
      <c r="AS1" s="271"/>
      <c r="AT1" s="271"/>
      <c r="AU1" s="271"/>
      <c r="AV1" s="285" t="s">
        <v>245</v>
      </c>
      <c r="AW1" s="286"/>
      <c r="AX1" s="286"/>
      <c r="AY1" s="286"/>
      <c r="AZ1" s="286"/>
      <c r="BA1" s="286"/>
      <c r="BB1" s="286"/>
      <c r="BC1" s="286"/>
      <c r="BD1" s="286"/>
      <c r="BE1" s="286"/>
      <c r="BF1" s="286"/>
      <c r="BG1" s="286"/>
      <c r="BH1" s="286"/>
      <c r="BI1" s="286"/>
      <c r="BJ1" s="286"/>
    </row>
    <row r="2" spans="1:62" x14ac:dyDescent="0.25">
      <c r="A2" s="287">
        <v>46175</v>
      </c>
      <c r="B2" s="286"/>
      <c r="C2" s="288" t="s">
        <v>246</v>
      </c>
      <c r="D2" s="291" t="s">
        <v>247</v>
      </c>
      <c r="E2" s="291" t="s">
        <v>248</v>
      </c>
      <c r="F2" s="291" t="s">
        <v>249</v>
      </c>
      <c r="G2" s="291" t="s">
        <v>250</v>
      </c>
      <c r="H2" s="291" t="s">
        <v>251</v>
      </c>
      <c r="I2" s="291" t="s">
        <v>252</v>
      </c>
      <c r="J2" s="291" t="s">
        <v>253</v>
      </c>
      <c r="K2" s="291" t="s">
        <v>254</v>
      </c>
      <c r="L2" s="291" t="s">
        <v>255</v>
      </c>
      <c r="M2" s="291" t="s">
        <v>256</v>
      </c>
      <c r="N2" s="291" t="s">
        <v>257</v>
      </c>
      <c r="O2" s="291" t="s">
        <v>258</v>
      </c>
      <c r="P2" s="291" t="s">
        <v>259</v>
      </c>
      <c r="Q2" s="291" t="s">
        <v>260</v>
      </c>
      <c r="R2" s="292" t="s">
        <v>261</v>
      </c>
      <c r="S2" s="289" t="s">
        <v>247</v>
      </c>
      <c r="T2" s="289" t="s">
        <v>248</v>
      </c>
      <c r="U2" s="289" t="s">
        <v>249</v>
      </c>
      <c r="V2" s="289" t="s">
        <v>250</v>
      </c>
      <c r="W2" s="289" t="s">
        <v>251</v>
      </c>
      <c r="X2" s="289" t="s">
        <v>252</v>
      </c>
      <c r="Y2" s="289" t="s">
        <v>253</v>
      </c>
      <c r="Z2" s="289" t="s">
        <v>254</v>
      </c>
      <c r="AA2" s="289" t="s">
        <v>255</v>
      </c>
      <c r="AB2" s="289" t="s">
        <v>256</v>
      </c>
      <c r="AC2" s="289" t="s">
        <v>257</v>
      </c>
      <c r="AD2" s="289" t="s">
        <v>258</v>
      </c>
      <c r="AE2" s="289" t="s">
        <v>259</v>
      </c>
      <c r="AF2" s="289" t="s">
        <v>260</v>
      </c>
      <c r="AG2" s="290" t="s">
        <v>262</v>
      </c>
      <c r="AH2" s="278" t="s">
        <v>247</v>
      </c>
      <c r="AI2" s="278" t="s">
        <v>248</v>
      </c>
      <c r="AJ2" s="278" t="s">
        <v>249</v>
      </c>
      <c r="AK2" s="278" t="s">
        <v>250</v>
      </c>
      <c r="AL2" s="278" t="s">
        <v>251</v>
      </c>
      <c r="AM2" s="278" t="s">
        <v>252</v>
      </c>
      <c r="AN2" s="278" t="s">
        <v>253</v>
      </c>
      <c r="AO2" s="278" t="s">
        <v>254</v>
      </c>
      <c r="AP2" s="278" t="s">
        <v>255</v>
      </c>
      <c r="AQ2" s="278" t="s">
        <v>256</v>
      </c>
      <c r="AR2" s="278" t="s">
        <v>257</v>
      </c>
      <c r="AS2" s="278" t="s">
        <v>258</v>
      </c>
      <c r="AT2" s="278" t="s">
        <v>259</v>
      </c>
      <c r="AU2" s="278" t="s">
        <v>260</v>
      </c>
      <c r="AV2" s="279" t="s">
        <v>263</v>
      </c>
      <c r="AW2" s="276" t="s">
        <v>247</v>
      </c>
      <c r="AX2" s="276" t="s">
        <v>248</v>
      </c>
      <c r="AY2" s="276" t="s">
        <v>249</v>
      </c>
      <c r="AZ2" s="276" t="s">
        <v>250</v>
      </c>
      <c r="BA2" s="276" t="s">
        <v>251</v>
      </c>
      <c r="BB2" s="276" t="s">
        <v>252</v>
      </c>
      <c r="BC2" s="276" t="s">
        <v>253</v>
      </c>
      <c r="BD2" s="276" t="s">
        <v>254</v>
      </c>
      <c r="BE2" s="276" t="s">
        <v>255</v>
      </c>
      <c r="BF2" s="276" t="s">
        <v>256</v>
      </c>
      <c r="BG2" s="276" t="s">
        <v>257</v>
      </c>
      <c r="BH2" s="276" t="s">
        <v>258</v>
      </c>
      <c r="BI2" s="276" t="s">
        <v>259</v>
      </c>
      <c r="BJ2" s="276" t="s">
        <v>260</v>
      </c>
    </row>
    <row r="3" spans="1:62" ht="22.5" customHeight="1" x14ac:dyDescent="0.2">
      <c r="A3" s="61" t="s">
        <v>264</v>
      </c>
      <c r="B3" s="61"/>
      <c r="C3" s="280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80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269"/>
      <c r="AD3" s="269"/>
      <c r="AE3" s="269"/>
      <c r="AF3" s="269"/>
      <c r="AG3" s="280"/>
      <c r="AH3" s="269"/>
      <c r="AI3" s="269"/>
      <c r="AJ3" s="269"/>
      <c r="AK3" s="269"/>
      <c r="AL3" s="269"/>
      <c r="AM3" s="269"/>
      <c r="AN3" s="269"/>
      <c r="AO3" s="269"/>
      <c r="AP3" s="269"/>
      <c r="AQ3" s="269"/>
      <c r="AR3" s="269"/>
      <c r="AS3" s="269"/>
      <c r="AT3" s="269"/>
      <c r="AU3" s="269"/>
      <c r="AV3" s="280"/>
      <c r="AW3" s="277"/>
      <c r="AX3" s="277"/>
      <c r="AY3" s="277"/>
      <c r="AZ3" s="277"/>
      <c r="BA3" s="277"/>
      <c r="BB3" s="277"/>
      <c r="BC3" s="277"/>
      <c r="BD3" s="277"/>
      <c r="BE3" s="277"/>
      <c r="BF3" s="277"/>
      <c r="BG3" s="277"/>
      <c r="BH3" s="277"/>
      <c r="BI3" s="277"/>
      <c r="BJ3" s="277"/>
    </row>
    <row r="4" spans="1:62" x14ac:dyDescent="0.25">
      <c r="A4" s="62" t="s">
        <v>265</v>
      </c>
      <c r="B4" s="63" t="s">
        <v>266</v>
      </c>
      <c r="C4" s="269"/>
      <c r="D4" s="64" t="s">
        <v>267</v>
      </c>
      <c r="E4" s="64" t="s">
        <v>267</v>
      </c>
      <c r="F4" s="64" t="s">
        <v>267</v>
      </c>
      <c r="G4" s="64" t="s">
        <v>267</v>
      </c>
      <c r="H4" s="64" t="s">
        <v>267</v>
      </c>
      <c r="I4" s="64" t="s">
        <v>267</v>
      </c>
      <c r="J4" s="64" t="s">
        <v>267</v>
      </c>
      <c r="K4" s="64" t="s">
        <v>267</v>
      </c>
      <c r="L4" s="64" t="s">
        <v>267</v>
      </c>
      <c r="M4" s="64" t="s">
        <v>267</v>
      </c>
      <c r="N4" s="64" t="s">
        <v>267</v>
      </c>
      <c r="O4" s="64" t="s">
        <v>267</v>
      </c>
      <c r="P4" s="64" t="s">
        <v>267</v>
      </c>
      <c r="Q4" s="64" t="s">
        <v>267</v>
      </c>
      <c r="R4" s="269"/>
      <c r="S4" s="65" t="s">
        <v>267</v>
      </c>
      <c r="T4" s="65" t="s">
        <v>267</v>
      </c>
      <c r="U4" s="65" t="s">
        <v>267</v>
      </c>
      <c r="V4" s="65" t="s">
        <v>267</v>
      </c>
      <c r="W4" s="65" t="s">
        <v>267</v>
      </c>
      <c r="X4" s="65" t="s">
        <v>267</v>
      </c>
      <c r="Y4" s="65" t="s">
        <v>267</v>
      </c>
      <c r="Z4" s="65" t="s">
        <v>267</v>
      </c>
      <c r="AA4" s="65" t="s">
        <v>267</v>
      </c>
      <c r="AB4" s="65" t="s">
        <v>267</v>
      </c>
      <c r="AC4" s="65" t="s">
        <v>267</v>
      </c>
      <c r="AD4" s="65" t="s">
        <v>267</v>
      </c>
      <c r="AE4" s="65" t="s">
        <v>267</v>
      </c>
      <c r="AF4" s="65" t="s">
        <v>267</v>
      </c>
      <c r="AG4" s="269"/>
      <c r="AH4" s="66" t="s">
        <v>267</v>
      </c>
      <c r="AI4" s="66" t="s">
        <v>267</v>
      </c>
      <c r="AJ4" s="66" t="s">
        <v>267</v>
      </c>
      <c r="AK4" s="66" t="s">
        <v>267</v>
      </c>
      <c r="AL4" s="66" t="s">
        <v>267</v>
      </c>
      <c r="AM4" s="66" t="s">
        <v>267</v>
      </c>
      <c r="AN4" s="66" t="s">
        <v>267</v>
      </c>
      <c r="AO4" s="66" t="s">
        <v>267</v>
      </c>
      <c r="AP4" s="66" t="s">
        <v>267</v>
      </c>
      <c r="AQ4" s="66" t="s">
        <v>267</v>
      </c>
      <c r="AR4" s="66" t="s">
        <v>267</v>
      </c>
      <c r="AS4" s="66" t="s">
        <v>267</v>
      </c>
      <c r="AT4" s="66" t="s">
        <v>267</v>
      </c>
      <c r="AU4" s="66" t="s">
        <v>267</v>
      </c>
      <c r="AV4" s="269"/>
      <c r="AW4" s="67" t="s">
        <v>267</v>
      </c>
      <c r="AX4" s="67" t="s">
        <v>267</v>
      </c>
      <c r="AY4" s="67" t="s">
        <v>267</v>
      </c>
      <c r="AZ4" s="67" t="s">
        <v>267</v>
      </c>
      <c r="BA4" s="67" t="s">
        <v>267</v>
      </c>
      <c r="BB4" s="67" t="s">
        <v>267</v>
      </c>
      <c r="BC4" s="67" t="s">
        <v>267</v>
      </c>
      <c r="BD4" s="67" t="s">
        <v>267</v>
      </c>
      <c r="BE4" s="67" t="s">
        <v>267</v>
      </c>
      <c r="BF4" s="67" t="s">
        <v>267</v>
      </c>
      <c r="BG4" s="67" t="s">
        <v>267</v>
      </c>
      <c r="BH4" s="67" t="s">
        <v>267</v>
      </c>
      <c r="BI4" s="67" t="s">
        <v>267</v>
      </c>
      <c r="BJ4" s="67" t="s">
        <v>267</v>
      </c>
    </row>
    <row r="5" spans="1:62" ht="20.25" x14ac:dyDescent="0.3">
      <c r="A5" s="48"/>
      <c r="B5" s="68" t="s">
        <v>268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24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</row>
    <row r="6" spans="1:62" ht="12.75" x14ac:dyDescent="0.2">
      <c r="A6" s="70">
        <v>1</v>
      </c>
      <c r="B6" s="51" t="s">
        <v>269</v>
      </c>
      <c r="C6" s="71">
        <v>5</v>
      </c>
      <c r="D6" s="72">
        <v>5069000</v>
      </c>
      <c r="E6" s="72">
        <v>6909000</v>
      </c>
      <c r="F6" s="72">
        <v>5280000</v>
      </c>
      <c r="G6" s="72">
        <v>8015000</v>
      </c>
      <c r="H6" s="72">
        <v>7919000</v>
      </c>
      <c r="I6" s="72">
        <v>5703000</v>
      </c>
      <c r="J6" s="72">
        <v>6232000</v>
      </c>
      <c r="K6" s="72">
        <v>9273000</v>
      </c>
      <c r="L6" s="72">
        <v>9852000</v>
      </c>
      <c r="M6" s="72">
        <v>6581000</v>
      </c>
      <c r="N6" s="72">
        <v>6190000</v>
      </c>
      <c r="O6" s="72">
        <v>6190000</v>
      </c>
      <c r="P6" s="72">
        <v>9369000</v>
      </c>
      <c r="Q6" s="72">
        <v>10353000</v>
      </c>
      <c r="R6" s="71">
        <v>5</v>
      </c>
      <c r="S6" s="72">
        <v>4521000</v>
      </c>
      <c r="T6" s="72">
        <v>6361000</v>
      </c>
      <c r="U6" s="72">
        <v>4732000</v>
      </c>
      <c r="V6" s="72">
        <v>7467000</v>
      </c>
      <c r="W6" s="72">
        <v>7371000</v>
      </c>
      <c r="X6" s="72">
        <v>5155000</v>
      </c>
      <c r="Y6" s="72">
        <v>5684000</v>
      </c>
      <c r="Z6" s="72">
        <v>8725000</v>
      </c>
      <c r="AA6" s="72">
        <v>9304000</v>
      </c>
      <c r="AB6" s="72">
        <v>6033000</v>
      </c>
      <c r="AC6" s="72">
        <v>5642000</v>
      </c>
      <c r="AD6" s="72">
        <v>5642000</v>
      </c>
      <c r="AE6" s="72">
        <v>8821000</v>
      </c>
      <c r="AF6" s="72">
        <v>9805000</v>
      </c>
      <c r="AG6" s="71">
        <v>2</v>
      </c>
      <c r="AH6" s="72">
        <v>4972000</v>
      </c>
      <c r="AI6" s="72">
        <v>6812000</v>
      </c>
      <c r="AJ6" s="72">
        <v>5183000</v>
      </c>
      <c r="AK6" s="72">
        <v>7918000</v>
      </c>
      <c r="AL6" s="72">
        <v>7822000</v>
      </c>
      <c r="AM6" s="72">
        <v>5606000</v>
      </c>
      <c r="AN6" s="72">
        <v>6135000</v>
      </c>
      <c r="AO6" s="72">
        <v>9176000</v>
      </c>
      <c r="AP6" s="72">
        <v>9755000</v>
      </c>
      <c r="AQ6" s="72">
        <v>6484000</v>
      </c>
      <c r="AR6" s="72">
        <v>6093000</v>
      </c>
      <c r="AS6" s="72">
        <v>6093000</v>
      </c>
      <c r="AT6" s="72">
        <v>9272000</v>
      </c>
      <c r="AU6" s="72">
        <v>10256000</v>
      </c>
      <c r="AV6" s="73">
        <v>2</v>
      </c>
      <c r="AW6" s="72">
        <v>11313000</v>
      </c>
      <c r="AX6" s="72">
        <v>13153000</v>
      </c>
      <c r="AY6" s="72">
        <v>11524000</v>
      </c>
      <c r="AZ6" s="72">
        <v>14259000</v>
      </c>
      <c r="BA6" s="72">
        <v>14163000</v>
      </c>
      <c r="BB6" s="72">
        <v>11947000</v>
      </c>
      <c r="BC6" s="72">
        <v>12476000</v>
      </c>
      <c r="BD6" s="72">
        <v>15517000</v>
      </c>
      <c r="BE6" s="72">
        <v>16096000</v>
      </c>
      <c r="BF6" s="72">
        <v>12825000</v>
      </c>
      <c r="BG6" s="72">
        <v>12434000</v>
      </c>
      <c r="BH6" s="72">
        <v>12434000</v>
      </c>
      <c r="BI6" s="72">
        <v>15613000</v>
      </c>
      <c r="BJ6" s="72">
        <v>16597000</v>
      </c>
    </row>
    <row r="7" spans="1:62" ht="12.75" x14ac:dyDescent="0.2">
      <c r="A7" s="70">
        <v>2</v>
      </c>
      <c r="B7" s="51" t="s">
        <v>270</v>
      </c>
      <c r="C7" s="71">
        <v>5</v>
      </c>
      <c r="D7" s="72">
        <v>5213000</v>
      </c>
      <c r="E7" s="72">
        <v>7285000</v>
      </c>
      <c r="F7" s="72">
        <v>5451000</v>
      </c>
      <c r="G7" s="72">
        <v>8531000</v>
      </c>
      <c r="H7" s="72">
        <v>8423000</v>
      </c>
      <c r="I7" s="72">
        <v>5928000</v>
      </c>
      <c r="J7" s="72">
        <v>6523000</v>
      </c>
      <c r="K7" s="72">
        <v>9947000</v>
      </c>
      <c r="L7" s="72">
        <v>10599000</v>
      </c>
      <c r="M7" s="72">
        <v>6916000</v>
      </c>
      <c r="N7" s="72">
        <v>6475000</v>
      </c>
      <c r="O7" s="72">
        <v>6475000</v>
      </c>
      <c r="P7" s="72">
        <v>10055000</v>
      </c>
      <c r="Q7" s="72">
        <v>11163000</v>
      </c>
      <c r="R7" s="71">
        <v>5</v>
      </c>
      <c r="S7" s="72">
        <v>4657000</v>
      </c>
      <c r="T7" s="72">
        <v>6729000</v>
      </c>
      <c r="U7" s="72">
        <v>4896000</v>
      </c>
      <c r="V7" s="72">
        <v>7975000</v>
      </c>
      <c r="W7" s="72">
        <v>7867000</v>
      </c>
      <c r="X7" s="72">
        <v>5372000</v>
      </c>
      <c r="Y7" s="72">
        <v>5967000</v>
      </c>
      <c r="Z7" s="72">
        <v>9391000</v>
      </c>
      <c r="AA7" s="72">
        <v>10043000</v>
      </c>
      <c r="AB7" s="72">
        <v>6360000</v>
      </c>
      <c r="AC7" s="72">
        <v>5920000</v>
      </c>
      <c r="AD7" s="72">
        <v>5920000</v>
      </c>
      <c r="AE7" s="72">
        <v>9500000</v>
      </c>
      <c r="AF7" s="72">
        <v>10607000</v>
      </c>
      <c r="AG7" s="71">
        <v>2</v>
      </c>
      <c r="AH7" s="72">
        <v>5110000</v>
      </c>
      <c r="AI7" s="72">
        <v>7182000</v>
      </c>
      <c r="AJ7" s="72">
        <v>5348000</v>
      </c>
      <c r="AK7" s="72">
        <v>8427000</v>
      </c>
      <c r="AL7" s="72">
        <v>8319000</v>
      </c>
      <c r="AM7" s="72">
        <v>5824000</v>
      </c>
      <c r="AN7" s="72">
        <v>6420000</v>
      </c>
      <c r="AO7" s="72">
        <v>9844000</v>
      </c>
      <c r="AP7" s="72">
        <v>10495000</v>
      </c>
      <c r="AQ7" s="72">
        <v>6813000</v>
      </c>
      <c r="AR7" s="72">
        <v>6372000</v>
      </c>
      <c r="AS7" s="72">
        <v>6372000</v>
      </c>
      <c r="AT7" s="72">
        <v>9952000</v>
      </c>
      <c r="AU7" s="72">
        <v>11060000</v>
      </c>
      <c r="AV7" s="73">
        <v>2</v>
      </c>
      <c r="AW7" s="72">
        <v>11518000</v>
      </c>
      <c r="AX7" s="72">
        <v>13590000</v>
      </c>
      <c r="AY7" s="72">
        <v>11756000</v>
      </c>
      <c r="AZ7" s="72">
        <v>14836000</v>
      </c>
      <c r="BA7" s="72">
        <v>14728000</v>
      </c>
      <c r="BB7" s="72">
        <v>12233000</v>
      </c>
      <c r="BC7" s="72">
        <v>12828000</v>
      </c>
      <c r="BD7" s="72">
        <v>16252000</v>
      </c>
      <c r="BE7" s="72">
        <v>16904000</v>
      </c>
      <c r="BF7" s="72">
        <v>13221000</v>
      </c>
      <c r="BG7" s="72">
        <v>12781000</v>
      </c>
      <c r="BH7" s="72">
        <v>12781000</v>
      </c>
      <c r="BI7" s="72">
        <v>16360000</v>
      </c>
      <c r="BJ7" s="72">
        <v>17468000</v>
      </c>
    </row>
    <row r="8" spans="1:62" ht="12.75" x14ac:dyDescent="0.2">
      <c r="A8" s="70">
        <v>3</v>
      </c>
      <c r="B8" s="51" t="s">
        <v>271</v>
      </c>
      <c r="C8" s="71">
        <v>5</v>
      </c>
      <c r="D8" s="72">
        <v>5300000</v>
      </c>
      <c r="E8" s="72">
        <v>7511000</v>
      </c>
      <c r="F8" s="72">
        <v>5554000</v>
      </c>
      <c r="G8" s="72">
        <v>8840000</v>
      </c>
      <c r="H8" s="72">
        <v>8725000</v>
      </c>
      <c r="I8" s="72">
        <v>6062000</v>
      </c>
      <c r="J8" s="72">
        <v>6698000</v>
      </c>
      <c r="K8" s="72">
        <v>10352000</v>
      </c>
      <c r="L8" s="72">
        <v>11047000</v>
      </c>
      <c r="M8" s="72">
        <v>7117000</v>
      </c>
      <c r="N8" s="72">
        <v>6647000</v>
      </c>
      <c r="O8" s="72">
        <v>6647000</v>
      </c>
      <c r="P8" s="72">
        <v>10467000</v>
      </c>
      <c r="Q8" s="72">
        <v>11649000</v>
      </c>
      <c r="R8" s="71">
        <v>5</v>
      </c>
      <c r="S8" s="72">
        <v>4739000</v>
      </c>
      <c r="T8" s="72">
        <v>6951000</v>
      </c>
      <c r="U8" s="72">
        <v>4994000</v>
      </c>
      <c r="V8" s="72">
        <v>8280000</v>
      </c>
      <c r="W8" s="72">
        <v>8164000</v>
      </c>
      <c r="X8" s="72">
        <v>5502000</v>
      </c>
      <c r="Y8" s="72">
        <v>6137000</v>
      </c>
      <c r="Z8" s="72">
        <v>9791000</v>
      </c>
      <c r="AA8" s="72">
        <v>10486000</v>
      </c>
      <c r="AB8" s="72">
        <v>6557000</v>
      </c>
      <c r="AC8" s="72">
        <v>6086000</v>
      </c>
      <c r="AD8" s="72">
        <v>6086000</v>
      </c>
      <c r="AE8" s="72">
        <v>9907000</v>
      </c>
      <c r="AF8" s="72">
        <v>11088000</v>
      </c>
      <c r="AG8" s="71">
        <v>2</v>
      </c>
      <c r="AH8" s="72">
        <v>5193000</v>
      </c>
      <c r="AI8" s="72">
        <v>7404000</v>
      </c>
      <c r="AJ8" s="72">
        <v>5447000</v>
      </c>
      <c r="AK8" s="72">
        <v>8733000</v>
      </c>
      <c r="AL8" s="72">
        <v>8618000</v>
      </c>
      <c r="AM8" s="72">
        <v>5955000</v>
      </c>
      <c r="AN8" s="72">
        <v>6591000</v>
      </c>
      <c r="AO8" s="72">
        <v>10245000</v>
      </c>
      <c r="AP8" s="72">
        <v>10940000</v>
      </c>
      <c r="AQ8" s="72">
        <v>7010000</v>
      </c>
      <c r="AR8" s="72">
        <v>6540000</v>
      </c>
      <c r="AS8" s="72">
        <v>6540000</v>
      </c>
      <c r="AT8" s="72">
        <v>10360000</v>
      </c>
      <c r="AU8" s="72">
        <v>11542000</v>
      </c>
      <c r="AV8" s="73">
        <v>2</v>
      </c>
      <c r="AW8" s="72">
        <v>11641000</v>
      </c>
      <c r="AX8" s="72">
        <v>13853000</v>
      </c>
      <c r="AY8" s="72">
        <v>11896000</v>
      </c>
      <c r="AZ8" s="72">
        <v>15182000</v>
      </c>
      <c r="BA8" s="72">
        <v>15066000</v>
      </c>
      <c r="BB8" s="72">
        <v>12404000</v>
      </c>
      <c r="BC8" s="72">
        <v>13039000</v>
      </c>
      <c r="BD8" s="72">
        <v>16693000</v>
      </c>
      <c r="BE8" s="72">
        <v>17388000</v>
      </c>
      <c r="BF8" s="72">
        <v>13459000</v>
      </c>
      <c r="BG8" s="72">
        <v>12988000</v>
      </c>
      <c r="BH8" s="72">
        <v>12988000</v>
      </c>
      <c r="BI8" s="72">
        <v>16809000</v>
      </c>
      <c r="BJ8" s="72">
        <v>17990000</v>
      </c>
    </row>
    <row r="9" spans="1:62" ht="12.75" x14ac:dyDescent="0.2">
      <c r="A9" s="70">
        <v>4</v>
      </c>
      <c r="B9" s="51" t="s">
        <v>272</v>
      </c>
      <c r="C9" s="71">
        <v>5</v>
      </c>
      <c r="D9" s="72">
        <v>5358000</v>
      </c>
      <c r="E9" s="72">
        <v>7662000</v>
      </c>
      <c r="F9" s="72">
        <v>5623000</v>
      </c>
      <c r="G9" s="72">
        <v>9046000</v>
      </c>
      <c r="H9" s="72">
        <v>8926000</v>
      </c>
      <c r="I9" s="72">
        <v>6152000</v>
      </c>
      <c r="J9" s="72">
        <v>6814000</v>
      </c>
      <c r="K9" s="72">
        <v>10621000</v>
      </c>
      <c r="L9" s="72">
        <v>11346000</v>
      </c>
      <c r="M9" s="72">
        <v>7251000</v>
      </c>
      <c r="N9" s="72">
        <v>6761000</v>
      </c>
      <c r="O9" s="72">
        <v>6761000</v>
      </c>
      <c r="P9" s="72">
        <v>10742000</v>
      </c>
      <c r="Q9" s="72">
        <v>11973000</v>
      </c>
      <c r="R9" s="71">
        <v>5</v>
      </c>
      <c r="S9" s="72">
        <v>4794000</v>
      </c>
      <c r="T9" s="72">
        <v>7098000</v>
      </c>
      <c r="U9" s="72">
        <v>5059000</v>
      </c>
      <c r="V9" s="72">
        <v>8483000</v>
      </c>
      <c r="W9" s="72">
        <v>8363000</v>
      </c>
      <c r="X9" s="72">
        <v>5589000</v>
      </c>
      <c r="Y9" s="72">
        <v>6251000</v>
      </c>
      <c r="Z9" s="72">
        <v>10058000</v>
      </c>
      <c r="AA9" s="72">
        <v>10782000</v>
      </c>
      <c r="AB9" s="72">
        <v>6687000</v>
      </c>
      <c r="AC9" s="72">
        <v>6198000</v>
      </c>
      <c r="AD9" s="72">
        <v>6198000</v>
      </c>
      <c r="AE9" s="72">
        <v>10178000</v>
      </c>
      <c r="AF9" s="72">
        <v>11409000</v>
      </c>
      <c r="AG9" s="71">
        <v>2</v>
      </c>
      <c r="AH9" s="72">
        <v>5248000</v>
      </c>
      <c r="AI9" s="72">
        <v>7552000</v>
      </c>
      <c r="AJ9" s="72">
        <v>5513000</v>
      </c>
      <c r="AK9" s="72">
        <v>8937000</v>
      </c>
      <c r="AL9" s="72">
        <v>8817000</v>
      </c>
      <c r="AM9" s="72">
        <v>6043000</v>
      </c>
      <c r="AN9" s="72">
        <v>6705000</v>
      </c>
      <c r="AO9" s="72">
        <v>10512000</v>
      </c>
      <c r="AP9" s="72">
        <v>11236000</v>
      </c>
      <c r="AQ9" s="72">
        <v>7142000</v>
      </c>
      <c r="AR9" s="72">
        <v>6652000</v>
      </c>
      <c r="AS9" s="72">
        <v>6652000</v>
      </c>
      <c r="AT9" s="72">
        <v>10632000</v>
      </c>
      <c r="AU9" s="72">
        <v>11863000</v>
      </c>
      <c r="AV9" s="73">
        <v>2</v>
      </c>
      <c r="AW9" s="72">
        <v>11724000</v>
      </c>
      <c r="AX9" s="72">
        <v>14028000</v>
      </c>
      <c r="AY9" s="72">
        <v>11988000</v>
      </c>
      <c r="AZ9" s="72">
        <v>15412000</v>
      </c>
      <c r="BA9" s="72">
        <v>15292000</v>
      </c>
      <c r="BB9" s="72">
        <v>12518000</v>
      </c>
      <c r="BC9" s="72">
        <v>13180000</v>
      </c>
      <c r="BD9" s="72">
        <v>16987000</v>
      </c>
      <c r="BE9" s="72">
        <v>17711000</v>
      </c>
      <c r="BF9" s="72">
        <v>13617000</v>
      </c>
      <c r="BG9" s="72">
        <v>13127000</v>
      </c>
      <c r="BH9" s="72">
        <v>13127000</v>
      </c>
      <c r="BI9" s="72">
        <v>17107000</v>
      </c>
      <c r="BJ9" s="72">
        <v>18339000</v>
      </c>
    </row>
    <row r="10" spans="1:62" ht="12.75" x14ac:dyDescent="0.2">
      <c r="A10" s="70">
        <v>5</v>
      </c>
      <c r="B10" s="51" t="s">
        <v>273</v>
      </c>
      <c r="C10" s="71">
        <v>5</v>
      </c>
      <c r="D10" s="72">
        <v>5502000</v>
      </c>
      <c r="E10" s="72">
        <v>8038000</v>
      </c>
      <c r="F10" s="72">
        <v>5794000</v>
      </c>
      <c r="G10" s="72">
        <v>9562000</v>
      </c>
      <c r="H10" s="72">
        <v>9430000</v>
      </c>
      <c r="I10" s="72">
        <v>6377000</v>
      </c>
      <c r="J10" s="72">
        <v>7105000</v>
      </c>
      <c r="K10" s="72">
        <v>11296000</v>
      </c>
      <c r="L10" s="72">
        <v>12093000</v>
      </c>
      <c r="M10" s="72">
        <v>7586000</v>
      </c>
      <c r="N10" s="72">
        <v>7047000</v>
      </c>
      <c r="O10" s="72">
        <v>7047000</v>
      </c>
      <c r="P10" s="72">
        <v>11428000</v>
      </c>
      <c r="Q10" s="72">
        <v>12783000</v>
      </c>
      <c r="R10" s="71">
        <v>5</v>
      </c>
      <c r="S10" s="72">
        <v>4931000</v>
      </c>
      <c r="T10" s="72">
        <v>7467000</v>
      </c>
      <c r="U10" s="72">
        <v>5222000</v>
      </c>
      <c r="V10" s="72">
        <v>8991000</v>
      </c>
      <c r="W10" s="72">
        <v>8858000</v>
      </c>
      <c r="X10" s="72">
        <v>5805000</v>
      </c>
      <c r="Y10" s="72">
        <v>6534000</v>
      </c>
      <c r="Z10" s="72">
        <v>10724000</v>
      </c>
      <c r="AA10" s="72">
        <v>11521000</v>
      </c>
      <c r="AB10" s="72">
        <v>7015000</v>
      </c>
      <c r="AC10" s="72">
        <v>6476000</v>
      </c>
      <c r="AD10" s="72">
        <v>6476000</v>
      </c>
      <c r="AE10" s="72">
        <v>10856000</v>
      </c>
      <c r="AF10" s="72">
        <v>12212000</v>
      </c>
      <c r="AG10" s="71">
        <v>2</v>
      </c>
      <c r="AH10" s="72">
        <v>5387000</v>
      </c>
      <c r="AI10" s="72">
        <v>7922000</v>
      </c>
      <c r="AJ10" s="72">
        <v>5678000</v>
      </c>
      <c r="AK10" s="72">
        <v>9446000</v>
      </c>
      <c r="AL10" s="72">
        <v>9314000</v>
      </c>
      <c r="AM10" s="72">
        <v>6261000</v>
      </c>
      <c r="AN10" s="72">
        <v>6990000</v>
      </c>
      <c r="AO10" s="72">
        <v>11180000</v>
      </c>
      <c r="AP10" s="72">
        <v>11977000</v>
      </c>
      <c r="AQ10" s="72">
        <v>7470000</v>
      </c>
      <c r="AR10" s="72">
        <v>6931000</v>
      </c>
      <c r="AS10" s="72">
        <v>6931000</v>
      </c>
      <c r="AT10" s="72">
        <v>11312000</v>
      </c>
      <c r="AU10" s="72">
        <v>12667000</v>
      </c>
      <c r="AV10" s="73">
        <v>2</v>
      </c>
      <c r="AW10" s="72">
        <v>11929000</v>
      </c>
      <c r="AX10" s="72">
        <v>14465000</v>
      </c>
      <c r="AY10" s="72">
        <v>12221000</v>
      </c>
      <c r="AZ10" s="72">
        <v>15989000</v>
      </c>
      <c r="BA10" s="72">
        <v>15857000</v>
      </c>
      <c r="BB10" s="72">
        <v>12803000</v>
      </c>
      <c r="BC10" s="72">
        <v>13532000</v>
      </c>
      <c r="BD10" s="72">
        <v>17722000</v>
      </c>
      <c r="BE10" s="72">
        <v>18519000</v>
      </c>
      <c r="BF10" s="72">
        <v>14013000</v>
      </c>
      <c r="BG10" s="72">
        <v>13474000</v>
      </c>
      <c r="BH10" s="72">
        <v>13474000</v>
      </c>
      <c r="BI10" s="72">
        <v>17854000</v>
      </c>
      <c r="BJ10" s="72">
        <v>19210000</v>
      </c>
    </row>
    <row r="11" spans="1:62" ht="12.75" x14ac:dyDescent="0.2">
      <c r="A11" s="70">
        <v>6</v>
      </c>
      <c r="B11" s="51" t="s">
        <v>274</v>
      </c>
      <c r="C11" s="71">
        <v>5</v>
      </c>
      <c r="D11" s="72">
        <v>5647000</v>
      </c>
      <c r="E11" s="72">
        <v>8414000</v>
      </c>
      <c r="F11" s="72">
        <v>5965000</v>
      </c>
      <c r="G11" s="72">
        <v>10078000</v>
      </c>
      <c r="H11" s="72">
        <v>9934000</v>
      </c>
      <c r="I11" s="72">
        <v>6601000</v>
      </c>
      <c r="J11" s="72">
        <v>7397000</v>
      </c>
      <c r="K11" s="72">
        <v>11970000</v>
      </c>
      <c r="L11" s="72">
        <v>12840000</v>
      </c>
      <c r="M11" s="72">
        <v>7921000</v>
      </c>
      <c r="N11" s="72">
        <v>7333000</v>
      </c>
      <c r="O11" s="72">
        <v>7333000</v>
      </c>
      <c r="P11" s="72">
        <v>12114000</v>
      </c>
      <c r="Q11" s="72">
        <v>13593000</v>
      </c>
      <c r="R11" s="71">
        <v>5</v>
      </c>
      <c r="S11" s="72">
        <v>5068000</v>
      </c>
      <c r="T11" s="72">
        <v>7835000</v>
      </c>
      <c r="U11" s="72">
        <v>5386000</v>
      </c>
      <c r="V11" s="72">
        <v>9498000</v>
      </c>
      <c r="W11" s="72">
        <v>9354000</v>
      </c>
      <c r="X11" s="72">
        <v>6022000</v>
      </c>
      <c r="Y11" s="72">
        <v>6817000</v>
      </c>
      <c r="Z11" s="72">
        <v>11390000</v>
      </c>
      <c r="AA11" s="72">
        <v>12260000</v>
      </c>
      <c r="AB11" s="72">
        <v>7342000</v>
      </c>
      <c r="AC11" s="72">
        <v>6754000</v>
      </c>
      <c r="AD11" s="72">
        <v>6754000</v>
      </c>
      <c r="AE11" s="72">
        <v>11535000</v>
      </c>
      <c r="AF11" s="72">
        <v>13014000</v>
      </c>
      <c r="AG11" s="71">
        <v>2</v>
      </c>
      <c r="AH11" s="72">
        <v>5525000</v>
      </c>
      <c r="AI11" s="72">
        <v>8293000</v>
      </c>
      <c r="AJ11" s="72">
        <v>5843000</v>
      </c>
      <c r="AK11" s="72">
        <v>9956000</v>
      </c>
      <c r="AL11" s="72">
        <v>9812000</v>
      </c>
      <c r="AM11" s="72">
        <v>6479000</v>
      </c>
      <c r="AN11" s="72">
        <v>7275000</v>
      </c>
      <c r="AO11" s="72">
        <v>11848000</v>
      </c>
      <c r="AP11" s="72">
        <v>12718000</v>
      </c>
      <c r="AQ11" s="72">
        <v>7799000</v>
      </c>
      <c r="AR11" s="72">
        <v>7211000</v>
      </c>
      <c r="AS11" s="72">
        <v>7211000</v>
      </c>
      <c r="AT11" s="72">
        <v>11992000</v>
      </c>
      <c r="AU11" s="72">
        <v>13471000</v>
      </c>
      <c r="AV11" s="73">
        <v>2</v>
      </c>
      <c r="AW11" s="72">
        <v>12134000</v>
      </c>
      <c r="AX11" s="72">
        <v>14902000</v>
      </c>
      <c r="AY11" s="72">
        <v>12453000</v>
      </c>
      <c r="AZ11" s="72">
        <v>16565000</v>
      </c>
      <c r="BA11" s="72">
        <v>16421000</v>
      </c>
      <c r="BB11" s="72">
        <v>13089000</v>
      </c>
      <c r="BC11" s="72">
        <v>13884000</v>
      </c>
      <c r="BD11" s="72">
        <v>18457000</v>
      </c>
      <c r="BE11" s="72">
        <v>19327000</v>
      </c>
      <c r="BF11" s="72">
        <v>14409000</v>
      </c>
      <c r="BG11" s="72">
        <v>13820000</v>
      </c>
      <c r="BH11" s="72">
        <v>13820000</v>
      </c>
      <c r="BI11" s="72">
        <v>18602000</v>
      </c>
      <c r="BJ11" s="72">
        <v>20081000</v>
      </c>
    </row>
    <row r="12" spans="1:62" ht="20.25" x14ac:dyDescent="0.3">
      <c r="A12" s="70"/>
      <c r="B12" s="68" t="s">
        <v>275</v>
      </c>
      <c r="C12" s="61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51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51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</row>
    <row r="13" spans="1:62" ht="12.75" x14ac:dyDescent="0.2">
      <c r="A13" s="70">
        <v>1</v>
      </c>
      <c r="B13" s="51" t="s">
        <v>276</v>
      </c>
      <c r="C13" s="71">
        <v>6</v>
      </c>
      <c r="D13" s="72">
        <v>5514000</v>
      </c>
      <c r="E13" s="72">
        <v>7479000</v>
      </c>
      <c r="F13" s="72">
        <v>5740000</v>
      </c>
      <c r="G13" s="72">
        <v>8661000</v>
      </c>
      <c r="H13" s="72">
        <v>8558000</v>
      </c>
      <c r="I13" s="72">
        <v>6192000</v>
      </c>
      <c r="J13" s="72">
        <v>6756000</v>
      </c>
      <c r="K13" s="72">
        <v>10005000</v>
      </c>
      <c r="L13" s="72">
        <v>10622000</v>
      </c>
      <c r="M13" s="72">
        <v>7129000</v>
      </c>
      <c r="N13" s="72">
        <v>6711000</v>
      </c>
      <c r="O13" s="72">
        <v>6711000</v>
      </c>
      <c r="P13" s="46"/>
      <c r="Q13" s="46"/>
      <c r="R13" s="71">
        <v>6</v>
      </c>
      <c r="S13" s="72">
        <v>4933000</v>
      </c>
      <c r="T13" s="72">
        <v>6898000</v>
      </c>
      <c r="U13" s="72">
        <v>5159000</v>
      </c>
      <c r="V13" s="72">
        <v>8080000</v>
      </c>
      <c r="W13" s="72">
        <v>7977000</v>
      </c>
      <c r="X13" s="72">
        <v>5610000</v>
      </c>
      <c r="Y13" s="72">
        <v>6175000</v>
      </c>
      <c r="Z13" s="72">
        <v>9424000</v>
      </c>
      <c r="AA13" s="72">
        <v>10041000</v>
      </c>
      <c r="AB13" s="72">
        <v>6548000</v>
      </c>
      <c r="AC13" s="72">
        <v>6130000</v>
      </c>
      <c r="AD13" s="72">
        <v>6130000</v>
      </c>
      <c r="AE13" s="46"/>
      <c r="AF13" s="46"/>
      <c r="AG13" s="51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73">
        <v>2</v>
      </c>
      <c r="AW13" s="72">
        <v>11735000</v>
      </c>
      <c r="AX13" s="72">
        <v>13701000</v>
      </c>
      <c r="AY13" s="72">
        <v>11961000</v>
      </c>
      <c r="AZ13" s="72">
        <v>14882000</v>
      </c>
      <c r="BA13" s="72">
        <v>14780000</v>
      </c>
      <c r="BB13" s="72">
        <v>12413000</v>
      </c>
      <c r="BC13" s="72">
        <v>12978000</v>
      </c>
      <c r="BD13" s="72">
        <v>16226000</v>
      </c>
      <c r="BE13" s="72">
        <v>16844000</v>
      </c>
      <c r="BF13" s="72">
        <v>13350000</v>
      </c>
      <c r="BG13" s="72">
        <v>12933000</v>
      </c>
      <c r="BH13" s="72">
        <v>12933000</v>
      </c>
      <c r="BI13" s="46"/>
      <c r="BJ13" s="46"/>
    </row>
    <row r="14" spans="1:62" ht="12.75" x14ac:dyDescent="0.2">
      <c r="A14" s="70">
        <v>2</v>
      </c>
      <c r="B14" s="51" t="s">
        <v>277</v>
      </c>
      <c r="C14" s="71">
        <v>6</v>
      </c>
      <c r="D14" s="72">
        <v>5665000</v>
      </c>
      <c r="E14" s="72">
        <v>7878000</v>
      </c>
      <c r="F14" s="72">
        <v>5919000</v>
      </c>
      <c r="G14" s="72">
        <v>9208000</v>
      </c>
      <c r="H14" s="72">
        <v>9093000</v>
      </c>
      <c r="I14" s="72">
        <v>6428000</v>
      </c>
      <c r="J14" s="72">
        <v>7064000</v>
      </c>
      <c r="K14" s="72">
        <v>10722000</v>
      </c>
      <c r="L14" s="72">
        <v>11417000</v>
      </c>
      <c r="M14" s="72">
        <v>7484000</v>
      </c>
      <c r="N14" s="72">
        <v>7013000</v>
      </c>
      <c r="O14" s="72">
        <v>7013000</v>
      </c>
      <c r="P14" s="46"/>
      <c r="Q14" s="46"/>
      <c r="R14" s="71">
        <v>6</v>
      </c>
      <c r="S14" s="72">
        <v>5076000</v>
      </c>
      <c r="T14" s="72">
        <v>7289000</v>
      </c>
      <c r="U14" s="72">
        <v>5331000</v>
      </c>
      <c r="V14" s="72">
        <v>8620000</v>
      </c>
      <c r="W14" s="72">
        <v>8504000</v>
      </c>
      <c r="X14" s="72">
        <v>5839000</v>
      </c>
      <c r="Y14" s="72">
        <v>6475000</v>
      </c>
      <c r="Z14" s="72">
        <v>10133000</v>
      </c>
      <c r="AA14" s="72">
        <v>10828000</v>
      </c>
      <c r="AB14" s="72">
        <v>6895000</v>
      </c>
      <c r="AC14" s="72">
        <v>6424000</v>
      </c>
      <c r="AD14" s="72">
        <v>6424000</v>
      </c>
      <c r="AE14" s="46"/>
      <c r="AF14" s="46"/>
      <c r="AG14" s="51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73">
        <v>2</v>
      </c>
      <c r="AW14" s="72">
        <v>11947000</v>
      </c>
      <c r="AX14" s="72">
        <v>14161000</v>
      </c>
      <c r="AY14" s="72">
        <v>12202000</v>
      </c>
      <c r="AZ14" s="72">
        <v>15491000</v>
      </c>
      <c r="BA14" s="72">
        <v>15375000</v>
      </c>
      <c r="BB14" s="72">
        <v>12710000</v>
      </c>
      <c r="BC14" s="72">
        <v>13346000</v>
      </c>
      <c r="BD14" s="72">
        <v>17004000</v>
      </c>
      <c r="BE14" s="72">
        <v>17699000</v>
      </c>
      <c r="BF14" s="72">
        <v>13766000</v>
      </c>
      <c r="BG14" s="72">
        <v>13296000</v>
      </c>
      <c r="BH14" s="72">
        <v>13296000</v>
      </c>
      <c r="BI14" s="46"/>
      <c r="BJ14" s="46"/>
    </row>
    <row r="15" spans="1:62" ht="12.75" x14ac:dyDescent="0.2">
      <c r="A15" s="70">
        <v>3</v>
      </c>
      <c r="B15" s="51" t="s">
        <v>278</v>
      </c>
      <c r="C15" s="71">
        <v>6</v>
      </c>
      <c r="D15" s="72">
        <v>5756000</v>
      </c>
      <c r="E15" s="72">
        <v>8118000</v>
      </c>
      <c r="F15" s="72">
        <v>6027000</v>
      </c>
      <c r="G15" s="72">
        <v>9537000</v>
      </c>
      <c r="H15" s="72">
        <v>9414000</v>
      </c>
      <c r="I15" s="72">
        <v>6570000</v>
      </c>
      <c r="J15" s="72">
        <v>7249000</v>
      </c>
      <c r="K15" s="72">
        <v>11152000</v>
      </c>
      <c r="L15" s="72">
        <v>11894000</v>
      </c>
      <c r="M15" s="72">
        <v>7697000</v>
      </c>
      <c r="N15" s="72">
        <v>7195000</v>
      </c>
      <c r="O15" s="72">
        <v>7195000</v>
      </c>
      <c r="P15" s="46"/>
      <c r="Q15" s="46"/>
      <c r="R15" s="71">
        <v>6</v>
      </c>
      <c r="S15" s="72">
        <v>5162000</v>
      </c>
      <c r="T15" s="72">
        <v>7524000</v>
      </c>
      <c r="U15" s="72">
        <v>5434000</v>
      </c>
      <c r="V15" s="72">
        <v>8943000</v>
      </c>
      <c r="W15" s="72">
        <v>8820000</v>
      </c>
      <c r="X15" s="72">
        <v>5977000</v>
      </c>
      <c r="Y15" s="72">
        <v>6655000</v>
      </c>
      <c r="Z15" s="72">
        <v>10558000</v>
      </c>
      <c r="AA15" s="72">
        <v>11300000</v>
      </c>
      <c r="AB15" s="72">
        <v>7103000</v>
      </c>
      <c r="AC15" s="72">
        <v>6601000</v>
      </c>
      <c r="AD15" s="72">
        <v>6601000</v>
      </c>
      <c r="AE15" s="46"/>
      <c r="AF15" s="46"/>
      <c r="AG15" s="51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73">
        <v>2</v>
      </c>
      <c r="AW15" s="72">
        <v>12075000</v>
      </c>
      <c r="AX15" s="72">
        <v>14436000</v>
      </c>
      <c r="AY15" s="72">
        <v>12346000</v>
      </c>
      <c r="AZ15" s="72">
        <v>15856000</v>
      </c>
      <c r="BA15" s="72">
        <v>15733000</v>
      </c>
      <c r="BB15" s="72">
        <v>12889000</v>
      </c>
      <c r="BC15" s="72">
        <v>13568000</v>
      </c>
      <c r="BD15" s="72">
        <v>17470000</v>
      </c>
      <c r="BE15" s="72">
        <v>18213000</v>
      </c>
      <c r="BF15" s="72">
        <v>14015000</v>
      </c>
      <c r="BG15" s="72">
        <v>13513000</v>
      </c>
      <c r="BH15" s="72">
        <v>13513000</v>
      </c>
      <c r="BI15" s="46"/>
      <c r="BJ15" s="46"/>
    </row>
    <row r="16" spans="1:62" ht="12.75" x14ac:dyDescent="0.2">
      <c r="A16" s="70">
        <v>4</v>
      </c>
      <c r="B16" s="51" t="s">
        <v>279</v>
      </c>
      <c r="C16" s="71">
        <v>6</v>
      </c>
      <c r="D16" s="72">
        <v>5816000</v>
      </c>
      <c r="E16" s="72">
        <v>8277000</v>
      </c>
      <c r="F16" s="72">
        <v>6099000</v>
      </c>
      <c r="G16" s="72">
        <v>9756000</v>
      </c>
      <c r="H16" s="72">
        <v>9628000</v>
      </c>
      <c r="I16" s="72">
        <v>6665000</v>
      </c>
      <c r="J16" s="72">
        <v>7372000</v>
      </c>
      <c r="K16" s="72">
        <v>11438000</v>
      </c>
      <c r="L16" s="72">
        <v>12212000</v>
      </c>
      <c r="M16" s="72">
        <v>7839000</v>
      </c>
      <c r="N16" s="72">
        <v>7315000</v>
      </c>
      <c r="O16" s="72">
        <v>7315000</v>
      </c>
      <c r="P16" s="46"/>
      <c r="Q16" s="46"/>
      <c r="R16" s="71">
        <v>6</v>
      </c>
      <c r="S16" s="72">
        <v>5220000</v>
      </c>
      <c r="T16" s="72">
        <v>7680000</v>
      </c>
      <c r="U16" s="72">
        <v>5503000</v>
      </c>
      <c r="V16" s="72">
        <v>9159000</v>
      </c>
      <c r="W16" s="72">
        <v>9031000</v>
      </c>
      <c r="X16" s="72">
        <v>6068000</v>
      </c>
      <c r="Y16" s="72">
        <v>6775000</v>
      </c>
      <c r="Z16" s="72">
        <v>10842000</v>
      </c>
      <c r="AA16" s="72">
        <v>11615000</v>
      </c>
      <c r="AB16" s="72">
        <v>7242000</v>
      </c>
      <c r="AC16" s="72">
        <v>6719000</v>
      </c>
      <c r="AD16" s="72">
        <v>6719000</v>
      </c>
      <c r="AE16" s="46"/>
      <c r="AF16" s="46"/>
      <c r="AG16" s="51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73">
        <v>2</v>
      </c>
      <c r="AW16" s="72">
        <v>12159000</v>
      </c>
      <c r="AX16" s="72">
        <v>14620000</v>
      </c>
      <c r="AY16" s="72">
        <v>12442000</v>
      </c>
      <c r="AZ16" s="72">
        <v>16099000</v>
      </c>
      <c r="BA16" s="72">
        <v>15971000</v>
      </c>
      <c r="BB16" s="72">
        <v>13008000</v>
      </c>
      <c r="BC16" s="72">
        <v>13715000</v>
      </c>
      <c r="BD16" s="72">
        <v>17781000</v>
      </c>
      <c r="BE16" s="72">
        <v>18555000</v>
      </c>
      <c r="BF16" s="72">
        <v>14182000</v>
      </c>
      <c r="BG16" s="72">
        <v>13659000</v>
      </c>
      <c r="BH16" s="72">
        <v>13659000</v>
      </c>
      <c r="BI16" s="46"/>
      <c r="BJ16" s="46"/>
    </row>
    <row r="17" spans="1:62" ht="12.75" x14ac:dyDescent="0.2">
      <c r="A17" s="70">
        <v>5</v>
      </c>
      <c r="B17" s="51" t="s">
        <v>280</v>
      </c>
      <c r="C17" s="71">
        <v>6</v>
      </c>
      <c r="D17" s="72">
        <v>5968000</v>
      </c>
      <c r="E17" s="72">
        <v>8676000</v>
      </c>
      <c r="F17" s="72">
        <v>6279000</v>
      </c>
      <c r="G17" s="72">
        <v>10304000</v>
      </c>
      <c r="H17" s="72">
        <v>10163000</v>
      </c>
      <c r="I17" s="72">
        <v>6902000</v>
      </c>
      <c r="J17" s="72">
        <v>7680000</v>
      </c>
      <c r="K17" s="72">
        <v>12155000</v>
      </c>
      <c r="L17" s="72">
        <v>13007000</v>
      </c>
      <c r="M17" s="72">
        <v>8193000</v>
      </c>
      <c r="N17" s="72">
        <v>7618000</v>
      </c>
      <c r="O17" s="72">
        <v>7618000</v>
      </c>
      <c r="P17" s="46"/>
      <c r="Q17" s="46"/>
      <c r="R17" s="71">
        <v>6</v>
      </c>
      <c r="S17" s="72">
        <v>5363000</v>
      </c>
      <c r="T17" s="72">
        <v>8072000</v>
      </c>
      <c r="U17" s="72">
        <v>5674000</v>
      </c>
      <c r="V17" s="72">
        <v>9699000</v>
      </c>
      <c r="W17" s="72">
        <v>9558000</v>
      </c>
      <c r="X17" s="72">
        <v>6297000</v>
      </c>
      <c r="Y17" s="72">
        <v>7075000</v>
      </c>
      <c r="Z17" s="72">
        <v>11551000</v>
      </c>
      <c r="AA17" s="72">
        <v>12402000</v>
      </c>
      <c r="AB17" s="72">
        <v>7589000</v>
      </c>
      <c r="AC17" s="72">
        <v>7013000</v>
      </c>
      <c r="AD17" s="72">
        <v>7013000</v>
      </c>
      <c r="AE17" s="46"/>
      <c r="AF17" s="46"/>
      <c r="AG17" s="51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73">
        <v>2</v>
      </c>
      <c r="AW17" s="72">
        <v>12372000</v>
      </c>
      <c r="AX17" s="72">
        <v>15080000</v>
      </c>
      <c r="AY17" s="72">
        <v>12683000</v>
      </c>
      <c r="AZ17" s="72">
        <v>16708000</v>
      </c>
      <c r="BA17" s="72">
        <v>16566000</v>
      </c>
      <c r="BB17" s="72">
        <v>13305000</v>
      </c>
      <c r="BC17" s="72">
        <v>14084000</v>
      </c>
      <c r="BD17" s="72">
        <v>18559000</v>
      </c>
      <c r="BE17" s="72">
        <v>19410000</v>
      </c>
      <c r="BF17" s="72">
        <v>14597000</v>
      </c>
      <c r="BG17" s="72">
        <v>14021000</v>
      </c>
      <c r="BH17" s="72">
        <v>14021000</v>
      </c>
      <c r="BI17" s="46"/>
      <c r="BJ17" s="46"/>
    </row>
    <row r="18" spans="1:62" ht="12.75" x14ac:dyDescent="0.2">
      <c r="A18" s="70">
        <v>6</v>
      </c>
      <c r="B18" s="51" t="s">
        <v>281</v>
      </c>
      <c r="C18" s="71">
        <v>6</v>
      </c>
      <c r="D18" s="72">
        <v>6119000</v>
      </c>
      <c r="E18" s="72">
        <v>9075000</v>
      </c>
      <c r="F18" s="72">
        <v>6459000</v>
      </c>
      <c r="G18" s="72">
        <v>10852000</v>
      </c>
      <c r="H18" s="72">
        <v>10697000</v>
      </c>
      <c r="I18" s="72">
        <v>7138000</v>
      </c>
      <c r="J18" s="72">
        <v>7988000</v>
      </c>
      <c r="K18" s="72">
        <v>12872000</v>
      </c>
      <c r="L18" s="72">
        <v>13801000</v>
      </c>
      <c r="M18" s="72">
        <v>8548000</v>
      </c>
      <c r="N18" s="72">
        <v>7920000</v>
      </c>
      <c r="O18" s="72">
        <v>7920000</v>
      </c>
      <c r="P18" s="46"/>
      <c r="Q18" s="46"/>
      <c r="R18" s="71">
        <v>6</v>
      </c>
      <c r="S18" s="72">
        <v>5507000</v>
      </c>
      <c r="T18" s="72">
        <v>8463000</v>
      </c>
      <c r="U18" s="72">
        <v>5846000</v>
      </c>
      <c r="V18" s="72">
        <v>10239000</v>
      </c>
      <c r="W18" s="72">
        <v>10085000</v>
      </c>
      <c r="X18" s="72">
        <v>6526000</v>
      </c>
      <c r="Y18" s="72">
        <v>7375000</v>
      </c>
      <c r="Z18" s="72">
        <v>12260000</v>
      </c>
      <c r="AA18" s="72">
        <v>13189000</v>
      </c>
      <c r="AB18" s="72">
        <v>7936000</v>
      </c>
      <c r="AC18" s="72">
        <v>7307000</v>
      </c>
      <c r="AD18" s="72">
        <v>7307000</v>
      </c>
      <c r="AE18" s="46"/>
      <c r="AF18" s="46"/>
      <c r="AG18" s="51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73">
        <v>2</v>
      </c>
      <c r="AW18" s="72">
        <v>12584000</v>
      </c>
      <c r="AX18" s="72">
        <v>15540000</v>
      </c>
      <c r="AY18" s="72">
        <v>12923000</v>
      </c>
      <c r="AZ18" s="72">
        <v>17316000</v>
      </c>
      <c r="BA18" s="72">
        <v>17162000</v>
      </c>
      <c r="BB18" s="72">
        <v>13603000</v>
      </c>
      <c r="BC18" s="72">
        <v>14452000</v>
      </c>
      <c r="BD18" s="72">
        <v>19337000</v>
      </c>
      <c r="BE18" s="72">
        <v>20266000</v>
      </c>
      <c r="BF18" s="72">
        <v>15013000</v>
      </c>
      <c r="BG18" s="72">
        <v>14384000</v>
      </c>
      <c r="BH18" s="72">
        <v>14384000</v>
      </c>
      <c r="BI18" s="46"/>
      <c r="BJ18" s="46"/>
    </row>
    <row r="19" spans="1:62" ht="20.25" x14ac:dyDescent="0.3">
      <c r="A19" s="70"/>
      <c r="B19" s="68" t="s">
        <v>282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24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</row>
    <row r="20" spans="1:62" ht="12.75" x14ac:dyDescent="0.2">
      <c r="A20" s="70">
        <v>1</v>
      </c>
      <c r="B20" s="51" t="s">
        <v>283</v>
      </c>
      <c r="C20" s="71">
        <v>6</v>
      </c>
      <c r="D20" s="72">
        <v>5722000</v>
      </c>
      <c r="E20" s="72">
        <v>7813000</v>
      </c>
      <c r="F20" s="72">
        <v>5963000</v>
      </c>
      <c r="G20" s="72">
        <v>9070000</v>
      </c>
      <c r="H20" s="72">
        <v>8961000</v>
      </c>
      <c r="I20" s="72">
        <v>6443000</v>
      </c>
      <c r="J20" s="72">
        <v>7044000</v>
      </c>
      <c r="K20" s="72">
        <v>10499000</v>
      </c>
      <c r="L20" s="72">
        <v>11157000</v>
      </c>
      <c r="M20" s="72">
        <v>7441000</v>
      </c>
      <c r="N20" s="72">
        <v>6996000</v>
      </c>
      <c r="O20" s="72">
        <v>6996000</v>
      </c>
      <c r="P20" s="46"/>
      <c r="Q20" s="46"/>
      <c r="R20" s="71">
        <v>6</v>
      </c>
      <c r="S20" s="72">
        <v>5108000</v>
      </c>
      <c r="T20" s="72">
        <v>7199000</v>
      </c>
      <c r="U20" s="72">
        <v>5349000</v>
      </c>
      <c r="V20" s="72">
        <v>8456000</v>
      </c>
      <c r="W20" s="72">
        <v>8347000</v>
      </c>
      <c r="X20" s="72">
        <v>5829000</v>
      </c>
      <c r="Y20" s="72">
        <v>6430000</v>
      </c>
      <c r="Z20" s="72">
        <v>9885000</v>
      </c>
      <c r="AA20" s="72">
        <v>10543000</v>
      </c>
      <c r="AB20" s="72">
        <v>6827000</v>
      </c>
      <c r="AC20" s="72">
        <v>6382000</v>
      </c>
      <c r="AD20" s="72">
        <v>6382000</v>
      </c>
      <c r="AE20" s="46"/>
      <c r="AF20" s="46"/>
      <c r="AG20" s="51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73">
        <v>2</v>
      </c>
      <c r="AW20" s="72">
        <v>12158000</v>
      </c>
      <c r="AX20" s="72">
        <v>14248000</v>
      </c>
      <c r="AY20" s="72">
        <v>12398000</v>
      </c>
      <c r="AZ20" s="72">
        <v>15505000</v>
      </c>
      <c r="BA20" s="72">
        <v>15396000</v>
      </c>
      <c r="BB20" s="72">
        <v>12879000</v>
      </c>
      <c r="BC20" s="72">
        <v>13479000</v>
      </c>
      <c r="BD20" s="72">
        <v>16935000</v>
      </c>
      <c r="BE20" s="72">
        <v>17592000</v>
      </c>
      <c r="BF20" s="72">
        <v>13876000</v>
      </c>
      <c r="BG20" s="72">
        <v>13431000</v>
      </c>
      <c r="BH20" s="72">
        <v>13431000</v>
      </c>
      <c r="BI20" s="46"/>
      <c r="BJ20" s="46"/>
    </row>
    <row r="21" spans="1:62" ht="12.75" x14ac:dyDescent="0.2">
      <c r="A21" s="70">
        <v>2</v>
      </c>
      <c r="B21" s="51" t="s">
        <v>284</v>
      </c>
      <c r="C21" s="71">
        <v>6</v>
      </c>
      <c r="D21" s="72">
        <v>5880000</v>
      </c>
      <c r="E21" s="72">
        <v>8235000</v>
      </c>
      <c r="F21" s="72">
        <v>6151000</v>
      </c>
      <c r="G21" s="72">
        <v>9650000</v>
      </c>
      <c r="H21" s="72">
        <v>9527000</v>
      </c>
      <c r="I21" s="72">
        <v>6692000</v>
      </c>
      <c r="J21" s="72">
        <v>7369000</v>
      </c>
      <c r="K21" s="72">
        <v>11259000</v>
      </c>
      <c r="L21" s="72">
        <v>11999000</v>
      </c>
      <c r="M21" s="72">
        <v>7815000</v>
      </c>
      <c r="N21" s="72">
        <v>7315000</v>
      </c>
      <c r="O21" s="72">
        <v>7315000</v>
      </c>
      <c r="P21" s="46"/>
      <c r="Q21" s="46"/>
      <c r="R21" s="71">
        <v>6</v>
      </c>
      <c r="S21" s="72">
        <v>5258000</v>
      </c>
      <c r="T21" s="72">
        <v>7613000</v>
      </c>
      <c r="U21" s="72">
        <v>5529000</v>
      </c>
      <c r="V21" s="72">
        <v>9028000</v>
      </c>
      <c r="W21" s="72">
        <v>8905000</v>
      </c>
      <c r="X21" s="72">
        <v>6070000</v>
      </c>
      <c r="Y21" s="72">
        <v>6747000</v>
      </c>
      <c r="Z21" s="72">
        <v>10637000</v>
      </c>
      <c r="AA21" s="72">
        <v>11377000</v>
      </c>
      <c r="AB21" s="72">
        <v>7193000</v>
      </c>
      <c r="AC21" s="72">
        <v>6693000</v>
      </c>
      <c r="AD21" s="72">
        <v>6693000</v>
      </c>
      <c r="AE21" s="46"/>
      <c r="AF21" s="46"/>
      <c r="AG21" s="51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73">
        <v>2</v>
      </c>
      <c r="AW21" s="72">
        <v>12376000</v>
      </c>
      <c r="AX21" s="72">
        <v>14731000</v>
      </c>
      <c r="AY21" s="72">
        <v>12647000</v>
      </c>
      <c r="AZ21" s="72">
        <v>16146000</v>
      </c>
      <c r="BA21" s="72">
        <v>16023000</v>
      </c>
      <c r="BB21" s="72">
        <v>13188000</v>
      </c>
      <c r="BC21" s="72">
        <v>13865000</v>
      </c>
      <c r="BD21" s="72">
        <v>17755000</v>
      </c>
      <c r="BE21" s="72">
        <v>18495000</v>
      </c>
      <c r="BF21" s="72">
        <v>14311000</v>
      </c>
      <c r="BG21" s="72">
        <v>13811000</v>
      </c>
      <c r="BH21" s="72">
        <v>13811000</v>
      </c>
      <c r="BI21" s="46"/>
      <c r="BJ21" s="46"/>
    </row>
    <row r="22" spans="1:62" ht="12.75" x14ac:dyDescent="0.2">
      <c r="A22" s="70">
        <v>3</v>
      </c>
      <c r="B22" s="51" t="s">
        <v>285</v>
      </c>
      <c r="C22" s="71">
        <v>6</v>
      </c>
      <c r="D22" s="72">
        <v>5975000</v>
      </c>
      <c r="E22" s="72">
        <v>8487000</v>
      </c>
      <c r="F22" s="72">
        <v>6264000</v>
      </c>
      <c r="G22" s="72">
        <v>9997000</v>
      </c>
      <c r="H22" s="72">
        <v>9866000</v>
      </c>
      <c r="I22" s="72">
        <v>6841000</v>
      </c>
      <c r="J22" s="72">
        <v>7563000</v>
      </c>
      <c r="K22" s="72">
        <v>11715000</v>
      </c>
      <c r="L22" s="72">
        <v>12505000</v>
      </c>
      <c r="M22" s="72">
        <v>8040000</v>
      </c>
      <c r="N22" s="72">
        <v>7506000</v>
      </c>
      <c r="O22" s="72">
        <v>7506000</v>
      </c>
      <c r="P22" s="46"/>
      <c r="Q22" s="46"/>
      <c r="R22" s="71">
        <v>6</v>
      </c>
      <c r="S22" s="72">
        <v>5349000</v>
      </c>
      <c r="T22" s="72">
        <v>7861000</v>
      </c>
      <c r="U22" s="72">
        <v>5637000</v>
      </c>
      <c r="V22" s="72">
        <v>9371000</v>
      </c>
      <c r="W22" s="72">
        <v>9240000</v>
      </c>
      <c r="X22" s="72">
        <v>6215000</v>
      </c>
      <c r="Y22" s="72">
        <v>6937000</v>
      </c>
      <c r="Z22" s="72">
        <v>11088000</v>
      </c>
      <c r="AA22" s="72">
        <v>11878000</v>
      </c>
      <c r="AB22" s="72">
        <v>7413000</v>
      </c>
      <c r="AC22" s="72">
        <v>6879000</v>
      </c>
      <c r="AD22" s="72">
        <v>6879000</v>
      </c>
      <c r="AE22" s="46"/>
      <c r="AF22" s="46"/>
      <c r="AG22" s="51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73">
        <v>2</v>
      </c>
      <c r="AW22" s="72">
        <v>12508000</v>
      </c>
      <c r="AX22" s="72">
        <v>15020000</v>
      </c>
      <c r="AY22" s="72">
        <v>12796000</v>
      </c>
      <c r="AZ22" s="72">
        <v>16530000</v>
      </c>
      <c r="BA22" s="72">
        <v>16399000</v>
      </c>
      <c r="BB22" s="72">
        <v>13374000</v>
      </c>
      <c r="BC22" s="72">
        <v>14096000</v>
      </c>
      <c r="BD22" s="72">
        <v>18247000</v>
      </c>
      <c r="BE22" s="72">
        <v>19037000</v>
      </c>
      <c r="BF22" s="72">
        <v>14572000</v>
      </c>
      <c r="BG22" s="72">
        <v>14038000</v>
      </c>
      <c r="BH22" s="72">
        <v>14038000</v>
      </c>
      <c r="BI22" s="46"/>
      <c r="BJ22" s="46"/>
    </row>
    <row r="23" spans="1:62" ht="12.75" x14ac:dyDescent="0.2">
      <c r="A23" s="70">
        <v>4</v>
      </c>
      <c r="B23" s="51" t="s">
        <v>286</v>
      </c>
      <c r="C23" s="71">
        <v>6</v>
      </c>
      <c r="D23" s="72">
        <v>6038000</v>
      </c>
      <c r="E23" s="72">
        <v>8656000</v>
      </c>
      <c r="F23" s="72">
        <v>6339000</v>
      </c>
      <c r="G23" s="72">
        <v>10229000</v>
      </c>
      <c r="H23" s="72">
        <v>10093000</v>
      </c>
      <c r="I23" s="72">
        <v>6941000</v>
      </c>
      <c r="J23" s="72">
        <v>7693000</v>
      </c>
      <c r="K23" s="72">
        <v>12019000</v>
      </c>
      <c r="L23" s="72">
        <v>12842000</v>
      </c>
      <c r="M23" s="72">
        <v>8190000</v>
      </c>
      <c r="N23" s="72">
        <v>7633000</v>
      </c>
      <c r="O23" s="72">
        <v>7633000</v>
      </c>
      <c r="P23" s="46"/>
      <c r="Q23" s="46"/>
      <c r="R23" s="71">
        <v>6</v>
      </c>
      <c r="S23" s="72">
        <v>5409000</v>
      </c>
      <c r="T23" s="72">
        <v>8026000</v>
      </c>
      <c r="U23" s="72">
        <v>5709000</v>
      </c>
      <c r="V23" s="72">
        <v>9600000</v>
      </c>
      <c r="W23" s="72">
        <v>9463000</v>
      </c>
      <c r="X23" s="72">
        <v>6311000</v>
      </c>
      <c r="Y23" s="72">
        <v>7063000</v>
      </c>
      <c r="Z23" s="72">
        <v>11389000</v>
      </c>
      <c r="AA23" s="72">
        <v>12212000</v>
      </c>
      <c r="AB23" s="72">
        <v>7560000</v>
      </c>
      <c r="AC23" s="72">
        <v>7003000</v>
      </c>
      <c r="AD23" s="72">
        <v>7003000</v>
      </c>
      <c r="AE23" s="46"/>
      <c r="AF23" s="46"/>
      <c r="AG23" s="51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73">
        <v>2</v>
      </c>
      <c r="AW23" s="72">
        <v>12595000</v>
      </c>
      <c r="AX23" s="72">
        <v>15213000</v>
      </c>
      <c r="AY23" s="72">
        <v>12896000</v>
      </c>
      <c r="AZ23" s="72">
        <v>16786000</v>
      </c>
      <c r="BA23" s="72">
        <v>16650000</v>
      </c>
      <c r="BB23" s="72">
        <v>13498000</v>
      </c>
      <c r="BC23" s="72">
        <v>14250000</v>
      </c>
      <c r="BD23" s="72">
        <v>18576000</v>
      </c>
      <c r="BE23" s="72">
        <v>19398000</v>
      </c>
      <c r="BF23" s="72">
        <v>14746000</v>
      </c>
      <c r="BG23" s="72">
        <v>14190000</v>
      </c>
      <c r="BH23" s="72">
        <v>14190000</v>
      </c>
      <c r="BI23" s="46"/>
      <c r="BJ23" s="46"/>
    </row>
    <row r="24" spans="1:62" ht="12.75" x14ac:dyDescent="0.2">
      <c r="A24" s="70">
        <v>5</v>
      </c>
      <c r="B24" s="51" t="s">
        <v>287</v>
      </c>
      <c r="C24" s="71">
        <v>6</v>
      </c>
      <c r="D24" s="72">
        <v>6196000</v>
      </c>
      <c r="E24" s="72">
        <v>9077000</v>
      </c>
      <c r="F24" s="72">
        <v>6528000</v>
      </c>
      <c r="G24" s="72">
        <v>10809000</v>
      </c>
      <c r="H24" s="72">
        <v>10659000</v>
      </c>
      <c r="I24" s="72">
        <v>7190000</v>
      </c>
      <c r="J24" s="72">
        <v>8018000</v>
      </c>
      <c r="K24" s="72">
        <v>12779000</v>
      </c>
      <c r="L24" s="72">
        <v>13684000</v>
      </c>
      <c r="M24" s="72">
        <v>8564000</v>
      </c>
      <c r="N24" s="72">
        <v>7952000</v>
      </c>
      <c r="O24" s="72">
        <v>7952000</v>
      </c>
      <c r="P24" s="46"/>
      <c r="Q24" s="46"/>
      <c r="R24" s="71">
        <v>6</v>
      </c>
      <c r="S24" s="72">
        <v>5559000</v>
      </c>
      <c r="T24" s="72">
        <v>8440000</v>
      </c>
      <c r="U24" s="72">
        <v>5890000</v>
      </c>
      <c r="V24" s="72">
        <v>10171000</v>
      </c>
      <c r="W24" s="72">
        <v>10021000</v>
      </c>
      <c r="X24" s="72">
        <v>6552000</v>
      </c>
      <c r="Y24" s="72">
        <v>7380000</v>
      </c>
      <c r="Z24" s="72">
        <v>12141000</v>
      </c>
      <c r="AA24" s="72">
        <v>13046000</v>
      </c>
      <c r="AB24" s="72">
        <v>7926000</v>
      </c>
      <c r="AC24" s="72">
        <v>7314000</v>
      </c>
      <c r="AD24" s="72">
        <v>7314000</v>
      </c>
      <c r="AE24" s="46"/>
      <c r="AF24" s="46"/>
      <c r="AG24" s="51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73">
        <v>2</v>
      </c>
      <c r="AW24" s="72">
        <v>12814000</v>
      </c>
      <c r="AX24" s="72">
        <v>15695000</v>
      </c>
      <c r="AY24" s="72">
        <v>13145000</v>
      </c>
      <c r="AZ24" s="72">
        <v>17427000</v>
      </c>
      <c r="BA24" s="72">
        <v>17276000</v>
      </c>
      <c r="BB24" s="72">
        <v>13808000</v>
      </c>
      <c r="BC24" s="72">
        <v>14635000</v>
      </c>
      <c r="BD24" s="72">
        <v>19396000</v>
      </c>
      <c r="BE24" s="72">
        <v>20302000</v>
      </c>
      <c r="BF24" s="72">
        <v>15182000</v>
      </c>
      <c r="BG24" s="72">
        <v>14569000</v>
      </c>
      <c r="BH24" s="72">
        <v>14569000</v>
      </c>
      <c r="BI24" s="46"/>
      <c r="BJ24" s="46"/>
    </row>
    <row r="25" spans="1:62" ht="12.75" x14ac:dyDescent="0.2">
      <c r="A25" s="70">
        <v>6</v>
      </c>
      <c r="B25" s="51" t="s">
        <v>288</v>
      </c>
      <c r="C25" s="71">
        <v>6</v>
      </c>
      <c r="D25" s="72">
        <v>6354000</v>
      </c>
      <c r="E25" s="72">
        <v>9499000</v>
      </c>
      <c r="F25" s="72">
        <v>6716000</v>
      </c>
      <c r="G25" s="72">
        <v>11389000</v>
      </c>
      <c r="H25" s="72">
        <v>11225000</v>
      </c>
      <c r="I25" s="72">
        <v>7439000</v>
      </c>
      <c r="J25" s="72">
        <v>8342000</v>
      </c>
      <c r="K25" s="72">
        <v>13538000</v>
      </c>
      <c r="L25" s="72">
        <v>14527000</v>
      </c>
      <c r="M25" s="72">
        <v>8938000</v>
      </c>
      <c r="N25" s="72">
        <v>8270000</v>
      </c>
      <c r="O25" s="72">
        <v>8270000</v>
      </c>
      <c r="P25" s="46"/>
      <c r="Q25" s="46"/>
      <c r="R25" s="71">
        <v>6</v>
      </c>
      <c r="S25" s="72">
        <v>5709000</v>
      </c>
      <c r="T25" s="72">
        <v>8853000</v>
      </c>
      <c r="U25" s="72">
        <v>6070000</v>
      </c>
      <c r="V25" s="72">
        <v>10743000</v>
      </c>
      <c r="W25" s="72">
        <v>10579000</v>
      </c>
      <c r="X25" s="72">
        <v>6793000</v>
      </c>
      <c r="Y25" s="72">
        <v>7697000</v>
      </c>
      <c r="Z25" s="72">
        <v>12893000</v>
      </c>
      <c r="AA25" s="72">
        <v>13881000</v>
      </c>
      <c r="AB25" s="72">
        <v>8293000</v>
      </c>
      <c r="AC25" s="72">
        <v>7625000</v>
      </c>
      <c r="AD25" s="72">
        <v>7625000</v>
      </c>
      <c r="AE25" s="46"/>
      <c r="AF25" s="46"/>
      <c r="AG25" s="51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73">
        <v>2</v>
      </c>
      <c r="AW25" s="72">
        <v>13033000</v>
      </c>
      <c r="AX25" s="72">
        <v>16177000</v>
      </c>
      <c r="AY25" s="72">
        <v>13394000</v>
      </c>
      <c r="AZ25" s="72">
        <v>18067000</v>
      </c>
      <c r="BA25" s="72">
        <v>17903000</v>
      </c>
      <c r="BB25" s="72">
        <v>14117000</v>
      </c>
      <c r="BC25" s="72">
        <v>15021000</v>
      </c>
      <c r="BD25" s="72">
        <v>20217000</v>
      </c>
      <c r="BE25" s="72">
        <v>21205000</v>
      </c>
      <c r="BF25" s="72">
        <v>15617000</v>
      </c>
      <c r="BG25" s="72">
        <v>14948000</v>
      </c>
      <c r="BH25" s="72">
        <v>14948000</v>
      </c>
      <c r="BI25" s="46"/>
      <c r="BJ25" s="46"/>
    </row>
    <row r="26" spans="1:62" ht="20.25" x14ac:dyDescent="0.3">
      <c r="A26" s="70"/>
      <c r="B26" s="68" t="s">
        <v>289</v>
      </c>
      <c r="C26" s="61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51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51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</row>
    <row r="27" spans="1:62" ht="12.75" x14ac:dyDescent="0.2">
      <c r="A27" s="70">
        <v>1</v>
      </c>
      <c r="B27" s="51" t="s">
        <v>290</v>
      </c>
      <c r="C27" s="71">
        <v>5</v>
      </c>
      <c r="D27" s="72">
        <v>4912000</v>
      </c>
      <c r="E27" s="72">
        <v>6658000</v>
      </c>
      <c r="F27" s="72">
        <v>5113000</v>
      </c>
      <c r="G27" s="72">
        <v>7708000</v>
      </c>
      <c r="H27" s="72">
        <v>7617000</v>
      </c>
      <c r="I27" s="72">
        <v>5514000</v>
      </c>
      <c r="J27" s="72">
        <v>6016000</v>
      </c>
      <c r="K27" s="72">
        <v>8902000</v>
      </c>
      <c r="L27" s="72">
        <v>9451000</v>
      </c>
      <c r="M27" s="72">
        <v>6347000</v>
      </c>
      <c r="N27" s="72">
        <v>5976000</v>
      </c>
      <c r="O27" s="72">
        <v>5976000</v>
      </c>
      <c r="P27" s="72">
        <v>8993000</v>
      </c>
      <c r="Q27" s="72">
        <v>9926000</v>
      </c>
      <c r="R27" s="71">
        <v>5</v>
      </c>
      <c r="S27" s="72">
        <v>4389000</v>
      </c>
      <c r="T27" s="72">
        <v>6135000</v>
      </c>
      <c r="U27" s="72">
        <v>4590000</v>
      </c>
      <c r="V27" s="72">
        <v>7185000</v>
      </c>
      <c r="W27" s="72">
        <v>7094000</v>
      </c>
      <c r="X27" s="72">
        <v>4991000</v>
      </c>
      <c r="Y27" s="72">
        <v>5493000</v>
      </c>
      <c r="Z27" s="72">
        <v>8379000</v>
      </c>
      <c r="AA27" s="72">
        <v>8928000</v>
      </c>
      <c r="AB27" s="72">
        <v>5824000</v>
      </c>
      <c r="AC27" s="72">
        <v>5453000</v>
      </c>
      <c r="AD27" s="72">
        <v>5453000</v>
      </c>
      <c r="AE27" s="72">
        <v>8470000</v>
      </c>
      <c r="AF27" s="72">
        <v>9403000</v>
      </c>
      <c r="AG27" s="71">
        <v>2</v>
      </c>
      <c r="AH27" s="72">
        <v>4836000</v>
      </c>
      <c r="AI27" s="72">
        <v>6582000</v>
      </c>
      <c r="AJ27" s="72">
        <v>5037000</v>
      </c>
      <c r="AK27" s="72">
        <v>7632000</v>
      </c>
      <c r="AL27" s="72">
        <v>7541000</v>
      </c>
      <c r="AM27" s="72">
        <v>5438000</v>
      </c>
      <c r="AN27" s="72">
        <v>5940000</v>
      </c>
      <c r="AO27" s="72">
        <v>8826000</v>
      </c>
      <c r="AP27" s="72">
        <v>9375000</v>
      </c>
      <c r="AQ27" s="72">
        <v>6271000</v>
      </c>
      <c r="AR27" s="72">
        <v>5900000</v>
      </c>
      <c r="AS27" s="72">
        <v>5900000</v>
      </c>
      <c r="AT27" s="72">
        <v>8917000</v>
      </c>
      <c r="AU27" s="72">
        <v>9850000</v>
      </c>
      <c r="AV27" s="73">
        <v>2</v>
      </c>
      <c r="AW27" s="72">
        <v>10996000</v>
      </c>
      <c r="AX27" s="72">
        <v>12742000</v>
      </c>
      <c r="AY27" s="72">
        <v>11197000</v>
      </c>
      <c r="AZ27" s="72">
        <v>13792000</v>
      </c>
      <c r="BA27" s="72">
        <v>13701000</v>
      </c>
      <c r="BB27" s="72">
        <v>11598000</v>
      </c>
      <c r="BC27" s="72">
        <v>12100000</v>
      </c>
      <c r="BD27" s="72">
        <v>14986000</v>
      </c>
      <c r="BE27" s="72">
        <v>15535000</v>
      </c>
      <c r="BF27" s="72">
        <v>12431000</v>
      </c>
      <c r="BG27" s="72">
        <v>12060000</v>
      </c>
      <c r="BH27" s="72">
        <v>12060000</v>
      </c>
      <c r="BI27" s="72">
        <v>15077000</v>
      </c>
      <c r="BJ27" s="72">
        <v>16010000</v>
      </c>
    </row>
    <row r="28" spans="1:62" ht="12.75" x14ac:dyDescent="0.2">
      <c r="A28" s="70">
        <v>2</v>
      </c>
      <c r="B28" s="51" t="s">
        <v>291</v>
      </c>
      <c r="C28" s="71">
        <v>5</v>
      </c>
      <c r="D28" s="72">
        <v>5052000</v>
      </c>
      <c r="E28" s="72">
        <v>7018000</v>
      </c>
      <c r="F28" s="72">
        <v>5278000</v>
      </c>
      <c r="G28" s="72">
        <v>8200000</v>
      </c>
      <c r="H28" s="72">
        <v>8097000</v>
      </c>
      <c r="I28" s="72">
        <v>5730000</v>
      </c>
      <c r="J28" s="72">
        <v>6295000</v>
      </c>
      <c r="K28" s="72">
        <v>9544000</v>
      </c>
      <c r="L28" s="72">
        <v>10162000</v>
      </c>
      <c r="M28" s="72">
        <v>6668000</v>
      </c>
      <c r="N28" s="72">
        <v>6250000</v>
      </c>
      <c r="O28" s="72">
        <v>6250000</v>
      </c>
      <c r="P28" s="72">
        <v>9647000</v>
      </c>
      <c r="Q28" s="72">
        <v>10698000</v>
      </c>
      <c r="R28" s="71">
        <v>5</v>
      </c>
      <c r="S28" s="72">
        <v>4521000</v>
      </c>
      <c r="T28" s="72">
        <v>6487000</v>
      </c>
      <c r="U28" s="72">
        <v>4747000</v>
      </c>
      <c r="V28" s="72">
        <v>7669000</v>
      </c>
      <c r="W28" s="72">
        <v>7566000</v>
      </c>
      <c r="X28" s="72">
        <v>5199000</v>
      </c>
      <c r="Y28" s="72">
        <v>5764000</v>
      </c>
      <c r="Z28" s="72">
        <v>9013000</v>
      </c>
      <c r="AA28" s="72">
        <v>9631000</v>
      </c>
      <c r="AB28" s="72">
        <v>6137000</v>
      </c>
      <c r="AC28" s="72">
        <v>5719000</v>
      </c>
      <c r="AD28" s="72">
        <v>5719000</v>
      </c>
      <c r="AE28" s="72">
        <v>9116000</v>
      </c>
      <c r="AF28" s="72">
        <v>10167000</v>
      </c>
      <c r="AG28" s="71">
        <v>2</v>
      </c>
      <c r="AH28" s="72">
        <v>4969000</v>
      </c>
      <c r="AI28" s="72">
        <v>6936000</v>
      </c>
      <c r="AJ28" s="72">
        <v>5195000</v>
      </c>
      <c r="AK28" s="72">
        <v>8118000</v>
      </c>
      <c r="AL28" s="72">
        <v>8015000</v>
      </c>
      <c r="AM28" s="72">
        <v>5647000</v>
      </c>
      <c r="AN28" s="72">
        <v>6212000</v>
      </c>
      <c r="AO28" s="72">
        <v>9462000</v>
      </c>
      <c r="AP28" s="72">
        <v>10080000</v>
      </c>
      <c r="AQ28" s="72">
        <v>6585000</v>
      </c>
      <c r="AR28" s="72">
        <v>6167000</v>
      </c>
      <c r="AS28" s="72">
        <v>6167000</v>
      </c>
      <c r="AT28" s="72">
        <v>9564000</v>
      </c>
      <c r="AU28" s="72">
        <v>10615000</v>
      </c>
      <c r="AV28" s="73">
        <v>2</v>
      </c>
      <c r="AW28" s="72">
        <v>11196000</v>
      </c>
      <c r="AX28" s="72">
        <v>13163000</v>
      </c>
      <c r="AY28" s="72">
        <v>11422000</v>
      </c>
      <c r="AZ28" s="72">
        <v>14344000</v>
      </c>
      <c r="BA28" s="72">
        <v>14242000</v>
      </c>
      <c r="BB28" s="72">
        <v>11874000</v>
      </c>
      <c r="BC28" s="72">
        <v>12439000</v>
      </c>
      <c r="BD28" s="72">
        <v>15689000</v>
      </c>
      <c r="BE28" s="72">
        <v>16307000</v>
      </c>
      <c r="BF28" s="72">
        <v>12812000</v>
      </c>
      <c r="BG28" s="72">
        <v>12394000</v>
      </c>
      <c r="BH28" s="72">
        <v>12394000</v>
      </c>
      <c r="BI28" s="72">
        <v>15791000</v>
      </c>
      <c r="BJ28" s="72">
        <v>16842000</v>
      </c>
    </row>
    <row r="29" spans="1:62" ht="12.75" x14ac:dyDescent="0.2">
      <c r="A29" s="70">
        <v>3</v>
      </c>
      <c r="B29" s="51" t="s">
        <v>292</v>
      </c>
      <c r="C29" s="71">
        <v>5</v>
      </c>
      <c r="D29" s="72">
        <v>5135000</v>
      </c>
      <c r="E29" s="72">
        <v>7234000</v>
      </c>
      <c r="F29" s="72">
        <v>5377000</v>
      </c>
      <c r="G29" s="72">
        <v>8495000</v>
      </c>
      <c r="H29" s="72">
        <v>8385000</v>
      </c>
      <c r="I29" s="72">
        <v>5859000</v>
      </c>
      <c r="J29" s="72">
        <v>6462000</v>
      </c>
      <c r="K29" s="72">
        <v>9929000</v>
      </c>
      <c r="L29" s="72">
        <v>10589000</v>
      </c>
      <c r="M29" s="72">
        <v>6860000</v>
      </c>
      <c r="N29" s="72">
        <v>6414000</v>
      </c>
      <c r="O29" s="72">
        <v>6414000</v>
      </c>
      <c r="P29" s="72">
        <v>10039000</v>
      </c>
      <c r="Q29" s="72">
        <v>11160000</v>
      </c>
      <c r="R29" s="71">
        <v>5</v>
      </c>
      <c r="S29" s="72">
        <v>4600000</v>
      </c>
      <c r="T29" s="72">
        <v>6698000</v>
      </c>
      <c r="U29" s="72">
        <v>4841000</v>
      </c>
      <c r="V29" s="72">
        <v>7959000</v>
      </c>
      <c r="W29" s="72">
        <v>7850000</v>
      </c>
      <c r="X29" s="72">
        <v>5323000</v>
      </c>
      <c r="Y29" s="72">
        <v>5926000</v>
      </c>
      <c r="Z29" s="72">
        <v>9394000</v>
      </c>
      <c r="AA29" s="72">
        <v>10053000</v>
      </c>
      <c r="AB29" s="72">
        <v>6324000</v>
      </c>
      <c r="AC29" s="72">
        <v>5878000</v>
      </c>
      <c r="AD29" s="72">
        <v>5878000</v>
      </c>
      <c r="AE29" s="72">
        <v>9503000</v>
      </c>
      <c r="AF29" s="72">
        <v>10624000</v>
      </c>
      <c r="AG29" s="71">
        <v>2</v>
      </c>
      <c r="AH29" s="72">
        <v>5049000</v>
      </c>
      <c r="AI29" s="72">
        <v>7148000</v>
      </c>
      <c r="AJ29" s="72">
        <v>5291000</v>
      </c>
      <c r="AK29" s="72">
        <v>8409000</v>
      </c>
      <c r="AL29" s="72">
        <v>8299000</v>
      </c>
      <c r="AM29" s="72">
        <v>5773000</v>
      </c>
      <c r="AN29" s="72">
        <v>6376000</v>
      </c>
      <c r="AO29" s="72">
        <v>9843000</v>
      </c>
      <c r="AP29" s="72">
        <v>10503000</v>
      </c>
      <c r="AQ29" s="72">
        <v>6774000</v>
      </c>
      <c r="AR29" s="72">
        <v>6328000</v>
      </c>
      <c r="AS29" s="72">
        <v>6328000</v>
      </c>
      <c r="AT29" s="72">
        <v>9953000</v>
      </c>
      <c r="AU29" s="72">
        <v>11074000</v>
      </c>
      <c r="AV29" s="73">
        <v>2</v>
      </c>
      <c r="AW29" s="72">
        <v>11317000</v>
      </c>
      <c r="AX29" s="72">
        <v>13415000</v>
      </c>
      <c r="AY29" s="72">
        <v>11558000</v>
      </c>
      <c r="AZ29" s="72">
        <v>14676000</v>
      </c>
      <c r="BA29" s="72">
        <v>14567000</v>
      </c>
      <c r="BB29" s="72">
        <v>12040000</v>
      </c>
      <c r="BC29" s="72">
        <v>12643000</v>
      </c>
      <c r="BD29" s="72">
        <v>16110000</v>
      </c>
      <c r="BE29" s="72">
        <v>16770000</v>
      </c>
      <c r="BF29" s="72">
        <v>13041000</v>
      </c>
      <c r="BG29" s="72">
        <v>12595000</v>
      </c>
      <c r="BH29" s="72">
        <v>12595000</v>
      </c>
      <c r="BI29" s="72">
        <v>16220000</v>
      </c>
      <c r="BJ29" s="72">
        <v>17341000</v>
      </c>
    </row>
    <row r="30" spans="1:62" ht="12.75" x14ac:dyDescent="0.2">
      <c r="A30" s="70">
        <v>4</v>
      </c>
      <c r="B30" s="51" t="s">
        <v>293</v>
      </c>
      <c r="C30" s="71">
        <v>5</v>
      </c>
      <c r="D30" s="72">
        <v>5191000</v>
      </c>
      <c r="E30" s="72">
        <v>7378000</v>
      </c>
      <c r="F30" s="72">
        <v>5443000</v>
      </c>
      <c r="G30" s="72">
        <v>8692000</v>
      </c>
      <c r="H30" s="72">
        <v>8578000</v>
      </c>
      <c r="I30" s="72">
        <v>5945000</v>
      </c>
      <c r="J30" s="72">
        <v>6573000</v>
      </c>
      <c r="K30" s="72">
        <v>10186000</v>
      </c>
      <c r="L30" s="72">
        <v>10873000</v>
      </c>
      <c r="M30" s="72">
        <v>6988000</v>
      </c>
      <c r="N30" s="72">
        <v>6523000</v>
      </c>
      <c r="O30" s="72">
        <v>6523000</v>
      </c>
      <c r="P30" s="72">
        <v>10300000</v>
      </c>
      <c r="Q30" s="72">
        <v>11469000</v>
      </c>
      <c r="R30" s="71">
        <v>5</v>
      </c>
      <c r="S30" s="72">
        <v>4652000</v>
      </c>
      <c r="T30" s="72">
        <v>6839000</v>
      </c>
      <c r="U30" s="72">
        <v>4904000</v>
      </c>
      <c r="V30" s="72">
        <v>8153000</v>
      </c>
      <c r="W30" s="72">
        <v>8039000</v>
      </c>
      <c r="X30" s="72">
        <v>5406000</v>
      </c>
      <c r="Y30" s="72">
        <v>6035000</v>
      </c>
      <c r="Z30" s="72">
        <v>9647000</v>
      </c>
      <c r="AA30" s="72">
        <v>10334000</v>
      </c>
      <c r="AB30" s="72">
        <v>6449000</v>
      </c>
      <c r="AC30" s="72">
        <v>5984000</v>
      </c>
      <c r="AD30" s="72">
        <v>5984000</v>
      </c>
      <c r="AE30" s="72">
        <v>9761000</v>
      </c>
      <c r="AF30" s="72">
        <v>10930000</v>
      </c>
      <c r="AG30" s="71">
        <v>2</v>
      </c>
      <c r="AH30" s="72">
        <v>5103000</v>
      </c>
      <c r="AI30" s="72">
        <v>7289000</v>
      </c>
      <c r="AJ30" s="72">
        <v>5354000</v>
      </c>
      <c r="AK30" s="72">
        <v>8603000</v>
      </c>
      <c r="AL30" s="72">
        <v>8489000</v>
      </c>
      <c r="AM30" s="72">
        <v>5857000</v>
      </c>
      <c r="AN30" s="72">
        <v>6485000</v>
      </c>
      <c r="AO30" s="72">
        <v>10098000</v>
      </c>
      <c r="AP30" s="72">
        <v>10785000</v>
      </c>
      <c r="AQ30" s="72">
        <v>6899000</v>
      </c>
      <c r="AR30" s="72">
        <v>6435000</v>
      </c>
      <c r="AS30" s="72">
        <v>6435000</v>
      </c>
      <c r="AT30" s="72">
        <v>10212000</v>
      </c>
      <c r="AU30" s="72">
        <v>11380000</v>
      </c>
      <c r="AV30" s="73">
        <v>2</v>
      </c>
      <c r="AW30" s="72">
        <v>11397000</v>
      </c>
      <c r="AX30" s="72">
        <v>13583000</v>
      </c>
      <c r="AY30" s="72">
        <v>11648000</v>
      </c>
      <c r="AZ30" s="72">
        <v>14897000</v>
      </c>
      <c r="BA30" s="72">
        <v>14783000</v>
      </c>
      <c r="BB30" s="72">
        <v>12151000</v>
      </c>
      <c r="BC30" s="72">
        <v>12779000</v>
      </c>
      <c r="BD30" s="72">
        <v>16392000</v>
      </c>
      <c r="BE30" s="72">
        <v>17079000</v>
      </c>
      <c r="BF30" s="72">
        <v>13193000</v>
      </c>
      <c r="BG30" s="72">
        <v>12729000</v>
      </c>
      <c r="BH30" s="72">
        <v>12729000</v>
      </c>
      <c r="BI30" s="72">
        <v>16506000</v>
      </c>
      <c r="BJ30" s="72">
        <v>17674000</v>
      </c>
    </row>
    <row r="31" spans="1:62" ht="12.75" x14ac:dyDescent="0.2">
      <c r="A31" s="70">
        <v>5</v>
      </c>
      <c r="B31" s="51" t="s">
        <v>294</v>
      </c>
      <c r="C31" s="71">
        <v>5</v>
      </c>
      <c r="D31" s="72">
        <v>5331000</v>
      </c>
      <c r="E31" s="72">
        <v>7737000</v>
      </c>
      <c r="F31" s="72">
        <v>5607000</v>
      </c>
      <c r="G31" s="72">
        <v>9183000</v>
      </c>
      <c r="H31" s="72">
        <v>9058000</v>
      </c>
      <c r="I31" s="72">
        <v>6161000</v>
      </c>
      <c r="J31" s="72">
        <v>6852000</v>
      </c>
      <c r="K31" s="72">
        <v>10828000</v>
      </c>
      <c r="L31" s="72">
        <v>11585000</v>
      </c>
      <c r="M31" s="72">
        <v>7308000</v>
      </c>
      <c r="N31" s="72">
        <v>6797000</v>
      </c>
      <c r="O31" s="72">
        <v>6797000</v>
      </c>
      <c r="P31" s="72">
        <v>10954000</v>
      </c>
      <c r="Q31" s="72">
        <v>12240000</v>
      </c>
      <c r="R31" s="71">
        <v>5</v>
      </c>
      <c r="S31" s="72">
        <v>4784000</v>
      </c>
      <c r="T31" s="72">
        <v>7190000</v>
      </c>
      <c r="U31" s="72">
        <v>5061000</v>
      </c>
      <c r="V31" s="72">
        <v>8637000</v>
      </c>
      <c r="W31" s="72">
        <v>8511000</v>
      </c>
      <c r="X31" s="72">
        <v>5614000</v>
      </c>
      <c r="Y31" s="72">
        <v>6305000</v>
      </c>
      <c r="Z31" s="72">
        <v>10282000</v>
      </c>
      <c r="AA31" s="72">
        <v>11038000</v>
      </c>
      <c r="AB31" s="72">
        <v>6762000</v>
      </c>
      <c r="AC31" s="72">
        <v>6250000</v>
      </c>
      <c r="AD31" s="72">
        <v>6250000</v>
      </c>
      <c r="AE31" s="72">
        <v>10407000</v>
      </c>
      <c r="AF31" s="72">
        <v>11693000</v>
      </c>
      <c r="AG31" s="71">
        <v>2</v>
      </c>
      <c r="AH31" s="72">
        <v>5236000</v>
      </c>
      <c r="AI31" s="72">
        <v>7642000</v>
      </c>
      <c r="AJ31" s="72">
        <v>5513000</v>
      </c>
      <c r="AK31" s="72">
        <v>9088000</v>
      </c>
      <c r="AL31" s="72">
        <v>8963000</v>
      </c>
      <c r="AM31" s="72">
        <v>6066000</v>
      </c>
      <c r="AN31" s="72">
        <v>6757000</v>
      </c>
      <c r="AO31" s="72">
        <v>10733000</v>
      </c>
      <c r="AP31" s="72">
        <v>11490000</v>
      </c>
      <c r="AQ31" s="72">
        <v>7213000</v>
      </c>
      <c r="AR31" s="72">
        <v>6702000</v>
      </c>
      <c r="AS31" s="72">
        <v>6702000</v>
      </c>
      <c r="AT31" s="72">
        <v>10859000</v>
      </c>
      <c r="AU31" s="72">
        <v>12145000</v>
      </c>
      <c r="AV31" s="73">
        <v>2</v>
      </c>
      <c r="AW31" s="72">
        <v>11597000</v>
      </c>
      <c r="AX31" s="72">
        <v>14003000</v>
      </c>
      <c r="AY31" s="72">
        <v>11874000</v>
      </c>
      <c r="AZ31" s="72">
        <v>15450000</v>
      </c>
      <c r="BA31" s="72">
        <v>15324000</v>
      </c>
      <c r="BB31" s="72">
        <v>12427000</v>
      </c>
      <c r="BC31" s="72">
        <v>13118000</v>
      </c>
      <c r="BD31" s="72">
        <v>17095000</v>
      </c>
      <c r="BE31" s="72">
        <v>17851000</v>
      </c>
      <c r="BF31" s="72">
        <v>13575000</v>
      </c>
      <c r="BG31" s="72">
        <v>13063000</v>
      </c>
      <c r="BH31" s="72">
        <v>13063000</v>
      </c>
      <c r="BI31" s="72">
        <v>17220000</v>
      </c>
      <c r="BJ31" s="72">
        <v>18506000</v>
      </c>
    </row>
    <row r="32" spans="1:62" ht="12.75" x14ac:dyDescent="0.2">
      <c r="A32" s="70">
        <v>6</v>
      </c>
      <c r="B32" s="51" t="s">
        <v>295</v>
      </c>
      <c r="C32" s="71">
        <v>5</v>
      </c>
      <c r="D32" s="72">
        <v>5470000</v>
      </c>
      <c r="E32" s="72">
        <v>8097000</v>
      </c>
      <c r="F32" s="72">
        <v>5772000</v>
      </c>
      <c r="G32" s="72">
        <v>9675000</v>
      </c>
      <c r="H32" s="72">
        <v>9538000</v>
      </c>
      <c r="I32" s="72">
        <v>6376000</v>
      </c>
      <c r="J32" s="72">
        <v>7131000</v>
      </c>
      <c r="K32" s="72">
        <v>11470000</v>
      </c>
      <c r="L32" s="72">
        <v>12296000</v>
      </c>
      <c r="M32" s="72">
        <v>7629000</v>
      </c>
      <c r="N32" s="72">
        <v>7070000</v>
      </c>
      <c r="O32" s="72">
        <v>7070000</v>
      </c>
      <c r="P32" s="72">
        <v>11607000</v>
      </c>
      <c r="Q32" s="72">
        <v>13011000</v>
      </c>
      <c r="R32" s="71">
        <v>5</v>
      </c>
      <c r="S32" s="72">
        <v>4916000</v>
      </c>
      <c r="T32" s="72">
        <v>7542000</v>
      </c>
      <c r="U32" s="72">
        <v>5218000</v>
      </c>
      <c r="V32" s="72">
        <v>9120000</v>
      </c>
      <c r="W32" s="72">
        <v>8984000</v>
      </c>
      <c r="X32" s="72">
        <v>5821000</v>
      </c>
      <c r="Y32" s="72">
        <v>6576000</v>
      </c>
      <c r="Z32" s="72">
        <v>10916000</v>
      </c>
      <c r="AA32" s="72">
        <v>11741000</v>
      </c>
      <c r="AB32" s="72">
        <v>7074000</v>
      </c>
      <c r="AC32" s="72">
        <v>6516000</v>
      </c>
      <c r="AD32" s="72">
        <v>6516000</v>
      </c>
      <c r="AE32" s="72">
        <v>11053000</v>
      </c>
      <c r="AF32" s="72">
        <v>12456000</v>
      </c>
      <c r="AG32" s="71">
        <v>2</v>
      </c>
      <c r="AH32" s="72">
        <v>5369000</v>
      </c>
      <c r="AI32" s="72">
        <v>7996000</v>
      </c>
      <c r="AJ32" s="72">
        <v>5671000</v>
      </c>
      <c r="AK32" s="72">
        <v>9574000</v>
      </c>
      <c r="AL32" s="72">
        <v>9437000</v>
      </c>
      <c r="AM32" s="72">
        <v>6275000</v>
      </c>
      <c r="AN32" s="72">
        <v>7030000</v>
      </c>
      <c r="AO32" s="72">
        <v>11369000</v>
      </c>
      <c r="AP32" s="72">
        <v>12195000</v>
      </c>
      <c r="AQ32" s="72">
        <v>7528000</v>
      </c>
      <c r="AR32" s="72">
        <v>6969000</v>
      </c>
      <c r="AS32" s="72">
        <v>6969000</v>
      </c>
      <c r="AT32" s="72">
        <v>11506000</v>
      </c>
      <c r="AU32" s="72">
        <v>12910000</v>
      </c>
      <c r="AV32" s="73">
        <v>2</v>
      </c>
      <c r="AW32" s="72">
        <v>11798000</v>
      </c>
      <c r="AX32" s="72">
        <v>14424000</v>
      </c>
      <c r="AY32" s="72">
        <v>12099000</v>
      </c>
      <c r="AZ32" s="72">
        <v>16002000</v>
      </c>
      <c r="BA32" s="72">
        <v>15865000</v>
      </c>
      <c r="BB32" s="72">
        <v>12703000</v>
      </c>
      <c r="BC32" s="72">
        <v>13458000</v>
      </c>
      <c r="BD32" s="72">
        <v>17797000</v>
      </c>
      <c r="BE32" s="72">
        <v>18623000</v>
      </c>
      <c r="BF32" s="72">
        <v>13956000</v>
      </c>
      <c r="BG32" s="72">
        <v>13397000</v>
      </c>
      <c r="BH32" s="72">
        <v>13397000</v>
      </c>
      <c r="BI32" s="72">
        <v>17934000</v>
      </c>
      <c r="BJ32" s="72">
        <v>19338000</v>
      </c>
    </row>
    <row r="33" spans="1:62" ht="20.25" x14ac:dyDescent="0.3">
      <c r="A33" s="70"/>
      <c r="B33" s="68" t="s">
        <v>296</v>
      </c>
      <c r="C33" s="61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51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51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</row>
    <row r="34" spans="1:62" ht="12.75" x14ac:dyDescent="0.2">
      <c r="A34" s="70">
        <v>1</v>
      </c>
      <c r="B34" s="51" t="s">
        <v>297</v>
      </c>
      <c r="C34" s="71">
        <v>5</v>
      </c>
      <c r="D34" s="72">
        <v>4651000</v>
      </c>
      <c r="E34" s="72">
        <v>6241000</v>
      </c>
      <c r="F34" s="72">
        <v>4834000</v>
      </c>
      <c r="G34" s="72">
        <v>7197000</v>
      </c>
      <c r="H34" s="72">
        <v>7114000</v>
      </c>
      <c r="I34" s="72">
        <v>5200000</v>
      </c>
      <c r="J34" s="72">
        <v>5656000</v>
      </c>
      <c r="K34" s="72">
        <v>8283000</v>
      </c>
      <c r="L34" s="72">
        <v>8783000</v>
      </c>
      <c r="M34" s="72">
        <v>5958000</v>
      </c>
      <c r="N34" s="72">
        <v>5620000</v>
      </c>
      <c r="O34" s="72">
        <v>5620000</v>
      </c>
      <c r="P34" s="72">
        <v>8366000</v>
      </c>
      <c r="Q34" s="72">
        <v>9216000</v>
      </c>
      <c r="R34" s="71">
        <v>5</v>
      </c>
      <c r="S34" s="72">
        <v>4170000</v>
      </c>
      <c r="T34" s="72">
        <v>5759000</v>
      </c>
      <c r="U34" s="72">
        <v>4352000</v>
      </c>
      <c r="V34" s="72">
        <v>6715000</v>
      </c>
      <c r="W34" s="72">
        <v>6632000</v>
      </c>
      <c r="X34" s="72">
        <v>4718000</v>
      </c>
      <c r="Y34" s="72">
        <v>5175000</v>
      </c>
      <c r="Z34" s="72">
        <v>7802000</v>
      </c>
      <c r="AA34" s="72">
        <v>8301000</v>
      </c>
      <c r="AB34" s="72">
        <v>5476000</v>
      </c>
      <c r="AC34" s="72">
        <v>5138000</v>
      </c>
      <c r="AD34" s="72">
        <v>5138000</v>
      </c>
      <c r="AE34" s="72">
        <v>7884000</v>
      </c>
      <c r="AF34" s="72">
        <v>8734000</v>
      </c>
      <c r="AG34" s="71">
        <v>2</v>
      </c>
      <c r="AH34" s="72">
        <v>4610000</v>
      </c>
      <c r="AI34" s="72">
        <v>6200000</v>
      </c>
      <c r="AJ34" s="72">
        <v>4793000</v>
      </c>
      <c r="AK34" s="72">
        <v>7155000</v>
      </c>
      <c r="AL34" s="72">
        <v>7073000</v>
      </c>
      <c r="AM34" s="72">
        <v>5158000</v>
      </c>
      <c r="AN34" s="72">
        <v>5615000</v>
      </c>
      <c r="AO34" s="72">
        <v>8242000</v>
      </c>
      <c r="AP34" s="72">
        <v>8742000</v>
      </c>
      <c r="AQ34" s="72">
        <v>5917000</v>
      </c>
      <c r="AR34" s="72">
        <v>5579000</v>
      </c>
      <c r="AS34" s="72">
        <v>5579000</v>
      </c>
      <c r="AT34" s="72">
        <v>8325000</v>
      </c>
      <c r="AU34" s="72">
        <v>9175000</v>
      </c>
      <c r="AV34" s="73">
        <v>2</v>
      </c>
      <c r="AW34" s="72">
        <v>10468000</v>
      </c>
      <c r="AX34" s="72">
        <v>12058000</v>
      </c>
      <c r="AY34" s="72">
        <v>10651000</v>
      </c>
      <c r="AZ34" s="72">
        <v>13013000</v>
      </c>
      <c r="BA34" s="72">
        <v>12930000</v>
      </c>
      <c r="BB34" s="72">
        <v>11016000</v>
      </c>
      <c r="BC34" s="72">
        <v>11473000</v>
      </c>
      <c r="BD34" s="72">
        <v>14100000</v>
      </c>
      <c r="BE34" s="72">
        <v>14600000</v>
      </c>
      <c r="BF34" s="72">
        <v>11774000</v>
      </c>
      <c r="BG34" s="72">
        <v>11436000</v>
      </c>
      <c r="BH34" s="72">
        <v>11436000</v>
      </c>
      <c r="BI34" s="72">
        <v>14183000</v>
      </c>
      <c r="BJ34" s="72">
        <v>15033000</v>
      </c>
    </row>
    <row r="35" spans="1:62" ht="12.75" x14ac:dyDescent="0.2">
      <c r="A35" s="70">
        <v>2</v>
      </c>
      <c r="B35" s="51" t="s">
        <v>298</v>
      </c>
      <c r="C35" s="71">
        <v>5</v>
      </c>
      <c r="D35" s="72">
        <v>4783000</v>
      </c>
      <c r="E35" s="72">
        <v>6572000</v>
      </c>
      <c r="F35" s="72">
        <v>4988000</v>
      </c>
      <c r="G35" s="72">
        <v>7648000</v>
      </c>
      <c r="H35" s="72">
        <v>7555000</v>
      </c>
      <c r="I35" s="72">
        <v>5400000</v>
      </c>
      <c r="J35" s="72">
        <v>5914000</v>
      </c>
      <c r="K35" s="72">
        <v>8872000</v>
      </c>
      <c r="L35" s="72">
        <v>9435000</v>
      </c>
      <c r="M35" s="72">
        <v>6253000</v>
      </c>
      <c r="N35" s="72">
        <v>5873000</v>
      </c>
      <c r="O35" s="72">
        <v>5873000</v>
      </c>
      <c r="P35" s="72">
        <v>8965000</v>
      </c>
      <c r="Q35" s="72">
        <v>9922000</v>
      </c>
      <c r="R35" s="71">
        <v>5</v>
      </c>
      <c r="S35" s="72">
        <v>4293000</v>
      </c>
      <c r="T35" s="72">
        <v>6083000</v>
      </c>
      <c r="U35" s="72">
        <v>4499000</v>
      </c>
      <c r="V35" s="72">
        <v>7159000</v>
      </c>
      <c r="W35" s="72">
        <v>7065000</v>
      </c>
      <c r="X35" s="72">
        <v>4910000</v>
      </c>
      <c r="Y35" s="72">
        <v>5424000</v>
      </c>
      <c r="Z35" s="72">
        <v>8382000</v>
      </c>
      <c r="AA35" s="72">
        <v>8945000</v>
      </c>
      <c r="AB35" s="72">
        <v>5764000</v>
      </c>
      <c r="AC35" s="72">
        <v>5383000</v>
      </c>
      <c r="AD35" s="72">
        <v>5383000</v>
      </c>
      <c r="AE35" s="72">
        <v>8476000</v>
      </c>
      <c r="AF35" s="72">
        <v>9432000</v>
      </c>
      <c r="AG35" s="71">
        <v>2</v>
      </c>
      <c r="AH35" s="72">
        <v>4735000</v>
      </c>
      <c r="AI35" s="72">
        <v>6525000</v>
      </c>
      <c r="AJ35" s="72">
        <v>4941000</v>
      </c>
      <c r="AK35" s="72">
        <v>7601000</v>
      </c>
      <c r="AL35" s="72">
        <v>7508000</v>
      </c>
      <c r="AM35" s="72">
        <v>5352000</v>
      </c>
      <c r="AN35" s="72">
        <v>5867000</v>
      </c>
      <c r="AO35" s="72">
        <v>8825000</v>
      </c>
      <c r="AP35" s="72">
        <v>9387000</v>
      </c>
      <c r="AQ35" s="72">
        <v>6206000</v>
      </c>
      <c r="AR35" s="72">
        <v>5826000</v>
      </c>
      <c r="AS35" s="72">
        <v>5826000</v>
      </c>
      <c r="AT35" s="72">
        <v>8918000</v>
      </c>
      <c r="AU35" s="72">
        <v>9875000</v>
      </c>
      <c r="AV35" s="73">
        <v>2</v>
      </c>
      <c r="AW35" s="72">
        <v>10660000</v>
      </c>
      <c r="AX35" s="72">
        <v>12450000</v>
      </c>
      <c r="AY35" s="72">
        <v>10866000</v>
      </c>
      <c r="AZ35" s="72">
        <v>13526000</v>
      </c>
      <c r="BA35" s="72">
        <v>13432000</v>
      </c>
      <c r="BB35" s="72">
        <v>11277000</v>
      </c>
      <c r="BC35" s="72">
        <v>11792000</v>
      </c>
      <c r="BD35" s="72">
        <v>14749000</v>
      </c>
      <c r="BE35" s="72">
        <v>15312000</v>
      </c>
      <c r="BF35" s="72">
        <v>12131000</v>
      </c>
      <c r="BG35" s="72">
        <v>11750000</v>
      </c>
      <c r="BH35" s="72">
        <v>11750000</v>
      </c>
      <c r="BI35" s="72">
        <v>14843000</v>
      </c>
      <c r="BJ35" s="72">
        <v>15799000</v>
      </c>
    </row>
    <row r="36" spans="1:62" ht="12.75" x14ac:dyDescent="0.2">
      <c r="A36" s="70">
        <v>3</v>
      </c>
      <c r="B36" s="51" t="s">
        <v>299</v>
      </c>
      <c r="C36" s="71">
        <v>5</v>
      </c>
      <c r="D36" s="72">
        <v>4861000</v>
      </c>
      <c r="E36" s="72">
        <v>6771000</v>
      </c>
      <c r="F36" s="72">
        <v>5081000</v>
      </c>
      <c r="G36" s="72">
        <v>7919000</v>
      </c>
      <c r="H36" s="72">
        <v>7820000</v>
      </c>
      <c r="I36" s="72">
        <v>5520000</v>
      </c>
      <c r="J36" s="72">
        <v>6069000</v>
      </c>
      <c r="K36" s="72">
        <v>9225000</v>
      </c>
      <c r="L36" s="72">
        <v>9826000</v>
      </c>
      <c r="M36" s="72">
        <v>6431000</v>
      </c>
      <c r="N36" s="72">
        <v>6025000</v>
      </c>
      <c r="O36" s="72">
        <v>6025000</v>
      </c>
      <c r="P36" s="72">
        <v>9325000</v>
      </c>
      <c r="Q36" s="72">
        <v>10346000</v>
      </c>
      <c r="R36" s="71">
        <v>5</v>
      </c>
      <c r="S36" s="72">
        <v>4367000</v>
      </c>
      <c r="T36" s="72">
        <v>6277000</v>
      </c>
      <c r="U36" s="72">
        <v>4586000</v>
      </c>
      <c r="V36" s="72">
        <v>7425000</v>
      </c>
      <c r="W36" s="72">
        <v>7325000</v>
      </c>
      <c r="X36" s="72">
        <v>5026000</v>
      </c>
      <c r="Y36" s="72">
        <v>5574000</v>
      </c>
      <c r="Z36" s="72">
        <v>8731000</v>
      </c>
      <c r="AA36" s="72">
        <v>9331000</v>
      </c>
      <c r="AB36" s="72">
        <v>5937000</v>
      </c>
      <c r="AC36" s="72">
        <v>5531000</v>
      </c>
      <c r="AD36" s="72">
        <v>5531000</v>
      </c>
      <c r="AE36" s="72">
        <v>8830000</v>
      </c>
      <c r="AF36" s="72">
        <v>9851000</v>
      </c>
      <c r="AG36" s="71">
        <v>2</v>
      </c>
      <c r="AH36" s="72">
        <v>4810000</v>
      </c>
      <c r="AI36" s="72">
        <v>6720000</v>
      </c>
      <c r="AJ36" s="72">
        <v>5030000</v>
      </c>
      <c r="AK36" s="72">
        <v>7868000</v>
      </c>
      <c r="AL36" s="72">
        <v>7769000</v>
      </c>
      <c r="AM36" s="72">
        <v>5469000</v>
      </c>
      <c r="AN36" s="72">
        <v>6018000</v>
      </c>
      <c r="AO36" s="72">
        <v>9174000</v>
      </c>
      <c r="AP36" s="72">
        <v>9774000</v>
      </c>
      <c r="AQ36" s="72">
        <v>6380000</v>
      </c>
      <c r="AR36" s="72">
        <v>5974000</v>
      </c>
      <c r="AS36" s="72">
        <v>5974000</v>
      </c>
      <c r="AT36" s="72">
        <v>9274000</v>
      </c>
      <c r="AU36" s="72">
        <v>10295000</v>
      </c>
      <c r="AV36" s="73">
        <v>2</v>
      </c>
      <c r="AW36" s="72">
        <v>10775000</v>
      </c>
      <c r="AX36" s="72">
        <v>12685000</v>
      </c>
      <c r="AY36" s="72">
        <v>10995000</v>
      </c>
      <c r="AZ36" s="72">
        <v>13833000</v>
      </c>
      <c r="BA36" s="72">
        <v>13734000</v>
      </c>
      <c r="BB36" s="72">
        <v>11434000</v>
      </c>
      <c r="BC36" s="72">
        <v>11983000</v>
      </c>
      <c r="BD36" s="72">
        <v>15139000</v>
      </c>
      <c r="BE36" s="72">
        <v>15739000</v>
      </c>
      <c r="BF36" s="72">
        <v>12345000</v>
      </c>
      <c r="BG36" s="72">
        <v>11939000</v>
      </c>
      <c r="BH36" s="72">
        <v>11939000</v>
      </c>
      <c r="BI36" s="72">
        <v>15239000</v>
      </c>
      <c r="BJ36" s="72">
        <v>16260000</v>
      </c>
    </row>
    <row r="37" spans="1:62" ht="12.75" x14ac:dyDescent="0.2">
      <c r="A37" s="70">
        <v>4</v>
      </c>
      <c r="B37" s="51" t="s">
        <v>300</v>
      </c>
      <c r="C37" s="71">
        <v>5</v>
      </c>
      <c r="D37" s="72">
        <v>4914000</v>
      </c>
      <c r="E37" s="72">
        <v>6904000</v>
      </c>
      <c r="F37" s="72">
        <v>5142000</v>
      </c>
      <c r="G37" s="72">
        <v>8100000</v>
      </c>
      <c r="H37" s="72">
        <v>7996000</v>
      </c>
      <c r="I37" s="72">
        <v>5600000</v>
      </c>
      <c r="J37" s="72">
        <v>6172000</v>
      </c>
      <c r="K37" s="72">
        <v>9461000</v>
      </c>
      <c r="L37" s="72">
        <v>10086000</v>
      </c>
      <c r="M37" s="72">
        <v>6549000</v>
      </c>
      <c r="N37" s="72">
        <v>6126000</v>
      </c>
      <c r="O37" s="72">
        <v>6126000</v>
      </c>
      <c r="P37" s="72">
        <v>9564000</v>
      </c>
      <c r="Q37" s="72">
        <v>10628000</v>
      </c>
      <c r="R37" s="71">
        <v>5</v>
      </c>
      <c r="S37" s="72">
        <v>4416000</v>
      </c>
      <c r="T37" s="72">
        <v>6406000</v>
      </c>
      <c r="U37" s="72">
        <v>4645000</v>
      </c>
      <c r="V37" s="72">
        <v>7603000</v>
      </c>
      <c r="W37" s="72">
        <v>7499000</v>
      </c>
      <c r="X37" s="72">
        <v>5102000</v>
      </c>
      <c r="Y37" s="72">
        <v>5674000</v>
      </c>
      <c r="Z37" s="72">
        <v>8963000</v>
      </c>
      <c r="AA37" s="72">
        <v>9589000</v>
      </c>
      <c r="AB37" s="72">
        <v>6052000</v>
      </c>
      <c r="AC37" s="72">
        <v>5629000</v>
      </c>
      <c r="AD37" s="72">
        <v>5629000</v>
      </c>
      <c r="AE37" s="72">
        <v>9067000</v>
      </c>
      <c r="AF37" s="72">
        <v>10131000</v>
      </c>
      <c r="AG37" s="71">
        <v>2</v>
      </c>
      <c r="AH37" s="72">
        <v>4860000</v>
      </c>
      <c r="AI37" s="72">
        <v>6850000</v>
      </c>
      <c r="AJ37" s="72">
        <v>5089000</v>
      </c>
      <c r="AK37" s="72">
        <v>8046000</v>
      </c>
      <c r="AL37" s="72">
        <v>7943000</v>
      </c>
      <c r="AM37" s="72">
        <v>5546000</v>
      </c>
      <c r="AN37" s="72">
        <v>6118000</v>
      </c>
      <c r="AO37" s="72">
        <v>9407000</v>
      </c>
      <c r="AP37" s="72">
        <v>10033000</v>
      </c>
      <c r="AQ37" s="72">
        <v>6496000</v>
      </c>
      <c r="AR37" s="72">
        <v>6073000</v>
      </c>
      <c r="AS37" s="72">
        <v>6073000</v>
      </c>
      <c r="AT37" s="72">
        <v>9511000</v>
      </c>
      <c r="AU37" s="72">
        <v>10574000</v>
      </c>
      <c r="AV37" s="73">
        <v>2</v>
      </c>
      <c r="AW37" s="72">
        <v>10852000</v>
      </c>
      <c r="AX37" s="72">
        <v>12842000</v>
      </c>
      <c r="AY37" s="72">
        <v>11081000</v>
      </c>
      <c r="AZ37" s="72">
        <v>14038000</v>
      </c>
      <c r="BA37" s="72">
        <v>13935000</v>
      </c>
      <c r="BB37" s="72">
        <v>11538000</v>
      </c>
      <c r="BC37" s="72">
        <v>12110000</v>
      </c>
      <c r="BD37" s="72">
        <v>15399000</v>
      </c>
      <c r="BE37" s="72">
        <v>16024000</v>
      </c>
      <c r="BF37" s="72">
        <v>12487000</v>
      </c>
      <c r="BG37" s="72">
        <v>12064000</v>
      </c>
      <c r="BH37" s="72">
        <v>12064000</v>
      </c>
      <c r="BI37" s="72">
        <v>15503000</v>
      </c>
      <c r="BJ37" s="72">
        <v>16566000</v>
      </c>
    </row>
    <row r="38" spans="1:62" ht="12.75" x14ac:dyDescent="0.2">
      <c r="A38" s="70">
        <v>5</v>
      </c>
      <c r="B38" s="51" t="s">
        <v>301</v>
      </c>
      <c r="C38" s="71">
        <v>5</v>
      </c>
      <c r="D38" s="72">
        <v>5045000</v>
      </c>
      <c r="E38" s="72">
        <v>7235000</v>
      </c>
      <c r="F38" s="72">
        <v>5297000</v>
      </c>
      <c r="G38" s="72">
        <v>8552000</v>
      </c>
      <c r="H38" s="72">
        <v>8438000</v>
      </c>
      <c r="I38" s="72">
        <v>5800000</v>
      </c>
      <c r="J38" s="72">
        <v>6430000</v>
      </c>
      <c r="K38" s="72">
        <v>10049000</v>
      </c>
      <c r="L38" s="72">
        <v>10738000</v>
      </c>
      <c r="M38" s="72">
        <v>6845000</v>
      </c>
      <c r="N38" s="72">
        <v>6379000</v>
      </c>
      <c r="O38" s="72">
        <v>6379000</v>
      </c>
      <c r="P38" s="72">
        <v>10163000</v>
      </c>
      <c r="Q38" s="72">
        <v>11334000</v>
      </c>
      <c r="R38" s="71">
        <v>5</v>
      </c>
      <c r="S38" s="72">
        <v>4540000</v>
      </c>
      <c r="T38" s="72">
        <v>6730000</v>
      </c>
      <c r="U38" s="72">
        <v>4791000</v>
      </c>
      <c r="V38" s="72">
        <v>8046000</v>
      </c>
      <c r="W38" s="72">
        <v>7932000</v>
      </c>
      <c r="X38" s="72">
        <v>5295000</v>
      </c>
      <c r="Y38" s="72">
        <v>5924000</v>
      </c>
      <c r="Z38" s="72">
        <v>9544000</v>
      </c>
      <c r="AA38" s="72">
        <v>10232000</v>
      </c>
      <c r="AB38" s="72">
        <v>6340000</v>
      </c>
      <c r="AC38" s="72">
        <v>5874000</v>
      </c>
      <c r="AD38" s="72">
        <v>5874000</v>
      </c>
      <c r="AE38" s="72">
        <v>9658000</v>
      </c>
      <c r="AF38" s="72">
        <v>10829000</v>
      </c>
      <c r="AG38" s="71">
        <v>2</v>
      </c>
      <c r="AH38" s="72">
        <v>4985000</v>
      </c>
      <c r="AI38" s="72">
        <v>7175000</v>
      </c>
      <c r="AJ38" s="72">
        <v>5237000</v>
      </c>
      <c r="AK38" s="72">
        <v>8492000</v>
      </c>
      <c r="AL38" s="72">
        <v>8378000</v>
      </c>
      <c r="AM38" s="72">
        <v>5740000</v>
      </c>
      <c r="AN38" s="72">
        <v>6370000</v>
      </c>
      <c r="AO38" s="72">
        <v>9989000</v>
      </c>
      <c r="AP38" s="72">
        <v>10678000</v>
      </c>
      <c r="AQ38" s="72">
        <v>6785000</v>
      </c>
      <c r="AR38" s="72">
        <v>6319000</v>
      </c>
      <c r="AS38" s="72">
        <v>6319000</v>
      </c>
      <c r="AT38" s="72">
        <v>10104000</v>
      </c>
      <c r="AU38" s="72">
        <v>11274000</v>
      </c>
      <c r="AV38" s="73">
        <v>2</v>
      </c>
      <c r="AW38" s="72">
        <v>11044000</v>
      </c>
      <c r="AX38" s="72">
        <v>13234000</v>
      </c>
      <c r="AY38" s="72">
        <v>11296000</v>
      </c>
      <c r="AZ38" s="72">
        <v>14551000</v>
      </c>
      <c r="BA38" s="72">
        <v>14437000</v>
      </c>
      <c r="BB38" s="72">
        <v>11799000</v>
      </c>
      <c r="BC38" s="72">
        <v>12429000</v>
      </c>
      <c r="BD38" s="72">
        <v>16048000</v>
      </c>
      <c r="BE38" s="72">
        <v>16737000</v>
      </c>
      <c r="BF38" s="72">
        <v>12844000</v>
      </c>
      <c r="BG38" s="72">
        <v>12378000</v>
      </c>
      <c r="BH38" s="72">
        <v>12378000</v>
      </c>
      <c r="BI38" s="72">
        <v>16163000</v>
      </c>
      <c r="BJ38" s="72">
        <v>17333000</v>
      </c>
    </row>
    <row r="39" spans="1:62" ht="12.75" x14ac:dyDescent="0.2">
      <c r="A39" s="70">
        <v>6</v>
      </c>
      <c r="B39" s="51" t="s">
        <v>302</v>
      </c>
      <c r="C39" s="71">
        <v>5</v>
      </c>
      <c r="D39" s="72">
        <v>5176000</v>
      </c>
      <c r="E39" s="72">
        <v>7567000</v>
      </c>
      <c r="F39" s="72">
        <v>5451000</v>
      </c>
      <c r="G39" s="72">
        <v>9004000</v>
      </c>
      <c r="H39" s="72">
        <v>8879000</v>
      </c>
      <c r="I39" s="72">
        <v>6000000</v>
      </c>
      <c r="J39" s="72">
        <v>6687000</v>
      </c>
      <c r="K39" s="72">
        <v>10638000</v>
      </c>
      <c r="L39" s="72">
        <v>11389000</v>
      </c>
      <c r="M39" s="72">
        <v>7141000</v>
      </c>
      <c r="N39" s="72">
        <v>6632000</v>
      </c>
      <c r="O39" s="72">
        <v>6632000</v>
      </c>
      <c r="P39" s="72">
        <v>10763000</v>
      </c>
      <c r="Q39" s="72">
        <v>12040000</v>
      </c>
      <c r="R39" s="71">
        <v>5</v>
      </c>
      <c r="S39" s="72">
        <v>4663000</v>
      </c>
      <c r="T39" s="72">
        <v>7054000</v>
      </c>
      <c r="U39" s="72">
        <v>4938000</v>
      </c>
      <c r="V39" s="72">
        <v>8490000</v>
      </c>
      <c r="W39" s="72">
        <v>8366000</v>
      </c>
      <c r="X39" s="72">
        <v>5487000</v>
      </c>
      <c r="Y39" s="72">
        <v>6174000</v>
      </c>
      <c r="Z39" s="72">
        <v>10125000</v>
      </c>
      <c r="AA39" s="72">
        <v>10876000</v>
      </c>
      <c r="AB39" s="72">
        <v>6628000</v>
      </c>
      <c r="AC39" s="72">
        <v>6119000</v>
      </c>
      <c r="AD39" s="72">
        <v>6119000</v>
      </c>
      <c r="AE39" s="72">
        <v>10249000</v>
      </c>
      <c r="AF39" s="72">
        <v>11527000</v>
      </c>
      <c r="AG39" s="71">
        <v>2</v>
      </c>
      <c r="AH39" s="72">
        <v>5110000</v>
      </c>
      <c r="AI39" s="72">
        <v>7501000</v>
      </c>
      <c r="AJ39" s="72">
        <v>5385000</v>
      </c>
      <c r="AK39" s="72">
        <v>8937000</v>
      </c>
      <c r="AL39" s="72">
        <v>8813000</v>
      </c>
      <c r="AM39" s="72">
        <v>5934000</v>
      </c>
      <c r="AN39" s="72">
        <v>6621000</v>
      </c>
      <c r="AO39" s="72">
        <v>10572000</v>
      </c>
      <c r="AP39" s="72">
        <v>11323000</v>
      </c>
      <c r="AQ39" s="72">
        <v>7075000</v>
      </c>
      <c r="AR39" s="72">
        <v>6566000</v>
      </c>
      <c r="AS39" s="72">
        <v>6566000</v>
      </c>
      <c r="AT39" s="72">
        <v>10696000</v>
      </c>
      <c r="AU39" s="72">
        <v>11974000</v>
      </c>
      <c r="AV39" s="73">
        <v>2</v>
      </c>
      <c r="AW39" s="72">
        <v>11236000</v>
      </c>
      <c r="AX39" s="72">
        <v>13627000</v>
      </c>
      <c r="AY39" s="72">
        <v>11511000</v>
      </c>
      <c r="AZ39" s="72">
        <v>15063000</v>
      </c>
      <c r="BA39" s="72">
        <v>14939000</v>
      </c>
      <c r="BB39" s="72">
        <v>12060000</v>
      </c>
      <c r="BC39" s="72">
        <v>12747000</v>
      </c>
      <c r="BD39" s="72">
        <v>16698000</v>
      </c>
      <c r="BE39" s="72">
        <v>17449000</v>
      </c>
      <c r="BF39" s="72">
        <v>13201000</v>
      </c>
      <c r="BG39" s="72">
        <v>12692000</v>
      </c>
      <c r="BH39" s="72">
        <v>12692000</v>
      </c>
      <c r="BI39" s="72">
        <v>16822000</v>
      </c>
      <c r="BJ39" s="72">
        <v>18100000</v>
      </c>
    </row>
    <row r="40" spans="1:62" ht="20.25" x14ac:dyDescent="0.3">
      <c r="A40" s="70"/>
      <c r="B40" s="68" t="s">
        <v>303</v>
      </c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24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</row>
    <row r="41" spans="1:62" ht="12.75" x14ac:dyDescent="0.2">
      <c r="A41" s="70">
        <v>1</v>
      </c>
      <c r="B41" s="51" t="s">
        <v>304</v>
      </c>
      <c r="C41" s="71">
        <v>2</v>
      </c>
      <c r="D41" s="72">
        <v>1764000</v>
      </c>
      <c r="E41" s="72">
        <v>2046000</v>
      </c>
      <c r="F41" s="72">
        <v>1797000</v>
      </c>
      <c r="G41" s="72">
        <v>2216000</v>
      </c>
      <c r="H41" s="72">
        <v>2201000</v>
      </c>
      <c r="I41" s="72">
        <v>1862000</v>
      </c>
      <c r="J41" s="72">
        <v>1943000</v>
      </c>
      <c r="K41" s="72">
        <v>2408000</v>
      </c>
      <c r="L41" s="72">
        <v>2497000</v>
      </c>
      <c r="M41" s="72">
        <v>1996000</v>
      </c>
      <c r="N41" s="72">
        <v>1936000</v>
      </c>
      <c r="O41" s="72">
        <v>1936000</v>
      </c>
      <c r="P41" s="72">
        <v>2423000</v>
      </c>
      <c r="Q41" s="72">
        <v>2574000</v>
      </c>
      <c r="R41" s="71">
        <v>2</v>
      </c>
      <c r="S41" s="72">
        <v>1628000</v>
      </c>
      <c r="T41" s="72">
        <v>1910000</v>
      </c>
      <c r="U41" s="72">
        <v>1660000</v>
      </c>
      <c r="V41" s="72">
        <v>2079000</v>
      </c>
      <c r="W41" s="72">
        <v>2064000</v>
      </c>
      <c r="X41" s="72">
        <v>1725000</v>
      </c>
      <c r="Y41" s="72">
        <v>1806000</v>
      </c>
      <c r="Z41" s="72">
        <v>2272000</v>
      </c>
      <c r="AA41" s="72">
        <v>2360000</v>
      </c>
      <c r="AB41" s="72">
        <v>1859000</v>
      </c>
      <c r="AC41" s="72">
        <v>1799000</v>
      </c>
      <c r="AD41" s="72">
        <v>1799000</v>
      </c>
      <c r="AE41" s="72">
        <v>2286000</v>
      </c>
      <c r="AF41" s="72">
        <v>2437000</v>
      </c>
      <c r="AG41" s="71">
        <v>2</v>
      </c>
      <c r="AH41" s="72">
        <v>2724000</v>
      </c>
      <c r="AI41" s="72">
        <v>3006000</v>
      </c>
      <c r="AJ41" s="72">
        <v>2757000</v>
      </c>
      <c r="AK41" s="72">
        <v>3176000</v>
      </c>
      <c r="AL41" s="72">
        <v>3161000</v>
      </c>
      <c r="AM41" s="72">
        <v>2822000</v>
      </c>
      <c r="AN41" s="72">
        <v>2903000</v>
      </c>
      <c r="AO41" s="72">
        <v>3369000</v>
      </c>
      <c r="AP41" s="72">
        <v>3457000</v>
      </c>
      <c r="AQ41" s="72">
        <v>2956000</v>
      </c>
      <c r="AR41" s="72">
        <v>2896000</v>
      </c>
      <c r="AS41" s="72">
        <v>2896000</v>
      </c>
      <c r="AT41" s="72">
        <v>3383000</v>
      </c>
      <c r="AU41" s="72">
        <v>3534000</v>
      </c>
      <c r="AV41" s="73">
        <v>2</v>
      </c>
      <c r="AW41" s="72">
        <v>6059000</v>
      </c>
      <c r="AX41" s="72">
        <v>6341000</v>
      </c>
      <c r="AY41" s="72">
        <v>6092000</v>
      </c>
      <c r="AZ41" s="72">
        <v>6511000</v>
      </c>
      <c r="BA41" s="72">
        <v>6496000</v>
      </c>
      <c r="BB41" s="72">
        <v>6157000</v>
      </c>
      <c r="BC41" s="72">
        <v>6238000</v>
      </c>
      <c r="BD41" s="72">
        <v>6703000</v>
      </c>
      <c r="BE41" s="72">
        <v>6792000</v>
      </c>
      <c r="BF41" s="72">
        <v>6291000</v>
      </c>
      <c r="BG41" s="72">
        <v>6231000</v>
      </c>
      <c r="BH41" s="72">
        <v>6231000</v>
      </c>
      <c r="BI41" s="72">
        <v>6718000</v>
      </c>
      <c r="BJ41" s="72">
        <v>6869000</v>
      </c>
    </row>
    <row r="42" spans="1:62" ht="12.75" x14ac:dyDescent="0.2">
      <c r="A42" s="70">
        <v>2</v>
      </c>
      <c r="B42" s="51" t="s">
        <v>305</v>
      </c>
      <c r="C42" s="71">
        <v>2</v>
      </c>
      <c r="D42" s="72">
        <v>1825000</v>
      </c>
      <c r="E42" s="72">
        <v>2143000</v>
      </c>
      <c r="F42" s="72">
        <v>1862000</v>
      </c>
      <c r="G42" s="72">
        <v>2334000</v>
      </c>
      <c r="H42" s="72">
        <v>2317000</v>
      </c>
      <c r="I42" s="72">
        <v>1935000</v>
      </c>
      <c r="J42" s="72">
        <v>2026000</v>
      </c>
      <c r="K42" s="72">
        <v>2551000</v>
      </c>
      <c r="L42" s="72">
        <v>2650000</v>
      </c>
      <c r="M42" s="72">
        <v>2086000</v>
      </c>
      <c r="N42" s="72">
        <v>2019000</v>
      </c>
      <c r="O42" s="72">
        <v>2019000</v>
      </c>
      <c r="P42" s="72">
        <v>2567000</v>
      </c>
      <c r="Q42" s="72">
        <v>2737000</v>
      </c>
      <c r="R42" s="71">
        <v>2</v>
      </c>
      <c r="S42" s="72">
        <v>1681000</v>
      </c>
      <c r="T42" s="72">
        <v>1998000</v>
      </c>
      <c r="U42" s="72">
        <v>1717000</v>
      </c>
      <c r="V42" s="72">
        <v>2189000</v>
      </c>
      <c r="W42" s="72">
        <v>2173000</v>
      </c>
      <c r="X42" s="72">
        <v>1790000</v>
      </c>
      <c r="Y42" s="72">
        <v>1882000</v>
      </c>
      <c r="Z42" s="72">
        <v>2406000</v>
      </c>
      <c r="AA42" s="72">
        <v>2506000</v>
      </c>
      <c r="AB42" s="72">
        <v>1942000</v>
      </c>
      <c r="AC42" s="72">
        <v>1874000</v>
      </c>
      <c r="AD42" s="72">
        <v>1874000</v>
      </c>
      <c r="AE42" s="72">
        <v>2423000</v>
      </c>
      <c r="AF42" s="72">
        <v>2592000</v>
      </c>
      <c r="AG42" s="71">
        <v>2</v>
      </c>
      <c r="AH42" s="72">
        <v>2779000</v>
      </c>
      <c r="AI42" s="72">
        <v>3097000</v>
      </c>
      <c r="AJ42" s="72">
        <v>2816000</v>
      </c>
      <c r="AK42" s="72">
        <v>3288000</v>
      </c>
      <c r="AL42" s="72">
        <v>3271000</v>
      </c>
      <c r="AM42" s="72">
        <v>2889000</v>
      </c>
      <c r="AN42" s="72">
        <v>2980000</v>
      </c>
      <c r="AO42" s="72">
        <v>3505000</v>
      </c>
      <c r="AP42" s="72">
        <v>3604000</v>
      </c>
      <c r="AQ42" s="72">
        <v>3040000</v>
      </c>
      <c r="AR42" s="72">
        <v>2973000</v>
      </c>
      <c r="AS42" s="72">
        <v>2973000</v>
      </c>
      <c r="AT42" s="72">
        <v>3521000</v>
      </c>
      <c r="AU42" s="72">
        <v>3691000</v>
      </c>
      <c r="AV42" s="73">
        <v>2</v>
      </c>
      <c r="AW42" s="72">
        <v>6181000</v>
      </c>
      <c r="AX42" s="72">
        <v>6499000</v>
      </c>
      <c r="AY42" s="72">
        <v>6218000</v>
      </c>
      <c r="AZ42" s="72">
        <v>6689000</v>
      </c>
      <c r="BA42" s="72">
        <v>6673000</v>
      </c>
      <c r="BB42" s="72">
        <v>6291000</v>
      </c>
      <c r="BC42" s="72">
        <v>6382000</v>
      </c>
      <c r="BD42" s="72">
        <v>6907000</v>
      </c>
      <c r="BE42" s="72">
        <v>7006000</v>
      </c>
      <c r="BF42" s="72">
        <v>6442000</v>
      </c>
      <c r="BG42" s="72">
        <v>6375000</v>
      </c>
      <c r="BH42" s="72">
        <v>6375000</v>
      </c>
      <c r="BI42" s="72">
        <v>6923000</v>
      </c>
      <c r="BJ42" s="72">
        <v>7093000</v>
      </c>
    </row>
    <row r="43" spans="1:62" ht="12.75" x14ac:dyDescent="0.2">
      <c r="A43" s="70">
        <v>3</v>
      </c>
      <c r="B43" s="51" t="s">
        <v>306</v>
      </c>
      <c r="C43" s="71">
        <v>2</v>
      </c>
      <c r="D43" s="72">
        <v>1887000</v>
      </c>
      <c r="E43" s="72">
        <v>2240000</v>
      </c>
      <c r="F43" s="72">
        <v>1927000</v>
      </c>
      <c r="G43" s="72">
        <v>2452000</v>
      </c>
      <c r="H43" s="72">
        <v>2433000</v>
      </c>
      <c r="I43" s="72">
        <v>2008000</v>
      </c>
      <c r="J43" s="72">
        <v>2110000</v>
      </c>
      <c r="K43" s="72">
        <v>2693000</v>
      </c>
      <c r="L43" s="72">
        <v>2804000</v>
      </c>
      <c r="M43" s="72">
        <v>2177000</v>
      </c>
      <c r="N43" s="72">
        <v>2102000</v>
      </c>
      <c r="O43" s="72">
        <v>2102000</v>
      </c>
      <c r="P43" s="72">
        <v>2711000</v>
      </c>
      <c r="Q43" s="72">
        <v>2900000</v>
      </c>
      <c r="R43" s="71">
        <v>2</v>
      </c>
      <c r="S43" s="72">
        <v>1734000</v>
      </c>
      <c r="T43" s="72">
        <v>2087000</v>
      </c>
      <c r="U43" s="72">
        <v>1775000</v>
      </c>
      <c r="V43" s="72">
        <v>2299000</v>
      </c>
      <c r="W43" s="72">
        <v>2281000</v>
      </c>
      <c r="X43" s="72">
        <v>1856000</v>
      </c>
      <c r="Y43" s="72">
        <v>1957000</v>
      </c>
      <c r="Z43" s="72">
        <v>2541000</v>
      </c>
      <c r="AA43" s="72">
        <v>2652000</v>
      </c>
      <c r="AB43" s="72">
        <v>2024000</v>
      </c>
      <c r="AC43" s="72">
        <v>1949000</v>
      </c>
      <c r="AD43" s="72">
        <v>1949000</v>
      </c>
      <c r="AE43" s="72">
        <v>2559000</v>
      </c>
      <c r="AF43" s="72">
        <v>2748000</v>
      </c>
      <c r="AG43" s="71">
        <v>2</v>
      </c>
      <c r="AH43" s="72">
        <v>2834000</v>
      </c>
      <c r="AI43" s="72">
        <v>3187000</v>
      </c>
      <c r="AJ43" s="72">
        <v>2875000</v>
      </c>
      <c r="AK43" s="72">
        <v>3399000</v>
      </c>
      <c r="AL43" s="72">
        <v>3381000</v>
      </c>
      <c r="AM43" s="72">
        <v>2956000</v>
      </c>
      <c r="AN43" s="72">
        <v>3057000</v>
      </c>
      <c r="AO43" s="72">
        <v>3641000</v>
      </c>
      <c r="AP43" s="72">
        <v>3752000</v>
      </c>
      <c r="AQ43" s="72">
        <v>3124000</v>
      </c>
      <c r="AR43" s="72">
        <v>3049000</v>
      </c>
      <c r="AS43" s="72">
        <v>3049000</v>
      </c>
      <c r="AT43" s="72">
        <v>3659000</v>
      </c>
      <c r="AU43" s="72">
        <v>3848000</v>
      </c>
      <c r="AV43" s="73">
        <v>2</v>
      </c>
      <c r="AW43" s="72">
        <v>6303000</v>
      </c>
      <c r="AX43" s="72">
        <v>6656000</v>
      </c>
      <c r="AY43" s="72">
        <v>6344000</v>
      </c>
      <c r="AZ43" s="72">
        <v>6868000</v>
      </c>
      <c r="BA43" s="72">
        <v>6850000</v>
      </c>
      <c r="BB43" s="72">
        <v>6425000</v>
      </c>
      <c r="BC43" s="72">
        <v>6526000</v>
      </c>
      <c r="BD43" s="72">
        <v>7110000</v>
      </c>
      <c r="BE43" s="72">
        <v>7221000</v>
      </c>
      <c r="BF43" s="72">
        <v>6593000</v>
      </c>
      <c r="BG43" s="72">
        <v>6518000</v>
      </c>
      <c r="BH43" s="72">
        <v>6518000</v>
      </c>
      <c r="BI43" s="72">
        <v>7128000</v>
      </c>
      <c r="BJ43" s="72">
        <v>7317000</v>
      </c>
    </row>
    <row r="44" spans="1:62" ht="12.75" x14ac:dyDescent="0.2">
      <c r="A44" s="70">
        <v>4</v>
      </c>
      <c r="B44" s="51" t="s">
        <v>307</v>
      </c>
      <c r="C44" s="71">
        <v>2</v>
      </c>
      <c r="D44" s="72">
        <v>1948000</v>
      </c>
      <c r="E44" s="72">
        <v>2336000</v>
      </c>
      <c r="F44" s="72">
        <v>1992000</v>
      </c>
      <c r="G44" s="72">
        <v>2570000</v>
      </c>
      <c r="H44" s="72">
        <v>2549000</v>
      </c>
      <c r="I44" s="72">
        <v>2082000</v>
      </c>
      <c r="J44" s="72">
        <v>2193000</v>
      </c>
      <c r="K44" s="72">
        <v>2835000</v>
      </c>
      <c r="L44" s="72">
        <v>2957000</v>
      </c>
      <c r="M44" s="72">
        <v>2267000</v>
      </c>
      <c r="N44" s="72">
        <v>2184000</v>
      </c>
      <c r="O44" s="72">
        <v>2184000</v>
      </c>
      <c r="P44" s="72">
        <v>2855000</v>
      </c>
      <c r="Q44" s="72">
        <v>3063000</v>
      </c>
      <c r="R44" s="71">
        <v>2</v>
      </c>
      <c r="S44" s="72">
        <v>1788000</v>
      </c>
      <c r="T44" s="72">
        <v>2176000</v>
      </c>
      <c r="U44" s="72">
        <v>1832000</v>
      </c>
      <c r="V44" s="72">
        <v>2409000</v>
      </c>
      <c r="W44" s="72">
        <v>2389000</v>
      </c>
      <c r="X44" s="72">
        <v>1921000</v>
      </c>
      <c r="Y44" s="72">
        <v>2033000</v>
      </c>
      <c r="Z44" s="72">
        <v>2675000</v>
      </c>
      <c r="AA44" s="72">
        <v>2797000</v>
      </c>
      <c r="AB44" s="72">
        <v>2107000</v>
      </c>
      <c r="AC44" s="72">
        <v>2024000</v>
      </c>
      <c r="AD44" s="72">
        <v>2024000</v>
      </c>
      <c r="AE44" s="72">
        <v>2695000</v>
      </c>
      <c r="AF44" s="72">
        <v>2903000</v>
      </c>
      <c r="AG44" s="71">
        <v>2</v>
      </c>
      <c r="AH44" s="72">
        <v>2889000</v>
      </c>
      <c r="AI44" s="72">
        <v>3278000</v>
      </c>
      <c r="AJ44" s="72">
        <v>2934000</v>
      </c>
      <c r="AK44" s="72">
        <v>3511000</v>
      </c>
      <c r="AL44" s="72">
        <v>3491000</v>
      </c>
      <c r="AM44" s="72">
        <v>3023000</v>
      </c>
      <c r="AN44" s="72">
        <v>3135000</v>
      </c>
      <c r="AO44" s="72">
        <v>3777000</v>
      </c>
      <c r="AP44" s="72">
        <v>3899000</v>
      </c>
      <c r="AQ44" s="72">
        <v>3208000</v>
      </c>
      <c r="AR44" s="72">
        <v>3126000</v>
      </c>
      <c r="AS44" s="72">
        <v>3126000</v>
      </c>
      <c r="AT44" s="72">
        <v>3797000</v>
      </c>
      <c r="AU44" s="72">
        <v>4005000</v>
      </c>
      <c r="AV44" s="73">
        <v>2</v>
      </c>
      <c r="AW44" s="72">
        <v>6425000</v>
      </c>
      <c r="AX44" s="72">
        <v>6814000</v>
      </c>
      <c r="AY44" s="72">
        <v>6470000</v>
      </c>
      <c r="AZ44" s="72">
        <v>7047000</v>
      </c>
      <c r="BA44" s="72">
        <v>7027000</v>
      </c>
      <c r="BB44" s="72">
        <v>6559000</v>
      </c>
      <c r="BC44" s="72">
        <v>6671000</v>
      </c>
      <c r="BD44" s="72">
        <v>7313000</v>
      </c>
      <c r="BE44" s="72">
        <v>7435000</v>
      </c>
      <c r="BF44" s="72">
        <v>6744000</v>
      </c>
      <c r="BG44" s="72">
        <v>6662000</v>
      </c>
      <c r="BH44" s="72">
        <v>6662000</v>
      </c>
      <c r="BI44" s="72">
        <v>7333000</v>
      </c>
      <c r="BJ44" s="72">
        <v>7541000</v>
      </c>
    </row>
    <row r="45" spans="1:62" ht="12.75" x14ac:dyDescent="0.2">
      <c r="A45" s="70">
        <v>5</v>
      </c>
      <c r="B45" s="51" t="s">
        <v>308</v>
      </c>
      <c r="C45" s="71">
        <v>2</v>
      </c>
      <c r="D45" s="72">
        <v>2009000</v>
      </c>
      <c r="E45" s="72">
        <v>2433000</v>
      </c>
      <c r="F45" s="72">
        <v>2058000</v>
      </c>
      <c r="G45" s="72">
        <v>2688000</v>
      </c>
      <c r="H45" s="72">
        <v>2666000</v>
      </c>
      <c r="I45" s="72">
        <v>2155000</v>
      </c>
      <c r="J45" s="72">
        <v>2277000</v>
      </c>
      <c r="K45" s="72">
        <v>2977000</v>
      </c>
      <c r="L45" s="72">
        <v>3111000</v>
      </c>
      <c r="M45" s="72">
        <v>2357000</v>
      </c>
      <c r="N45" s="72">
        <v>2267000</v>
      </c>
      <c r="O45" s="72">
        <v>2267000</v>
      </c>
      <c r="P45" s="72">
        <v>3000000</v>
      </c>
      <c r="Q45" s="72">
        <v>3226000</v>
      </c>
      <c r="R45" s="71">
        <v>2</v>
      </c>
      <c r="S45" s="72">
        <v>1841000</v>
      </c>
      <c r="T45" s="72">
        <v>2265000</v>
      </c>
      <c r="U45" s="72">
        <v>1890000</v>
      </c>
      <c r="V45" s="72">
        <v>2520000</v>
      </c>
      <c r="W45" s="72">
        <v>2498000</v>
      </c>
      <c r="X45" s="72">
        <v>1987000</v>
      </c>
      <c r="Y45" s="72">
        <v>2109000</v>
      </c>
      <c r="Z45" s="72">
        <v>2809000</v>
      </c>
      <c r="AA45" s="72">
        <v>2943000</v>
      </c>
      <c r="AB45" s="72">
        <v>2189000</v>
      </c>
      <c r="AC45" s="72">
        <v>2099000</v>
      </c>
      <c r="AD45" s="72">
        <v>2099000</v>
      </c>
      <c r="AE45" s="72">
        <v>2832000</v>
      </c>
      <c r="AF45" s="72">
        <v>3058000</v>
      </c>
      <c r="AG45" s="71">
        <v>2</v>
      </c>
      <c r="AH45" s="72">
        <v>2944000</v>
      </c>
      <c r="AI45" s="72">
        <v>3368000</v>
      </c>
      <c r="AJ45" s="72">
        <v>2993000</v>
      </c>
      <c r="AK45" s="72">
        <v>3623000</v>
      </c>
      <c r="AL45" s="72">
        <v>3601000</v>
      </c>
      <c r="AM45" s="72">
        <v>3090000</v>
      </c>
      <c r="AN45" s="72">
        <v>3212000</v>
      </c>
      <c r="AO45" s="72">
        <v>3913000</v>
      </c>
      <c r="AP45" s="72">
        <v>4046000</v>
      </c>
      <c r="AQ45" s="72">
        <v>3293000</v>
      </c>
      <c r="AR45" s="72">
        <v>3202000</v>
      </c>
      <c r="AS45" s="72">
        <v>3202000</v>
      </c>
      <c r="AT45" s="72">
        <v>3935000</v>
      </c>
      <c r="AU45" s="72">
        <v>4161000</v>
      </c>
      <c r="AV45" s="73">
        <v>2</v>
      </c>
      <c r="AW45" s="72">
        <v>6547000</v>
      </c>
      <c r="AX45" s="72">
        <v>6971000</v>
      </c>
      <c r="AY45" s="72">
        <v>6596000</v>
      </c>
      <c r="AZ45" s="72">
        <v>7226000</v>
      </c>
      <c r="BA45" s="72">
        <v>7204000</v>
      </c>
      <c r="BB45" s="72">
        <v>6693000</v>
      </c>
      <c r="BC45" s="72">
        <v>6815000</v>
      </c>
      <c r="BD45" s="72">
        <v>7516000</v>
      </c>
      <c r="BE45" s="72">
        <v>7649000</v>
      </c>
      <c r="BF45" s="72">
        <v>6896000</v>
      </c>
      <c r="BG45" s="72">
        <v>6805000</v>
      </c>
      <c r="BH45" s="72">
        <v>6805000</v>
      </c>
      <c r="BI45" s="72">
        <v>7538000</v>
      </c>
      <c r="BJ45" s="72">
        <v>7764000</v>
      </c>
    </row>
    <row r="46" spans="1:62" ht="12.75" x14ac:dyDescent="0.2">
      <c r="A46" s="70">
        <v>6</v>
      </c>
      <c r="B46" s="51" t="s">
        <v>309</v>
      </c>
      <c r="C46" s="71">
        <v>2</v>
      </c>
      <c r="D46" s="72">
        <v>2253000</v>
      </c>
      <c r="E46" s="72">
        <v>2819000</v>
      </c>
      <c r="F46" s="72">
        <v>2318000</v>
      </c>
      <c r="G46" s="72">
        <v>3160000</v>
      </c>
      <c r="H46" s="72">
        <v>3130000</v>
      </c>
      <c r="I46" s="72">
        <v>2449000</v>
      </c>
      <c r="J46" s="72">
        <v>2611000</v>
      </c>
      <c r="K46" s="72">
        <v>3547000</v>
      </c>
      <c r="L46" s="72">
        <v>3724000</v>
      </c>
      <c r="M46" s="72">
        <v>2719000</v>
      </c>
      <c r="N46" s="72">
        <v>2598000</v>
      </c>
      <c r="O46" s="72">
        <v>2598000</v>
      </c>
      <c r="P46" s="72">
        <v>3576000</v>
      </c>
      <c r="Q46" s="72">
        <v>3879000</v>
      </c>
      <c r="R46" s="71">
        <v>2</v>
      </c>
      <c r="S46" s="72">
        <v>2054000</v>
      </c>
      <c r="T46" s="72">
        <v>2620000</v>
      </c>
      <c r="U46" s="72">
        <v>2119000</v>
      </c>
      <c r="V46" s="72">
        <v>2960000</v>
      </c>
      <c r="W46" s="72">
        <v>2931000</v>
      </c>
      <c r="X46" s="72">
        <v>2249000</v>
      </c>
      <c r="Y46" s="72">
        <v>2412000</v>
      </c>
      <c r="Z46" s="72">
        <v>3347000</v>
      </c>
      <c r="AA46" s="72">
        <v>3525000</v>
      </c>
      <c r="AB46" s="72">
        <v>2519000</v>
      </c>
      <c r="AC46" s="72">
        <v>2399000</v>
      </c>
      <c r="AD46" s="72">
        <v>2399000</v>
      </c>
      <c r="AE46" s="72">
        <v>3377000</v>
      </c>
      <c r="AF46" s="72">
        <v>3679000</v>
      </c>
      <c r="AG46" s="71">
        <v>2</v>
      </c>
      <c r="AH46" s="72">
        <v>3164000</v>
      </c>
      <c r="AI46" s="72">
        <v>3730000</v>
      </c>
      <c r="AJ46" s="72">
        <v>3229000</v>
      </c>
      <c r="AK46" s="72">
        <v>4070000</v>
      </c>
      <c r="AL46" s="72">
        <v>4040000</v>
      </c>
      <c r="AM46" s="72">
        <v>3359000</v>
      </c>
      <c r="AN46" s="72">
        <v>3522000</v>
      </c>
      <c r="AO46" s="72">
        <v>4457000</v>
      </c>
      <c r="AP46" s="72">
        <v>4635000</v>
      </c>
      <c r="AQ46" s="72">
        <v>3629000</v>
      </c>
      <c r="AR46" s="72">
        <v>3509000</v>
      </c>
      <c r="AS46" s="72">
        <v>3509000</v>
      </c>
      <c r="AT46" s="72">
        <v>4486000</v>
      </c>
      <c r="AU46" s="72">
        <v>4789000</v>
      </c>
      <c r="AV46" s="73">
        <v>2</v>
      </c>
      <c r="AW46" s="72">
        <v>7035000</v>
      </c>
      <c r="AX46" s="72">
        <v>7601000</v>
      </c>
      <c r="AY46" s="72">
        <v>7100000</v>
      </c>
      <c r="AZ46" s="72">
        <v>7941000</v>
      </c>
      <c r="BA46" s="72">
        <v>7912000</v>
      </c>
      <c r="BB46" s="72">
        <v>7230000</v>
      </c>
      <c r="BC46" s="72">
        <v>7393000</v>
      </c>
      <c r="BD46" s="72">
        <v>8328000</v>
      </c>
      <c r="BE46" s="72">
        <v>8506000</v>
      </c>
      <c r="BF46" s="72">
        <v>7500000</v>
      </c>
      <c r="BG46" s="72">
        <v>7380000</v>
      </c>
      <c r="BH46" s="72">
        <v>7380000</v>
      </c>
      <c r="BI46" s="72">
        <v>8358000</v>
      </c>
      <c r="BJ46" s="72">
        <v>8660000</v>
      </c>
    </row>
    <row r="47" spans="1:62" ht="12.75" x14ac:dyDescent="0.2">
      <c r="A47" s="70">
        <v>7</v>
      </c>
      <c r="B47" s="51" t="s">
        <v>310</v>
      </c>
      <c r="C47" s="71">
        <v>2</v>
      </c>
      <c r="D47" s="72">
        <v>2376000</v>
      </c>
      <c r="E47" s="72">
        <v>3013000</v>
      </c>
      <c r="F47" s="72">
        <v>2449000</v>
      </c>
      <c r="G47" s="72">
        <v>3396000</v>
      </c>
      <c r="H47" s="72">
        <v>3362000</v>
      </c>
      <c r="I47" s="72">
        <v>2595000</v>
      </c>
      <c r="J47" s="72">
        <v>2778000</v>
      </c>
      <c r="K47" s="72">
        <v>3831000</v>
      </c>
      <c r="L47" s="72">
        <v>4031000</v>
      </c>
      <c r="M47" s="72">
        <v>2899000</v>
      </c>
      <c r="N47" s="72">
        <v>2764000</v>
      </c>
      <c r="O47" s="72">
        <v>2764000</v>
      </c>
      <c r="P47" s="72">
        <v>3864000</v>
      </c>
      <c r="Q47" s="72">
        <v>4205000</v>
      </c>
      <c r="R47" s="71">
        <v>2</v>
      </c>
      <c r="S47" s="72">
        <v>2161000</v>
      </c>
      <c r="T47" s="72">
        <v>2798000</v>
      </c>
      <c r="U47" s="72">
        <v>2234000</v>
      </c>
      <c r="V47" s="72">
        <v>3181000</v>
      </c>
      <c r="W47" s="72">
        <v>3147000</v>
      </c>
      <c r="X47" s="72">
        <v>2380000</v>
      </c>
      <c r="Y47" s="72">
        <v>2563000</v>
      </c>
      <c r="Z47" s="72">
        <v>3616000</v>
      </c>
      <c r="AA47" s="72">
        <v>3816000</v>
      </c>
      <c r="AB47" s="72">
        <v>2684000</v>
      </c>
      <c r="AC47" s="72">
        <v>2549000</v>
      </c>
      <c r="AD47" s="72">
        <v>2549000</v>
      </c>
      <c r="AE47" s="72">
        <v>3649000</v>
      </c>
      <c r="AF47" s="72">
        <v>3990000</v>
      </c>
      <c r="AG47" s="71">
        <v>2</v>
      </c>
      <c r="AH47" s="72">
        <v>3274000</v>
      </c>
      <c r="AI47" s="72">
        <v>3911000</v>
      </c>
      <c r="AJ47" s="72">
        <v>3347000</v>
      </c>
      <c r="AK47" s="72">
        <v>4293000</v>
      </c>
      <c r="AL47" s="72">
        <v>4260000</v>
      </c>
      <c r="AM47" s="72">
        <v>3493000</v>
      </c>
      <c r="AN47" s="72">
        <v>3676000</v>
      </c>
      <c r="AO47" s="72">
        <v>4729000</v>
      </c>
      <c r="AP47" s="72">
        <v>4929000</v>
      </c>
      <c r="AQ47" s="72">
        <v>3797000</v>
      </c>
      <c r="AR47" s="72">
        <v>3662000</v>
      </c>
      <c r="AS47" s="72">
        <v>3662000</v>
      </c>
      <c r="AT47" s="72">
        <v>4762000</v>
      </c>
      <c r="AU47" s="72">
        <v>5103000</v>
      </c>
      <c r="AV47" s="73">
        <v>2</v>
      </c>
      <c r="AW47" s="72">
        <v>7279000</v>
      </c>
      <c r="AX47" s="72">
        <v>7916000</v>
      </c>
      <c r="AY47" s="72">
        <v>7352000</v>
      </c>
      <c r="AZ47" s="72">
        <v>8299000</v>
      </c>
      <c r="BA47" s="72">
        <v>8266000</v>
      </c>
      <c r="BB47" s="72">
        <v>7499000</v>
      </c>
      <c r="BC47" s="72">
        <v>7682000</v>
      </c>
      <c r="BD47" s="72">
        <v>8734000</v>
      </c>
      <c r="BE47" s="72">
        <v>8934000</v>
      </c>
      <c r="BF47" s="72">
        <v>7802000</v>
      </c>
      <c r="BG47" s="72">
        <v>7667000</v>
      </c>
      <c r="BH47" s="72">
        <v>7667000</v>
      </c>
      <c r="BI47" s="72">
        <v>8767000</v>
      </c>
      <c r="BJ47" s="72">
        <v>9108000</v>
      </c>
    </row>
    <row r="48" spans="1:62" ht="12.75" x14ac:dyDescent="0.2">
      <c r="A48" s="70">
        <v>8</v>
      </c>
      <c r="B48" s="51" t="s">
        <v>311</v>
      </c>
      <c r="C48" s="71">
        <v>2</v>
      </c>
      <c r="D48" s="72">
        <v>2498000</v>
      </c>
      <c r="E48" s="72">
        <v>3206000</v>
      </c>
      <c r="F48" s="72">
        <v>2579000</v>
      </c>
      <c r="G48" s="72">
        <v>3632000</v>
      </c>
      <c r="H48" s="72">
        <v>3595000</v>
      </c>
      <c r="I48" s="72">
        <v>2742000</v>
      </c>
      <c r="J48" s="72">
        <v>2946000</v>
      </c>
      <c r="K48" s="72">
        <v>4116000</v>
      </c>
      <c r="L48" s="72">
        <v>4338000</v>
      </c>
      <c r="M48" s="72">
        <v>3080000</v>
      </c>
      <c r="N48" s="72">
        <v>2929000</v>
      </c>
      <c r="O48" s="72">
        <v>2929000</v>
      </c>
      <c r="P48" s="72">
        <v>4152000</v>
      </c>
      <c r="Q48" s="72">
        <v>4531000</v>
      </c>
      <c r="R48" s="71">
        <v>2</v>
      </c>
      <c r="S48" s="72">
        <v>2267000</v>
      </c>
      <c r="T48" s="72">
        <v>2975000</v>
      </c>
      <c r="U48" s="72">
        <v>2349000</v>
      </c>
      <c r="V48" s="72">
        <v>3401000</v>
      </c>
      <c r="W48" s="72">
        <v>3364000</v>
      </c>
      <c r="X48" s="72">
        <v>2511000</v>
      </c>
      <c r="Y48" s="72">
        <v>2715000</v>
      </c>
      <c r="Z48" s="72">
        <v>3885000</v>
      </c>
      <c r="AA48" s="72">
        <v>4107000</v>
      </c>
      <c r="AB48" s="72">
        <v>2849000</v>
      </c>
      <c r="AC48" s="72">
        <v>2699000</v>
      </c>
      <c r="AD48" s="72">
        <v>2699000</v>
      </c>
      <c r="AE48" s="72">
        <v>3922000</v>
      </c>
      <c r="AF48" s="72">
        <v>4300000</v>
      </c>
      <c r="AG48" s="71">
        <v>2</v>
      </c>
      <c r="AH48" s="72">
        <v>3383000</v>
      </c>
      <c r="AI48" s="72">
        <v>4091000</v>
      </c>
      <c r="AJ48" s="72">
        <v>3465000</v>
      </c>
      <c r="AK48" s="72">
        <v>4517000</v>
      </c>
      <c r="AL48" s="72">
        <v>4480000</v>
      </c>
      <c r="AM48" s="72">
        <v>3628000</v>
      </c>
      <c r="AN48" s="72">
        <v>3831000</v>
      </c>
      <c r="AO48" s="72">
        <v>5001000</v>
      </c>
      <c r="AP48" s="72">
        <v>5223000</v>
      </c>
      <c r="AQ48" s="72">
        <v>3965000</v>
      </c>
      <c r="AR48" s="72">
        <v>3815000</v>
      </c>
      <c r="AS48" s="72">
        <v>3815000</v>
      </c>
      <c r="AT48" s="72">
        <v>5038000</v>
      </c>
      <c r="AU48" s="72">
        <v>5416000</v>
      </c>
      <c r="AV48" s="73">
        <v>2</v>
      </c>
      <c r="AW48" s="72">
        <v>7523000</v>
      </c>
      <c r="AX48" s="72">
        <v>8231000</v>
      </c>
      <c r="AY48" s="72">
        <v>7604000</v>
      </c>
      <c r="AZ48" s="72">
        <v>8656000</v>
      </c>
      <c r="BA48" s="72">
        <v>8619000</v>
      </c>
      <c r="BB48" s="72">
        <v>7767000</v>
      </c>
      <c r="BC48" s="72">
        <v>7970000</v>
      </c>
      <c r="BD48" s="72">
        <v>9140000</v>
      </c>
      <c r="BE48" s="72">
        <v>9363000</v>
      </c>
      <c r="BF48" s="72">
        <v>8105000</v>
      </c>
      <c r="BG48" s="72">
        <v>7954000</v>
      </c>
      <c r="BH48" s="72">
        <v>7954000</v>
      </c>
      <c r="BI48" s="72">
        <v>9177000</v>
      </c>
      <c r="BJ48" s="72">
        <v>9556000</v>
      </c>
    </row>
    <row r="49" spans="1:62" ht="12.75" x14ac:dyDescent="0.2">
      <c r="A49" s="70">
        <v>9</v>
      </c>
      <c r="B49" s="51" t="s">
        <v>312</v>
      </c>
      <c r="C49" s="71">
        <v>2</v>
      </c>
      <c r="D49" s="72">
        <v>2620000</v>
      </c>
      <c r="E49" s="72">
        <v>3399000</v>
      </c>
      <c r="F49" s="72">
        <v>2710000</v>
      </c>
      <c r="G49" s="72">
        <v>3868000</v>
      </c>
      <c r="H49" s="72">
        <v>3827000</v>
      </c>
      <c r="I49" s="72">
        <v>2889000</v>
      </c>
      <c r="J49" s="72">
        <v>3113000</v>
      </c>
      <c r="K49" s="72">
        <v>4400000</v>
      </c>
      <c r="L49" s="72">
        <v>4645000</v>
      </c>
      <c r="M49" s="72">
        <v>3260000</v>
      </c>
      <c r="N49" s="72">
        <v>3095000</v>
      </c>
      <c r="O49" s="72">
        <v>3095000</v>
      </c>
      <c r="P49" s="72">
        <v>4441000</v>
      </c>
      <c r="Q49" s="72">
        <v>4857000</v>
      </c>
      <c r="R49" s="71">
        <v>2</v>
      </c>
      <c r="S49" s="72">
        <v>2374000</v>
      </c>
      <c r="T49" s="72">
        <v>3153000</v>
      </c>
      <c r="U49" s="72">
        <v>2463000</v>
      </c>
      <c r="V49" s="72">
        <v>3621000</v>
      </c>
      <c r="W49" s="72">
        <v>3580000</v>
      </c>
      <c r="X49" s="72">
        <v>2643000</v>
      </c>
      <c r="Y49" s="72">
        <v>2866000</v>
      </c>
      <c r="Z49" s="72">
        <v>4154000</v>
      </c>
      <c r="AA49" s="72">
        <v>4399000</v>
      </c>
      <c r="AB49" s="72">
        <v>3014000</v>
      </c>
      <c r="AC49" s="72">
        <v>2848000</v>
      </c>
      <c r="AD49" s="72">
        <v>2848000</v>
      </c>
      <c r="AE49" s="72">
        <v>4194000</v>
      </c>
      <c r="AF49" s="72">
        <v>4611000</v>
      </c>
      <c r="AG49" s="71">
        <v>2</v>
      </c>
      <c r="AH49" s="72">
        <v>3493000</v>
      </c>
      <c r="AI49" s="72">
        <v>4272000</v>
      </c>
      <c r="AJ49" s="72">
        <v>3583000</v>
      </c>
      <c r="AK49" s="72">
        <v>4740000</v>
      </c>
      <c r="AL49" s="72">
        <v>4700000</v>
      </c>
      <c r="AM49" s="72">
        <v>3762000</v>
      </c>
      <c r="AN49" s="72">
        <v>3986000</v>
      </c>
      <c r="AO49" s="72">
        <v>5273000</v>
      </c>
      <c r="AP49" s="72">
        <v>5518000</v>
      </c>
      <c r="AQ49" s="72">
        <v>4133000</v>
      </c>
      <c r="AR49" s="72">
        <v>3968000</v>
      </c>
      <c r="AS49" s="72">
        <v>3968000</v>
      </c>
      <c r="AT49" s="72">
        <v>5314000</v>
      </c>
      <c r="AU49" s="72">
        <v>5730000</v>
      </c>
      <c r="AV49" s="73">
        <v>2</v>
      </c>
      <c r="AW49" s="72">
        <v>7767000</v>
      </c>
      <c r="AX49" s="72">
        <v>8546000</v>
      </c>
      <c r="AY49" s="72">
        <v>7856000</v>
      </c>
      <c r="AZ49" s="72">
        <v>9014000</v>
      </c>
      <c r="BA49" s="72">
        <v>8973000</v>
      </c>
      <c r="BB49" s="72">
        <v>8035000</v>
      </c>
      <c r="BC49" s="72">
        <v>8259000</v>
      </c>
      <c r="BD49" s="72">
        <v>9547000</v>
      </c>
      <c r="BE49" s="72">
        <v>9791000</v>
      </c>
      <c r="BF49" s="72">
        <v>8407000</v>
      </c>
      <c r="BG49" s="72">
        <v>8241000</v>
      </c>
      <c r="BH49" s="72">
        <v>8241000</v>
      </c>
      <c r="BI49" s="72">
        <v>9587000</v>
      </c>
      <c r="BJ49" s="72">
        <v>10004000</v>
      </c>
    </row>
    <row r="50" spans="1:62" ht="12.75" x14ac:dyDescent="0.2">
      <c r="A50" s="70">
        <v>10</v>
      </c>
      <c r="B50" s="51" t="s">
        <v>313</v>
      </c>
      <c r="C50" s="71">
        <v>2</v>
      </c>
      <c r="D50" s="72">
        <v>2743000</v>
      </c>
      <c r="E50" s="72">
        <v>3593000</v>
      </c>
      <c r="F50" s="72">
        <v>2840000</v>
      </c>
      <c r="G50" s="72">
        <v>4104000</v>
      </c>
      <c r="H50" s="72">
        <v>4059000</v>
      </c>
      <c r="I50" s="72">
        <v>3036000</v>
      </c>
      <c r="J50" s="72">
        <v>3280000</v>
      </c>
      <c r="K50" s="72">
        <v>4685000</v>
      </c>
      <c r="L50" s="72">
        <v>4952000</v>
      </c>
      <c r="M50" s="72">
        <v>3441000</v>
      </c>
      <c r="N50" s="72">
        <v>3260000</v>
      </c>
      <c r="O50" s="72">
        <v>3260000</v>
      </c>
      <c r="P50" s="72">
        <v>4729000</v>
      </c>
      <c r="Q50" s="72">
        <v>5183000</v>
      </c>
      <c r="R50" s="71">
        <v>2</v>
      </c>
      <c r="S50" s="72">
        <v>2480000</v>
      </c>
      <c r="T50" s="72">
        <v>3331000</v>
      </c>
      <c r="U50" s="72">
        <v>2578000</v>
      </c>
      <c r="V50" s="72">
        <v>3841000</v>
      </c>
      <c r="W50" s="72">
        <v>3797000</v>
      </c>
      <c r="X50" s="72">
        <v>2774000</v>
      </c>
      <c r="Y50" s="72">
        <v>3018000</v>
      </c>
      <c r="Z50" s="72">
        <v>4423000</v>
      </c>
      <c r="AA50" s="72">
        <v>4690000</v>
      </c>
      <c r="AB50" s="72">
        <v>3179000</v>
      </c>
      <c r="AC50" s="72">
        <v>2998000</v>
      </c>
      <c r="AD50" s="72">
        <v>2998000</v>
      </c>
      <c r="AE50" s="72">
        <v>4467000</v>
      </c>
      <c r="AF50" s="72">
        <v>4921000</v>
      </c>
      <c r="AG50" s="71">
        <v>2</v>
      </c>
      <c r="AH50" s="72">
        <v>3603000</v>
      </c>
      <c r="AI50" s="72">
        <v>4453000</v>
      </c>
      <c r="AJ50" s="72">
        <v>3701000</v>
      </c>
      <c r="AK50" s="72">
        <v>4964000</v>
      </c>
      <c r="AL50" s="72">
        <v>4920000</v>
      </c>
      <c r="AM50" s="72">
        <v>3896000</v>
      </c>
      <c r="AN50" s="72">
        <v>4140000</v>
      </c>
      <c r="AO50" s="72">
        <v>5545000</v>
      </c>
      <c r="AP50" s="72">
        <v>5812000</v>
      </c>
      <c r="AQ50" s="72">
        <v>4302000</v>
      </c>
      <c r="AR50" s="72">
        <v>4121000</v>
      </c>
      <c r="AS50" s="72">
        <v>4121000</v>
      </c>
      <c r="AT50" s="72">
        <v>5589000</v>
      </c>
      <c r="AU50" s="72">
        <v>6044000</v>
      </c>
      <c r="AV50" s="73">
        <v>2</v>
      </c>
      <c r="AW50" s="72">
        <v>8011000</v>
      </c>
      <c r="AX50" s="72">
        <v>8861000</v>
      </c>
      <c r="AY50" s="72">
        <v>8108000</v>
      </c>
      <c r="AZ50" s="72">
        <v>9372000</v>
      </c>
      <c r="BA50" s="72">
        <v>9327000</v>
      </c>
      <c r="BB50" s="72">
        <v>8304000</v>
      </c>
      <c r="BC50" s="72">
        <v>8548000</v>
      </c>
      <c r="BD50" s="72">
        <v>9953000</v>
      </c>
      <c r="BE50" s="72">
        <v>10220000</v>
      </c>
      <c r="BF50" s="72">
        <v>8709000</v>
      </c>
      <c r="BG50" s="72">
        <v>8528000</v>
      </c>
      <c r="BH50" s="72">
        <v>8528000</v>
      </c>
      <c r="BI50" s="72">
        <v>9997000</v>
      </c>
      <c r="BJ50" s="72">
        <v>10451000</v>
      </c>
    </row>
    <row r="51" spans="1:62" ht="12.75" x14ac:dyDescent="0.2">
      <c r="A51" s="70">
        <v>11</v>
      </c>
      <c r="B51" s="51" t="s">
        <v>314</v>
      </c>
      <c r="C51" s="71">
        <v>2</v>
      </c>
      <c r="D51" s="72">
        <v>3109000</v>
      </c>
      <c r="E51" s="72">
        <v>4173000</v>
      </c>
      <c r="F51" s="72">
        <v>3232000</v>
      </c>
      <c r="G51" s="72">
        <v>4811000</v>
      </c>
      <c r="H51" s="72">
        <v>4756000</v>
      </c>
      <c r="I51" s="72">
        <v>3476000</v>
      </c>
      <c r="J51" s="72">
        <v>3781000</v>
      </c>
      <c r="K51" s="72">
        <v>5538000</v>
      </c>
      <c r="L51" s="72">
        <v>5872000</v>
      </c>
      <c r="M51" s="72">
        <v>3983000</v>
      </c>
      <c r="N51" s="72">
        <v>3757000</v>
      </c>
      <c r="O51" s="72">
        <v>3757000</v>
      </c>
      <c r="P51" s="72">
        <v>5594000</v>
      </c>
      <c r="Q51" s="72">
        <v>6162000</v>
      </c>
      <c r="R51" s="71">
        <v>2</v>
      </c>
      <c r="S51" s="72">
        <v>2800000</v>
      </c>
      <c r="T51" s="72">
        <v>3863000</v>
      </c>
      <c r="U51" s="72">
        <v>2922000</v>
      </c>
      <c r="V51" s="72">
        <v>4502000</v>
      </c>
      <c r="W51" s="72">
        <v>4447000</v>
      </c>
      <c r="X51" s="72">
        <v>3167000</v>
      </c>
      <c r="Y51" s="72">
        <v>3472000</v>
      </c>
      <c r="Z51" s="72">
        <v>5229000</v>
      </c>
      <c r="AA51" s="72">
        <v>5563000</v>
      </c>
      <c r="AB51" s="72">
        <v>3674000</v>
      </c>
      <c r="AC51" s="72">
        <v>3448000</v>
      </c>
      <c r="AD51" s="72">
        <v>3448000</v>
      </c>
      <c r="AE51" s="72">
        <v>5285000</v>
      </c>
      <c r="AF51" s="72">
        <v>5853000</v>
      </c>
      <c r="AG51" s="71">
        <v>2</v>
      </c>
      <c r="AH51" s="72">
        <v>3932000</v>
      </c>
      <c r="AI51" s="72">
        <v>4996000</v>
      </c>
      <c r="AJ51" s="72">
        <v>4055000</v>
      </c>
      <c r="AK51" s="72">
        <v>5634000</v>
      </c>
      <c r="AL51" s="72">
        <v>5579000</v>
      </c>
      <c r="AM51" s="72">
        <v>4299000</v>
      </c>
      <c r="AN51" s="72">
        <v>4604000</v>
      </c>
      <c r="AO51" s="72">
        <v>6361000</v>
      </c>
      <c r="AP51" s="72">
        <v>6695000</v>
      </c>
      <c r="AQ51" s="72">
        <v>4806000</v>
      </c>
      <c r="AR51" s="72">
        <v>4580000</v>
      </c>
      <c r="AS51" s="72">
        <v>4580000</v>
      </c>
      <c r="AT51" s="72">
        <v>6417000</v>
      </c>
      <c r="AU51" s="72">
        <v>6985000</v>
      </c>
      <c r="AV51" s="73">
        <v>2</v>
      </c>
      <c r="AW51" s="72">
        <v>8742000</v>
      </c>
      <c r="AX51" s="72">
        <v>9805000</v>
      </c>
      <c r="AY51" s="72">
        <v>8865000</v>
      </c>
      <c r="AZ51" s="72">
        <v>10444000</v>
      </c>
      <c r="BA51" s="72">
        <v>10389000</v>
      </c>
      <c r="BB51" s="72">
        <v>9109000</v>
      </c>
      <c r="BC51" s="72">
        <v>9414000</v>
      </c>
      <c r="BD51" s="72">
        <v>11171000</v>
      </c>
      <c r="BE51" s="72">
        <v>11505000</v>
      </c>
      <c r="BF51" s="72">
        <v>9616000</v>
      </c>
      <c r="BG51" s="72">
        <v>9390000</v>
      </c>
      <c r="BH51" s="72">
        <v>9390000</v>
      </c>
      <c r="BI51" s="72">
        <v>11227000</v>
      </c>
      <c r="BJ51" s="72">
        <v>11795000</v>
      </c>
    </row>
    <row r="52" spans="1:62" ht="12.75" x14ac:dyDescent="0.2">
      <c r="A52" s="70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24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</row>
    <row r="53" spans="1:62" ht="20.25" x14ac:dyDescent="0.3">
      <c r="A53" s="70"/>
      <c r="B53" s="68" t="s">
        <v>315</v>
      </c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24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</row>
    <row r="54" spans="1:62" ht="12.75" x14ac:dyDescent="0.2">
      <c r="A54" s="70">
        <v>1</v>
      </c>
      <c r="B54" s="51" t="s">
        <v>316</v>
      </c>
      <c r="C54" s="71">
        <v>2</v>
      </c>
      <c r="D54" s="72">
        <v>1921000</v>
      </c>
      <c r="E54" s="72">
        <v>2297000</v>
      </c>
      <c r="F54" s="72">
        <v>1964000</v>
      </c>
      <c r="G54" s="72">
        <v>2523000</v>
      </c>
      <c r="H54" s="72">
        <v>2503000</v>
      </c>
      <c r="I54" s="72">
        <v>2050000</v>
      </c>
      <c r="J54" s="72">
        <v>2158000</v>
      </c>
      <c r="K54" s="72">
        <v>2780000</v>
      </c>
      <c r="L54" s="72">
        <v>2898000</v>
      </c>
      <c r="M54" s="72">
        <v>2230000</v>
      </c>
      <c r="N54" s="72">
        <v>2150000</v>
      </c>
      <c r="O54" s="72">
        <v>2150000</v>
      </c>
      <c r="P54" s="72">
        <v>2799000</v>
      </c>
      <c r="Q54" s="72">
        <v>3000000</v>
      </c>
      <c r="R54" s="71">
        <v>2</v>
      </c>
      <c r="S54" s="72">
        <v>1759000</v>
      </c>
      <c r="T54" s="72">
        <v>2135000</v>
      </c>
      <c r="U54" s="72">
        <v>1802000</v>
      </c>
      <c r="V54" s="72">
        <v>2361000</v>
      </c>
      <c r="W54" s="72">
        <v>2342000</v>
      </c>
      <c r="X54" s="72">
        <v>1889000</v>
      </c>
      <c r="Y54" s="72">
        <v>1997000</v>
      </c>
      <c r="Z54" s="72">
        <v>2618000</v>
      </c>
      <c r="AA54" s="72">
        <v>2736000</v>
      </c>
      <c r="AB54" s="72">
        <v>2068000</v>
      </c>
      <c r="AC54" s="72">
        <v>1988000</v>
      </c>
      <c r="AD54" s="72">
        <v>1988000</v>
      </c>
      <c r="AE54" s="72">
        <v>2638000</v>
      </c>
      <c r="AF54" s="72">
        <v>2839000</v>
      </c>
      <c r="AG54" s="71">
        <v>2</v>
      </c>
      <c r="AH54" s="72">
        <v>2860000</v>
      </c>
      <c r="AI54" s="72">
        <v>3236000</v>
      </c>
      <c r="AJ54" s="72">
        <v>2903000</v>
      </c>
      <c r="AK54" s="72">
        <v>3462000</v>
      </c>
      <c r="AL54" s="72">
        <v>3442000</v>
      </c>
      <c r="AM54" s="72">
        <v>2990000</v>
      </c>
      <c r="AN54" s="72">
        <v>3098000</v>
      </c>
      <c r="AO54" s="72">
        <v>3719000</v>
      </c>
      <c r="AP54" s="72">
        <v>3837000</v>
      </c>
      <c r="AQ54" s="72">
        <v>3169000</v>
      </c>
      <c r="AR54" s="72">
        <v>3089000</v>
      </c>
      <c r="AS54" s="72">
        <v>3089000</v>
      </c>
      <c r="AT54" s="72">
        <v>3738000</v>
      </c>
      <c r="AU54" s="72">
        <v>3939000</v>
      </c>
      <c r="AV54" s="73">
        <v>2</v>
      </c>
      <c r="AW54" s="72">
        <v>6376000</v>
      </c>
      <c r="AX54" s="72">
        <v>6752000</v>
      </c>
      <c r="AY54" s="72">
        <v>6419000</v>
      </c>
      <c r="AZ54" s="72">
        <v>6978000</v>
      </c>
      <c r="BA54" s="72">
        <v>6958000</v>
      </c>
      <c r="BB54" s="72">
        <v>6506000</v>
      </c>
      <c r="BC54" s="72">
        <v>6614000</v>
      </c>
      <c r="BD54" s="72">
        <v>7235000</v>
      </c>
      <c r="BE54" s="72">
        <v>7353000</v>
      </c>
      <c r="BF54" s="72">
        <v>6685000</v>
      </c>
      <c r="BG54" s="72">
        <v>6605000</v>
      </c>
      <c r="BH54" s="72">
        <v>6605000</v>
      </c>
      <c r="BI54" s="72">
        <v>7255000</v>
      </c>
      <c r="BJ54" s="72">
        <v>7455000</v>
      </c>
    </row>
    <row r="55" spans="1:62" ht="12.75" x14ac:dyDescent="0.2">
      <c r="A55" s="70">
        <v>2</v>
      </c>
      <c r="B55" s="51" t="s">
        <v>317</v>
      </c>
      <c r="C55" s="71">
        <v>2</v>
      </c>
      <c r="D55" s="72">
        <v>1987000</v>
      </c>
      <c r="E55" s="72">
        <v>2410000</v>
      </c>
      <c r="F55" s="72">
        <v>2036000</v>
      </c>
      <c r="G55" s="72">
        <v>2665000</v>
      </c>
      <c r="H55" s="72">
        <v>2642000</v>
      </c>
      <c r="I55" s="72">
        <v>2133000</v>
      </c>
      <c r="J55" s="72">
        <v>2254000</v>
      </c>
      <c r="K55" s="72">
        <v>2954000</v>
      </c>
      <c r="L55" s="72">
        <v>3087000</v>
      </c>
      <c r="M55" s="72">
        <v>2335000</v>
      </c>
      <c r="N55" s="72">
        <v>2245000</v>
      </c>
      <c r="O55" s="72">
        <v>2245000</v>
      </c>
      <c r="P55" s="72">
        <v>2976000</v>
      </c>
      <c r="Q55" s="72">
        <v>3202000</v>
      </c>
      <c r="R55" s="71">
        <v>2</v>
      </c>
      <c r="S55" s="72">
        <v>1818000</v>
      </c>
      <c r="T55" s="72">
        <v>2241000</v>
      </c>
      <c r="U55" s="72">
        <v>1866000</v>
      </c>
      <c r="V55" s="72">
        <v>2495000</v>
      </c>
      <c r="W55" s="72">
        <v>2473000</v>
      </c>
      <c r="X55" s="72">
        <v>1964000</v>
      </c>
      <c r="Y55" s="72">
        <v>2085000</v>
      </c>
      <c r="Z55" s="72">
        <v>2785000</v>
      </c>
      <c r="AA55" s="72">
        <v>2918000</v>
      </c>
      <c r="AB55" s="72">
        <v>2165000</v>
      </c>
      <c r="AC55" s="72">
        <v>2075000</v>
      </c>
      <c r="AD55" s="72">
        <v>2075000</v>
      </c>
      <c r="AE55" s="72">
        <v>2807000</v>
      </c>
      <c r="AF55" s="72">
        <v>3033000</v>
      </c>
      <c r="AG55" s="71">
        <v>2</v>
      </c>
      <c r="AH55" s="72">
        <v>2920000</v>
      </c>
      <c r="AI55" s="72">
        <v>3343000</v>
      </c>
      <c r="AJ55" s="72">
        <v>2969000</v>
      </c>
      <c r="AK55" s="72">
        <v>3598000</v>
      </c>
      <c r="AL55" s="72">
        <v>3575000</v>
      </c>
      <c r="AM55" s="72">
        <v>3066000</v>
      </c>
      <c r="AN55" s="72">
        <v>3187000</v>
      </c>
      <c r="AO55" s="72">
        <v>3887000</v>
      </c>
      <c r="AP55" s="72">
        <v>4020000</v>
      </c>
      <c r="AQ55" s="72">
        <v>3268000</v>
      </c>
      <c r="AR55" s="72">
        <v>3178000</v>
      </c>
      <c r="AS55" s="72">
        <v>3178000</v>
      </c>
      <c r="AT55" s="72">
        <v>3909000</v>
      </c>
      <c r="AU55" s="72">
        <v>4135000</v>
      </c>
      <c r="AV55" s="73">
        <v>2</v>
      </c>
      <c r="AW55" s="72">
        <v>6503000</v>
      </c>
      <c r="AX55" s="72">
        <v>6926000</v>
      </c>
      <c r="AY55" s="72">
        <v>6552000</v>
      </c>
      <c r="AZ55" s="72">
        <v>7181000</v>
      </c>
      <c r="BA55" s="72">
        <v>7159000</v>
      </c>
      <c r="BB55" s="72">
        <v>6649000</v>
      </c>
      <c r="BC55" s="72">
        <v>6771000</v>
      </c>
      <c r="BD55" s="72">
        <v>7470000</v>
      </c>
      <c r="BE55" s="72">
        <v>7603000</v>
      </c>
      <c r="BF55" s="72">
        <v>6851000</v>
      </c>
      <c r="BG55" s="72">
        <v>6761000</v>
      </c>
      <c r="BH55" s="72">
        <v>6761000</v>
      </c>
      <c r="BI55" s="72">
        <v>7492000</v>
      </c>
      <c r="BJ55" s="72">
        <v>7718000</v>
      </c>
    </row>
    <row r="56" spans="1:62" ht="12.75" x14ac:dyDescent="0.2">
      <c r="A56" s="70">
        <v>3</v>
      </c>
      <c r="B56" s="51" t="s">
        <v>318</v>
      </c>
      <c r="C56" s="71">
        <v>2</v>
      </c>
      <c r="D56" s="72">
        <v>2027000</v>
      </c>
      <c r="E56" s="72">
        <v>2478000</v>
      </c>
      <c r="F56" s="72">
        <v>2079000</v>
      </c>
      <c r="G56" s="72">
        <v>2750000</v>
      </c>
      <c r="H56" s="72">
        <v>2726000</v>
      </c>
      <c r="I56" s="72">
        <v>2182000</v>
      </c>
      <c r="J56" s="72">
        <v>2312000</v>
      </c>
      <c r="K56" s="72">
        <v>3058000</v>
      </c>
      <c r="L56" s="72">
        <v>3200000</v>
      </c>
      <c r="M56" s="72">
        <v>2398000</v>
      </c>
      <c r="N56" s="72">
        <v>2302000</v>
      </c>
      <c r="O56" s="72">
        <v>2302000</v>
      </c>
      <c r="P56" s="72">
        <v>3082000</v>
      </c>
      <c r="Q56" s="72">
        <v>3323000</v>
      </c>
      <c r="R56" s="71">
        <v>2</v>
      </c>
      <c r="S56" s="72">
        <v>1853000</v>
      </c>
      <c r="T56" s="72">
        <v>2304000</v>
      </c>
      <c r="U56" s="72">
        <v>1905000</v>
      </c>
      <c r="V56" s="72">
        <v>2576000</v>
      </c>
      <c r="W56" s="72">
        <v>2552000</v>
      </c>
      <c r="X56" s="72">
        <v>2008000</v>
      </c>
      <c r="Y56" s="72">
        <v>2138000</v>
      </c>
      <c r="Z56" s="72">
        <v>2884000</v>
      </c>
      <c r="AA56" s="72">
        <v>3026000</v>
      </c>
      <c r="AB56" s="72">
        <v>2224000</v>
      </c>
      <c r="AC56" s="72">
        <v>2128000</v>
      </c>
      <c r="AD56" s="72">
        <v>2128000</v>
      </c>
      <c r="AE56" s="72">
        <v>2908000</v>
      </c>
      <c r="AF56" s="72">
        <v>3149000</v>
      </c>
      <c r="AG56" s="71">
        <v>2</v>
      </c>
      <c r="AH56" s="72">
        <v>2956000</v>
      </c>
      <c r="AI56" s="72">
        <v>3408000</v>
      </c>
      <c r="AJ56" s="72">
        <v>3008000</v>
      </c>
      <c r="AK56" s="72">
        <v>3679000</v>
      </c>
      <c r="AL56" s="72">
        <v>3655000</v>
      </c>
      <c r="AM56" s="72">
        <v>3112000</v>
      </c>
      <c r="AN56" s="72">
        <v>3241000</v>
      </c>
      <c r="AO56" s="72">
        <v>3988000</v>
      </c>
      <c r="AP56" s="72">
        <v>4130000</v>
      </c>
      <c r="AQ56" s="72">
        <v>3327000</v>
      </c>
      <c r="AR56" s="72">
        <v>3231000</v>
      </c>
      <c r="AS56" s="72">
        <v>3231000</v>
      </c>
      <c r="AT56" s="72">
        <v>4011000</v>
      </c>
      <c r="AU56" s="72">
        <v>4253000</v>
      </c>
      <c r="AV56" s="73">
        <v>2</v>
      </c>
      <c r="AW56" s="72">
        <v>6579000</v>
      </c>
      <c r="AX56" s="72">
        <v>7031000</v>
      </c>
      <c r="AY56" s="72">
        <v>6631000</v>
      </c>
      <c r="AZ56" s="72">
        <v>7302000</v>
      </c>
      <c r="BA56" s="72">
        <v>7279000</v>
      </c>
      <c r="BB56" s="72">
        <v>6735000</v>
      </c>
      <c r="BC56" s="72">
        <v>6865000</v>
      </c>
      <c r="BD56" s="72">
        <v>7611000</v>
      </c>
      <c r="BE56" s="72">
        <v>7753000</v>
      </c>
      <c r="BF56" s="72">
        <v>6950000</v>
      </c>
      <c r="BG56" s="72">
        <v>6854000</v>
      </c>
      <c r="BH56" s="72">
        <v>6854000</v>
      </c>
      <c r="BI56" s="72">
        <v>7635000</v>
      </c>
      <c r="BJ56" s="72">
        <v>7876000</v>
      </c>
    </row>
    <row r="57" spans="1:62" ht="12.75" x14ac:dyDescent="0.2">
      <c r="A57" s="70">
        <v>4</v>
      </c>
      <c r="B57" s="51" t="s">
        <v>319</v>
      </c>
      <c r="C57" s="71">
        <v>2</v>
      </c>
      <c r="D57" s="72">
        <v>2053000</v>
      </c>
      <c r="E57" s="72">
        <v>2524000</v>
      </c>
      <c r="F57" s="72">
        <v>2107000</v>
      </c>
      <c r="G57" s="72">
        <v>2807000</v>
      </c>
      <c r="H57" s="72">
        <v>2782000</v>
      </c>
      <c r="I57" s="72">
        <v>2215000</v>
      </c>
      <c r="J57" s="72">
        <v>2351000</v>
      </c>
      <c r="K57" s="72">
        <v>3128000</v>
      </c>
      <c r="L57" s="72">
        <v>3276000</v>
      </c>
      <c r="M57" s="72">
        <v>2440000</v>
      </c>
      <c r="N57" s="72">
        <v>2340000</v>
      </c>
      <c r="O57" s="72">
        <v>2340000</v>
      </c>
      <c r="P57" s="72">
        <v>3153000</v>
      </c>
      <c r="Q57" s="72">
        <v>3404000</v>
      </c>
      <c r="R57" s="71">
        <v>2</v>
      </c>
      <c r="S57" s="72">
        <v>1876000</v>
      </c>
      <c r="T57" s="72">
        <v>2347000</v>
      </c>
      <c r="U57" s="72">
        <v>1930000</v>
      </c>
      <c r="V57" s="72">
        <v>2629000</v>
      </c>
      <c r="W57" s="72">
        <v>2605000</v>
      </c>
      <c r="X57" s="72">
        <v>2038000</v>
      </c>
      <c r="Y57" s="72">
        <v>2173000</v>
      </c>
      <c r="Z57" s="72">
        <v>2951000</v>
      </c>
      <c r="AA57" s="72">
        <v>3099000</v>
      </c>
      <c r="AB57" s="72">
        <v>2263000</v>
      </c>
      <c r="AC57" s="72">
        <v>2163000</v>
      </c>
      <c r="AD57" s="72">
        <v>2163000</v>
      </c>
      <c r="AE57" s="72">
        <v>2976000</v>
      </c>
      <c r="AF57" s="72">
        <v>3227000</v>
      </c>
      <c r="AG57" s="71">
        <v>2</v>
      </c>
      <c r="AH57" s="72">
        <v>2980000</v>
      </c>
      <c r="AI57" s="72">
        <v>3450000</v>
      </c>
      <c r="AJ57" s="72">
        <v>3034000</v>
      </c>
      <c r="AK57" s="72">
        <v>3733000</v>
      </c>
      <c r="AL57" s="72">
        <v>3709000</v>
      </c>
      <c r="AM57" s="72">
        <v>3142000</v>
      </c>
      <c r="AN57" s="72">
        <v>3277000</v>
      </c>
      <c r="AO57" s="72">
        <v>4055000</v>
      </c>
      <c r="AP57" s="72">
        <v>4203000</v>
      </c>
      <c r="AQ57" s="72">
        <v>3367000</v>
      </c>
      <c r="AR57" s="72">
        <v>3267000</v>
      </c>
      <c r="AS57" s="72">
        <v>3267000</v>
      </c>
      <c r="AT57" s="72">
        <v>4080000</v>
      </c>
      <c r="AU57" s="72">
        <v>4331000</v>
      </c>
      <c r="AV57" s="73">
        <v>2</v>
      </c>
      <c r="AW57" s="72">
        <v>6630000</v>
      </c>
      <c r="AX57" s="72">
        <v>7101000</v>
      </c>
      <c r="AY57" s="72">
        <v>6684000</v>
      </c>
      <c r="AZ57" s="72">
        <v>7384000</v>
      </c>
      <c r="BA57" s="72">
        <v>7359000</v>
      </c>
      <c r="BB57" s="72">
        <v>6792000</v>
      </c>
      <c r="BC57" s="72">
        <v>6928000</v>
      </c>
      <c r="BD57" s="72">
        <v>7705000</v>
      </c>
      <c r="BE57" s="72">
        <v>7853000</v>
      </c>
      <c r="BF57" s="72">
        <v>7017000</v>
      </c>
      <c r="BG57" s="72">
        <v>6917000</v>
      </c>
      <c r="BH57" s="72">
        <v>6917000</v>
      </c>
      <c r="BI57" s="72">
        <v>7730000</v>
      </c>
      <c r="BJ57" s="72">
        <v>7981000</v>
      </c>
    </row>
    <row r="58" spans="1:62" ht="12.75" x14ac:dyDescent="0.2">
      <c r="A58" s="70">
        <v>5</v>
      </c>
      <c r="B58" s="51" t="s">
        <v>320</v>
      </c>
      <c r="C58" s="71">
        <v>2</v>
      </c>
      <c r="D58" s="72">
        <v>2119000</v>
      </c>
      <c r="E58" s="72">
        <v>2637000</v>
      </c>
      <c r="F58" s="72">
        <v>2179000</v>
      </c>
      <c r="G58" s="72">
        <v>2948000</v>
      </c>
      <c r="H58" s="72">
        <v>2921000</v>
      </c>
      <c r="I58" s="72">
        <v>2298000</v>
      </c>
      <c r="J58" s="72">
        <v>2447000</v>
      </c>
      <c r="K58" s="72">
        <v>3303000</v>
      </c>
      <c r="L58" s="72">
        <v>3465000</v>
      </c>
      <c r="M58" s="72">
        <v>2545000</v>
      </c>
      <c r="N58" s="72">
        <v>2435000</v>
      </c>
      <c r="O58" s="72">
        <v>2435000</v>
      </c>
      <c r="P58" s="72">
        <v>3330000</v>
      </c>
      <c r="Q58" s="72">
        <v>3606000</v>
      </c>
      <c r="R58" s="71">
        <v>2</v>
      </c>
      <c r="S58" s="72">
        <v>1934000</v>
      </c>
      <c r="T58" s="72">
        <v>2452000</v>
      </c>
      <c r="U58" s="72">
        <v>1994000</v>
      </c>
      <c r="V58" s="72">
        <v>2764000</v>
      </c>
      <c r="W58" s="72">
        <v>2737000</v>
      </c>
      <c r="X58" s="72">
        <v>2113000</v>
      </c>
      <c r="Y58" s="72">
        <v>2262000</v>
      </c>
      <c r="Z58" s="72">
        <v>3118000</v>
      </c>
      <c r="AA58" s="72">
        <v>3280000</v>
      </c>
      <c r="AB58" s="72">
        <v>2360000</v>
      </c>
      <c r="AC58" s="72">
        <v>2250000</v>
      </c>
      <c r="AD58" s="72">
        <v>2250000</v>
      </c>
      <c r="AE58" s="72">
        <v>3145000</v>
      </c>
      <c r="AF58" s="72">
        <v>3421000</v>
      </c>
      <c r="AG58" s="71">
        <v>2</v>
      </c>
      <c r="AH58" s="72">
        <v>3040000</v>
      </c>
      <c r="AI58" s="72">
        <v>3558000</v>
      </c>
      <c r="AJ58" s="72">
        <v>3099000</v>
      </c>
      <c r="AK58" s="72">
        <v>3869000</v>
      </c>
      <c r="AL58" s="72">
        <v>3842000</v>
      </c>
      <c r="AM58" s="72">
        <v>3218000</v>
      </c>
      <c r="AN58" s="72">
        <v>3367000</v>
      </c>
      <c r="AO58" s="72">
        <v>4223000</v>
      </c>
      <c r="AP58" s="72">
        <v>4386000</v>
      </c>
      <c r="AQ58" s="72">
        <v>3465000</v>
      </c>
      <c r="AR58" s="72">
        <v>3355000</v>
      </c>
      <c r="AS58" s="72">
        <v>3355000</v>
      </c>
      <c r="AT58" s="72">
        <v>4250000</v>
      </c>
      <c r="AU58" s="72">
        <v>4527000</v>
      </c>
      <c r="AV58" s="73">
        <v>2</v>
      </c>
      <c r="AW58" s="72">
        <v>6757000</v>
      </c>
      <c r="AX58" s="72">
        <v>7275000</v>
      </c>
      <c r="AY58" s="72">
        <v>6817000</v>
      </c>
      <c r="AZ58" s="72">
        <v>7586000</v>
      </c>
      <c r="BA58" s="72">
        <v>7559000</v>
      </c>
      <c r="BB58" s="72">
        <v>6936000</v>
      </c>
      <c r="BC58" s="72">
        <v>7085000</v>
      </c>
      <c r="BD58" s="72">
        <v>7940000</v>
      </c>
      <c r="BE58" s="72">
        <v>8103000</v>
      </c>
      <c r="BF58" s="72">
        <v>7183000</v>
      </c>
      <c r="BG58" s="72">
        <v>7073000</v>
      </c>
      <c r="BH58" s="72">
        <v>7073000</v>
      </c>
      <c r="BI58" s="72">
        <v>7967000</v>
      </c>
      <c r="BJ58" s="72">
        <v>8244000</v>
      </c>
    </row>
    <row r="59" spans="1:62" ht="12.75" x14ac:dyDescent="0.2">
      <c r="A59" s="70">
        <v>6</v>
      </c>
      <c r="B59" s="51" t="s">
        <v>321</v>
      </c>
      <c r="C59" s="71">
        <v>2</v>
      </c>
      <c r="D59" s="72">
        <v>2185000</v>
      </c>
      <c r="E59" s="72">
        <v>2751000</v>
      </c>
      <c r="F59" s="72">
        <v>2250000</v>
      </c>
      <c r="G59" s="72">
        <v>3090000</v>
      </c>
      <c r="H59" s="72">
        <v>3061000</v>
      </c>
      <c r="I59" s="72">
        <v>2380000</v>
      </c>
      <c r="J59" s="72">
        <v>2543000</v>
      </c>
      <c r="K59" s="72">
        <v>3477000</v>
      </c>
      <c r="L59" s="72">
        <v>3655000</v>
      </c>
      <c r="M59" s="72">
        <v>2650000</v>
      </c>
      <c r="N59" s="72">
        <v>2530000</v>
      </c>
      <c r="O59" s="72">
        <v>2530000</v>
      </c>
      <c r="P59" s="72">
        <v>3506000</v>
      </c>
      <c r="Q59" s="72">
        <v>3809000</v>
      </c>
      <c r="R59" s="71">
        <v>2</v>
      </c>
      <c r="S59" s="72">
        <v>1993000</v>
      </c>
      <c r="T59" s="72">
        <v>2558000</v>
      </c>
      <c r="U59" s="72">
        <v>2058000</v>
      </c>
      <c r="V59" s="72">
        <v>2898000</v>
      </c>
      <c r="W59" s="72">
        <v>2868000</v>
      </c>
      <c r="X59" s="72">
        <v>2188000</v>
      </c>
      <c r="Y59" s="72">
        <v>2350000</v>
      </c>
      <c r="Z59" s="72">
        <v>3284000</v>
      </c>
      <c r="AA59" s="72">
        <v>3462000</v>
      </c>
      <c r="AB59" s="72">
        <v>2457000</v>
      </c>
      <c r="AC59" s="72">
        <v>2337000</v>
      </c>
      <c r="AD59" s="72">
        <v>2337000</v>
      </c>
      <c r="AE59" s="72">
        <v>3314000</v>
      </c>
      <c r="AF59" s="72">
        <v>3616000</v>
      </c>
      <c r="AG59" s="71">
        <v>2</v>
      </c>
      <c r="AH59" s="72">
        <v>3100000</v>
      </c>
      <c r="AI59" s="72">
        <v>3665000</v>
      </c>
      <c r="AJ59" s="72">
        <v>3165000</v>
      </c>
      <c r="AK59" s="72">
        <v>4005000</v>
      </c>
      <c r="AL59" s="72">
        <v>3975000</v>
      </c>
      <c r="AM59" s="72">
        <v>3295000</v>
      </c>
      <c r="AN59" s="72">
        <v>3457000</v>
      </c>
      <c r="AO59" s="72">
        <v>4391000</v>
      </c>
      <c r="AP59" s="72">
        <v>4569000</v>
      </c>
      <c r="AQ59" s="72">
        <v>3564000</v>
      </c>
      <c r="AR59" s="72">
        <v>3444000</v>
      </c>
      <c r="AS59" s="72">
        <v>3444000</v>
      </c>
      <c r="AT59" s="72">
        <v>4421000</v>
      </c>
      <c r="AU59" s="72">
        <v>4723000</v>
      </c>
      <c r="AV59" s="73">
        <v>2</v>
      </c>
      <c r="AW59" s="72">
        <v>6884000</v>
      </c>
      <c r="AX59" s="72">
        <v>7449000</v>
      </c>
      <c r="AY59" s="72">
        <v>6949000</v>
      </c>
      <c r="AZ59" s="72">
        <v>7789000</v>
      </c>
      <c r="BA59" s="72">
        <v>7760000</v>
      </c>
      <c r="BB59" s="72">
        <v>7079000</v>
      </c>
      <c r="BC59" s="72">
        <v>7241000</v>
      </c>
      <c r="BD59" s="72">
        <v>8176000</v>
      </c>
      <c r="BE59" s="72">
        <v>8353000</v>
      </c>
      <c r="BF59" s="72">
        <v>7349000</v>
      </c>
      <c r="BG59" s="72">
        <v>7228000</v>
      </c>
      <c r="BH59" s="72">
        <v>7228000</v>
      </c>
      <c r="BI59" s="72">
        <v>8205000</v>
      </c>
      <c r="BJ59" s="72">
        <v>8507000</v>
      </c>
    </row>
    <row r="60" spans="1:62" ht="20.25" x14ac:dyDescent="0.3">
      <c r="A60" s="70"/>
      <c r="B60" s="68" t="s">
        <v>322</v>
      </c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24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</row>
    <row r="61" spans="1:62" ht="12.75" x14ac:dyDescent="0.2">
      <c r="A61" s="70">
        <v>1</v>
      </c>
      <c r="B61" s="51" t="s">
        <v>323</v>
      </c>
      <c r="C61" s="71">
        <v>2</v>
      </c>
      <c r="D61" s="72">
        <v>2077000</v>
      </c>
      <c r="E61" s="72">
        <v>2547000</v>
      </c>
      <c r="F61" s="72">
        <v>2131000</v>
      </c>
      <c r="G61" s="72">
        <v>2829000</v>
      </c>
      <c r="H61" s="72">
        <v>2805000</v>
      </c>
      <c r="I61" s="72">
        <v>2239000</v>
      </c>
      <c r="J61" s="72">
        <v>2374000</v>
      </c>
      <c r="K61" s="72">
        <v>3151000</v>
      </c>
      <c r="L61" s="72">
        <v>3298000</v>
      </c>
      <c r="M61" s="72">
        <v>2463000</v>
      </c>
      <c r="N61" s="72">
        <v>2363000</v>
      </c>
      <c r="O61" s="72">
        <v>2363000</v>
      </c>
      <c r="P61" s="72">
        <v>3175000</v>
      </c>
      <c r="Q61" s="72">
        <v>3426000</v>
      </c>
      <c r="R61" s="71">
        <v>2</v>
      </c>
      <c r="S61" s="72">
        <v>1891000</v>
      </c>
      <c r="T61" s="72">
        <v>2361000</v>
      </c>
      <c r="U61" s="72">
        <v>1945000</v>
      </c>
      <c r="V61" s="72">
        <v>2643000</v>
      </c>
      <c r="W61" s="72">
        <v>2619000</v>
      </c>
      <c r="X61" s="72">
        <v>2053000</v>
      </c>
      <c r="Y61" s="72">
        <v>2188000</v>
      </c>
      <c r="Z61" s="72">
        <v>2964000</v>
      </c>
      <c r="AA61" s="72">
        <v>3112000</v>
      </c>
      <c r="AB61" s="72">
        <v>2277000</v>
      </c>
      <c r="AC61" s="72">
        <v>2177000</v>
      </c>
      <c r="AD61" s="72">
        <v>2177000</v>
      </c>
      <c r="AE61" s="72">
        <v>2989000</v>
      </c>
      <c r="AF61" s="72">
        <v>3240000</v>
      </c>
      <c r="AG61" s="71">
        <v>2</v>
      </c>
      <c r="AH61" s="72">
        <v>2995000</v>
      </c>
      <c r="AI61" s="72">
        <v>3465000</v>
      </c>
      <c r="AJ61" s="72">
        <v>3049000</v>
      </c>
      <c r="AK61" s="72">
        <v>3748000</v>
      </c>
      <c r="AL61" s="72">
        <v>3723000</v>
      </c>
      <c r="AM61" s="72">
        <v>3158000</v>
      </c>
      <c r="AN61" s="72">
        <v>3293000</v>
      </c>
      <c r="AO61" s="72">
        <v>4069000</v>
      </c>
      <c r="AP61" s="72">
        <v>4217000</v>
      </c>
      <c r="AQ61" s="72">
        <v>3382000</v>
      </c>
      <c r="AR61" s="72">
        <v>3282000</v>
      </c>
      <c r="AS61" s="72">
        <v>3282000</v>
      </c>
      <c r="AT61" s="72">
        <v>4093000</v>
      </c>
      <c r="AU61" s="72">
        <v>4345000</v>
      </c>
      <c r="AV61" s="73">
        <v>2</v>
      </c>
      <c r="AW61" s="72">
        <v>6693000</v>
      </c>
      <c r="AX61" s="72">
        <v>7163000</v>
      </c>
      <c r="AY61" s="72">
        <v>6747000</v>
      </c>
      <c r="AZ61" s="72">
        <v>7445000</v>
      </c>
      <c r="BA61" s="72">
        <v>7421000</v>
      </c>
      <c r="BB61" s="72">
        <v>6855000</v>
      </c>
      <c r="BC61" s="72">
        <v>6990000</v>
      </c>
      <c r="BD61" s="72">
        <v>7766000</v>
      </c>
      <c r="BE61" s="72">
        <v>7914000</v>
      </c>
      <c r="BF61" s="72">
        <v>7079000</v>
      </c>
      <c r="BG61" s="72">
        <v>6979000</v>
      </c>
      <c r="BH61" s="72">
        <v>6979000</v>
      </c>
      <c r="BI61" s="72">
        <v>7791000</v>
      </c>
      <c r="BJ61" s="72">
        <v>8042000</v>
      </c>
    </row>
    <row r="62" spans="1:62" ht="12.75" x14ac:dyDescent="0.2">
      <c r="A62" s="70">
        <v>2</v>
      </c>
      <c r="B62" s="51" t="s">
        <v>324</v>
      </c>
      <c r="C62" s="71">
        <v>2</v>
      </c>
      <c r="D62" s="72">
        <v>2148000</v>
      </c>
      <c r="E62" s="72">
        <v>2677000</v>
      </c>
      <c r="F62" s="72">
        <v>2209000</v>
      </c>
      <c r="G62" s="72">
        <v>2995000</v>
      </c>
      <c r="H62" s="72">
        <v>2968000</v>
      </c>
      <c r="I62" s="72">
        <v>2331000</v>
      </c>
      <c r="J62" s="72">
        <v>2483000</v>
      </c>
      <c r="K62" s="72">
        <v>3357000</v>
      </c>
      <c r="L62" s="72">
        <v>3523000</v>
      </c>
      <c r="M62" s="72">
        <v>2583000</v>
      </c>
      <c r="N62" s="72">
        <v>2471000</v>
      </c>
      <c r="O62" s="72">
        <v>2471000</v>
      </c>
      <c r="P62" s="72">
        <v>3385000</v>
      </c>
      <c r="Q62" s="72">
        <v>3667000</v>
      </c>
      <c r="R62" s="71">
        <v>2</v>
      </c>
      <c r="S62" s="72">
        <v>1954000</v>
      </c>
      <c r="T62" s="72">
        <v>2483000</v>
      </c>
      <c r="U62" s="72">
        <v>2015000</v>
      </c>
      <c r="V62" s="72">
        <v>2801000</v>
      </c>
      <c r="W62" s="72">
        <v>2774000</v>
      </c>
      <c r="X62" s="72">
        <v>2137000</v>
      </c>
      <c r="Y62" s="72">
        <v>2289000</v>
      </c>
      <c r="Z62" s="72">
        <v>3163000</v>
      </c>
      <c r="AA62" s="72">
        <v>3329000</v>
      </c>
      <c r="AB62" s="72">
        <v>2389000</v>
      </c>
      <c r="AC62" s="72">
        <v>2277000</v>
      </c>
      <c r="AD62" s="72">
        <v>2277000</v>
      </c>
      <c r="AE62" s="72">
        <v>3191000</v>
      </c>
      <c r="AF62" s="72">
        <v>3473000</v>
      </c>
      <c r="AG62" s="71">
        <v>2</v>
      </c>
      <c r="AH62" s="72">
        <v>3060000</v>
      </c>
      <c r="AI62" s="72">
        <v>3590000</v>
      </c>
      <c r="AJ62" s="72">
        <v>3121000</v>
      </c>
      <c r="AK62" s="72">
        <v>3907000</v>
      </c>
      <c r="AL62" s="72">
        <v>3880000</v>
      </c>
      <c r="AM62" s="72">
        <v>3243000</v>
      </c>
      <c r="AN62" s="72">
        <v>3395000</v>
      </c>
      <c r="AO62" s="72">
        <v>4269000</v>
      </c>
      <c r="AP62" s="72">
        <v>4435000</v>
      </c>
      <c r="AQ62" s="72">
        <v>3495000</v>
      </c>
      <c r="AR62" s="72">
        <v>3383000</v>
      </c>
      <c r="AS62" s="72">
        <v>3383000</v>
      </c>
      <c r="AT62" s="72">
        <v>4297000</v>
      </c>
      <c r="AU62" s="72">
        <v>4580000</v>
      </c>
      <c r="AV62" s="73">
        <v>2</v>
      </c>
      <c r="AW62" s="72">
        <v>6825000</v>
      </c>
      <c r="AX62" s="72">
        <v>7354000</v>
      </c>
      <c r="AY62" s="72">
        <v>6886000</v>
      </c>
      <c r="AZ62" s="72">
        <v>7672000</v>
      </c>
      <c r="BA62" s="72">
        <v>7644000</v>
      </c>
      <c r="BB62" s="72">
        <v>7007000</v>
      </c>
      <c r="BC62" s="72">
        <v>7159000</v>
      </c>
      <c r="BD62" s="72">
        <v>8034000</v>
      </c>
      <c r="BE62" s="72">
        <v>8200000</v>
      </c>
      <c r="BF62" s="72">
        <v>7260000</v>
      </c>
      <c r="BG62" s="72">
        <v>7147000</v>
      </c>
      <c r="BH62" s="72">
        <v>7147000</v>
      </c>
      <c r="BI62" s="72">
        <v>8061000</v>
      </c>
      <c r="BJ62" s="72">
        <v>8344000</v>
      </c>
    </row>
    <row r="63" spans="1:62" ht="12.75" x14ac:dyDescent="0.2">
      <c r="A63" s="70">
        <v>3</v>
      </c>
      <c r="B63" s="51" t="s">
        <v>325</v>
      </c>
      <c r="C63" s="71">
        <v>2</v>
      </c>
      <c r="D63" s="72">
        <v>2191000</v>
      </c>
      <c r="E63" s="72">
        <v>2756000</v>
      </c>
      <c r="F63" s="72">
        <v>2256000</v>
      </c>
      <c r="G63" s="72">
        <v>3095000</v>
      </c>
      <c r="H63" s="72">
        <v>3066000</v>
      </c>
      <c r="I63" s="72">
        <v>2386000</v>
      </c>
      <c r="J63" s="72">
        <v>2548000</v>
      </c>
      <c r="K63" s="72">
        <v>3481000</v>
      </c>
      <c r="L63" s="72">
        <v>3658000</v>
      </c>
      <c r="M63" s="72">
        <v>2655000</v>
      </c>
      <c r="N63" s="72">
        <v>2535000</v>
      </c>
      <c r="O63" s="72">
        <v>2535000</v>
      </c>
      <c r="P63" s="72">
        <v>3510000</v>
      </c>
      <c r="Q63" s="72">
        <v>3812000</v>
      </c>
      <c r="R63" s="71">
        <v>2</v>
      </c>
      <c r="S63" s="72">
        <v>1992000</v>
      </c>
      <c r="T63" s="72">
        <v>2557000</v>
      </c>
      <c r="U63" s="72">
        <v>2057000</v>
      </c>
      <c r="V63" s="72">
        <v>2896000</v>
      </c>
      <c r="W63" s="72">
        <v>2867000</v>
      </c>
      <c r="X63" s="72">
        <v>2187000</v>
      </c>
      <c r="Y63" s="72">
        <v>2349000</v>
      </c>
      <c r="Z63" s="72">
        <v>3282000</v>
      </c>
      <c r="AA63" s="72">
        <v>3460000</v>
      </c>
      <c r="AB63" s="72">
        <v>2456000</v>
      </c>
      <c r="AC63" s="72">
        <v>2336000</v>
      </c>
      <c r="AD63" s="72">
        <v>2336000</v>
      </c>
      <c r="AE63" s="72">
        <v>3312000</v>
      </c>
      <c r="AF63" s="72">
        <v>3613000</v>
      </c>
      <c r="AG63" s="71">
        <v>2</v>
      </c>
      <c r="AH63" s="72">
        <v>3099000</v>
      </c>
      <c r="AI63" s="72">
        <v>3664000</v>
      </c>
      <c r="AJ63" s="72">
        <v>3164000</v>
      </c>
      <c r="AK63" s="72">
        <v>4003000</v>
      </c>
      <c r="AL63" s="72">
        <v>3974000</v>
      </c>
      <c r="AM63" s="72">
        <v>3294000</v>
      </c>
      <c r="AN63" s="72">
        <v>3456000</v>
      </c>
      <c r="AO63" s="72">
        <v>4389000</v>
      </c>
      <c r="AP63" s="72">
        <v>4567000</v>
      </c>
      <c r="AQ63" s="72">
        <v>3563000</v>
      </c>
      <c r="AR63" s="72">
        <v>3443000</v>
      </c>
      <c r="AS63" s="72">
        <v>3443000</v>
      </c>
      <c r="AT63" s="72">
        <v>4419000</v>
      </c>
      <c r="AU63" s="72">
        <v>4720000</v>
      </c>
      <c r="AV63" s="73">
        <v>2</v>
      </c>
      <c r="AW63" s="72">
        <v>6904000</v>
      </c>
      <c r="AX63" s="72">
        <v>7469000</v>
      </c>
      <c r="AY63" s="72">
        <v>6969000</v>
      </c>
      <c r="AZ63" s="72">
        <v>7808000</v>
      </c>
      <c r="BA63" s="72">
        <v>7779000</v>
      </c>
      <c r="BB63" s="72">
        <v>7099000</v>
      </c>
      <c r="BC63" s="72">
        <v>7261000</v>
      </c>
      <c r="BD63" s="72">
        <v>8194000</v>
      </c>
      <c r="BE63" s="72">
        <v>8371000</v>
      </c>
      <c r="BF63" s="72">
        <v>7368000</v>
      </c>
      <c r="BG63" s="72">
        <v>7248000</v>
      </c>
      <c r="BH63" s="72">
        <v>7248000</v>
      </c>
      <c r="BI63" s="72">
        <v>8223000</v>
      </c>
      <c r="BJ63" s="72">
        <v>8525000</v>
      </c>
    </row>
    <row r="64" spans="1:62" ht="12.75" x14ac:dyDescent="0.2">
      <c r="A64" s="70">
        <v>4</v>
      </c>
      <c r="B64" s="51" t="s">
        <v>326</v>
      </c>
      <c r="C64" s="71">
        <v>2</v>
      </c>
      <c r="D64" s="72">
        <v>2220000</v>
      </c>
      <c r="E64" s="72">
        <v>2808000</v>
      </c>
      <c r="F64" s="72">
        <v>2287000</v>
      </c>
      <c r="G64" s="72">
        <v>3161000</v>
      </c>
      <c r="H64" s="72">
        <v>3131000</v>
      </c>
      <c r="I64" s="72">
        <v>2422000</v>
      </c>
      <c r="J64" s="72">
        <v>2591000</v>
      </c>
      <c r="K64" s="72">
        <v>3564000</v>
      </c>
      <c r="L64" s="72">
        <v>3748000</v>
      </c>
      <c r="M64" s="72">
        <v>2703000</v>
      </c>
      <c r="N64" s="72">
        <v>2578000</v>
      </c>
      <c r="O64" s="72">
        <v>2578000</v>
      </c>
      <c r="P64" s="72">
        <v>3594000</v>
      </c>
      <c r="Q64" s="72">
        <v>3909000</v>
      </c>
      <c r="R64" s="71">
        <v>2</v>
      </c>
      <c r="S64" s="72">
        <v>2018000</v>
      </c>
      <c r="T64" s="72">
        <v>2606000</v>
      </c>
      <c r="U64" s="72">
        <v>2085000</v>
      </c>
      <c r="V64" s="72">
        <v>2959000</v>
      </c>
      <c r="W64" s="72">
        <v>2929000</v>
      </c>
      <c r="X64" s="72">
        <v>2221000</v>
      </c>
      <c r="Y64" s="72">
        <v>2390000</v>
      </c>
      <c r="Z64" s="72">
        <v>3362000</v>
      </c>
      <c r="AA64" s="72">
        <v>3546000</v>
      </c>
      <c r="AB64" s="72">
        <v>2501000</v>
      </c>
      <c r="AC64" s="72">
        <v>2376000</v>
      </c>
      <c r="AD64" s="72">
        <v>2376000</v>
      </c>
      <c r="AE64" s="72">
        <v>3392000</v>
      </c>
      <c r="AF64" s="72">
        <v>3707000</v>
      </c>
      <c r="AG64" s="71">
        <v>2</v>
      </c>
      <c r="AH64" s="72">
        <v>3125000</v>
      </c>
      <c r="AI64" s="72">
        <v>3714000</v>
      </c>
      <c r="AJ64" s="72">
        <v>3193000</v>
      </c>
      <c r="AK64" s="72">
        <v>4067000</v>
      </c>
      <c r="AL64" s="72">
        <v>4037000</v>
      </c>
      <c r="AM64" s="72">
        <v>3328000</v>
      </c>
      <c r="AN64" s="72">
        <v>3497000</v>
      </c>
      <c r="AO64" s="72">
        <v>4469000</v>
      </c>
      <c r="AP64" s="72">
        <v>4654000</v>
      </c>
      <c r="AQ64" s="72">
        <v>3609000</v>
      </c>
      <c r="AR64" s="72">
        <v>3484000</v>
      </c>
      <c r="AS64" s="72">
        <v>3484000</v>
      </c>
      <c r="AT64" s="72">
        <v>4500000</v>
      </c>
      <c r="AU64" s="72">
        <v>4814000</v>
      </c>
      <c r="AV64" s="73">
        <v>2</v>
      </c>
      <c r="AW64" s="72">
        <v>6957000</v>
      </c>
      <c r="AX64" s="72">
        <v>7545000</v>
      </c>
      <c r="AY64" s="72">
        <v>7025000</v>
      </c>
      <c r="AZ64" s="72">
        <v>7899000</v>
      </c>
      <c r="BA64" s="72">
        <v>7868000</v>
      </c>
      <c r="BB64" s="72">
        <v>7160000</v>
      </c>
      <c r="BC64" s="72">
        <v>7329000</v>
      </c>
      <c r="BD64" s="72">
        <v>8301000</v>
      </c>
      <c r="BE64" s="72">
        <v>8486000</v>
      </c>
      <c r="BF64" s="72">
        <v>7440000</v>
      </c>
      <c r="BG64" s="72">
        <v>7315000</v>
      </c>
      <c r="BH64" s="72">
        <v>7315000</v>
      </c>
      <c r="BI64" s="72">
        <v>8332000</v>
      </c>
      <c r="BJ64" s="72">
        <v>8646000</v>
      </c>
    </row>
    <row r="65" spans="1:62" ht="12.75" x14ac:dyDescent="0.2">
      <c r="A65" s="70">
        <v>5</v>
      </c>
      <c r="B65" s="51" t="s">
        <v>327</v>
      </c>
      <c r="C65" s="71">
        <v>2</v>
      </c>
      <c r="D65" s="72">
        <v>2291000</v>
      </c>
      <c r="E65" s="72">
        <v>2938000</v>
      </c>
      <c r="F65" s="72">
        <v>2365000</v>
      </c>
      <c r="G65" s="72">
        <v>3327000</v>
      </c>
      <c r="H65" s="72">
        <v>3294000</v>
      </c>
      <c r="I65" s="72">
        <v>2514000</v>
      </c>
      <c r="J65" s="72">
        <v>2700000</v>
      </c>
      <c r="K65" s="72">
        <v>3770000</v>
      </c>
      <c r="L65" s="72">
        <v>3973000</v>
      </c>
      <c r="M65" s="72">
        <v>2823000</v>
      </c>
      <c r="N65" s="72">
        <v>2685000</v>
      </c>
      <c r="O65" s="72">
        <v>2685000</v>
      </c>
      <c r="P65" s="72">
        <v>3804000</v>
      </c>
      <c r="Q65" s="72">
        <v>4150000</v>
      </c>
      <c r="R65" s="71">
        <v>2</v>
      </c>
      <c r="S65" s="72">
        <v>2081000</v>
      </c>
      <c r="T65" s="72">
        <v>2728000</v>
      </c>
      <c r="U65" s="72">
        <v>2155000</v>
      </c>
      <c r="V65" s="72">
        <v>3118000</v>
      </c>
      <c r="W65" s="72">
        <v>3084000</v>
      </c>
      <c r="X65" s="72">
        <v>2304000</v>
      </c>
      <c r="Y65" s="72">
        <v>2490000</v>
      </c>
      <c r="Z65" s="72">
        <v>3560000</v>
      </c>
      <c r="AA65" s="72">
        <v>3764000</v>
      </c>
      <c r="AB65" s="72">
        <v>2613000</v>
      </c>
      <c r="AC65" s="72">
        <v>2475000</v>
      </c>
      <c r="AD65" s="72">
        <v>2475000</v>
      </c>
      <c r="AE65" s="72">
        <v>3594000</v>
      </c>
      <c r="AF65" s="72">
        <v>3940000</v>
      </c>
      <c r="AG65" s="71">
        <v>2</v>
      </c>
      <c r="AH65" s="72">
        <v>3190000</v>
      </c>
      <c r="AI65" s="72">
        <v>3838000</v>
      </c>
      <c r="AJ65" s="72">
        <v>3265000</v>
      </c>
      <c r="AK65" s="72">
        <v>4227000</v>
      </c>
      <c r="AL65" s="72">
        <v>4193000</v>
      </c>
      <c r="AM65" s="72">
        <v>3414000</v>
      </c>
      <c r="AN65" s="72">
        <v>3600000</v>
      </c>
      <c r="AO65" s="72">
        <v>4670000</v>
      </c>
      <c r="AP65" s="72">
        <v>4873000</v>
      </c>
      <c r="AQ65" s="72">
        <v>3722000</v>
      </c>
      <c r="AR65" s="72">
        <v>3585000</v>
      </c>
      <c r="AS65" s="72">
        <v>3585000</v>
      </c>
      <c r="AT65" s="72">
        <v>4703000</v>
      </c>
      <c r="AU65" s="72">
        <v>5049000</v>
      </c>
      <c r="AV65" s="73">
        <v>2</v>
      </c>
      <c r="AW65" s="72">
        <v>7089000</v>
      </c>
      <c r="AX65" s="72">
        <v>7736000</v>
      </c>
      <c r="AY65" s="72">
        <v>7163000</v>
      </c>
      <c r="AZ65" s="72">
        <v>8125000</v>
      </c>
      <c r="BA65" s="72">
        <v>8092000</v>
      </c>
      <c r="BB65" s="72">
        <v>7312000</v>
      </c>
      <c r="BC65" s="72">
        <v>7498000</v>
      </c>
      <c r="BD65" s="72">
        <v>8568000</v>
      </c>
      <c r="BE65" s="72">
        <v>8772000</v>
      </c>
      <c r="BF65" s="72">
        <v>7621000</v>
      </c>
      <c r="BG65" s="72">
        <v>7483000</v>
      </c>
      <c r="BH65" s="72">
        <v>7483000</v>
      </c>
      <c r="BI65" s="72">
        <v>8602000</v>
      </c>
      <c r="BJ65" s="72">
        <v>8948000</v>
      </c>
    </row>
    <row r="66" spans="1:62" ht="12.75" x14ac:dyDescent="0.2">
      <c r="A66" s="70">
        <v>6</v>
      </c>
      <c r="B66" s="51" t="s">
        <v>328</v>
      </c>
      <c r="C66" s="71">
        <v>2</v>
      </c>
      <c r="D66" s="72">
        <v>2362000</v>
      </c>
      <c r="E66" s="72">
        <v>3069000</v>
      </c>
      <c r="F66" s="72">
        <v>2443000</v>
      </c>
      <c r="G66" s="72">
        <v>3493000</v>
      </c>
      <c r="H66" s="72">
        <v>3456000</v>
      </c>
      <c r="I66" s="72">
        <v>2606000</v>
      </c>
      <c r="J66" s="72">
        <v>2809000</v>
      </c>
      <c r="K66" s="72">
        <v>3976000</v>
      </c>
      <c r="L66" s="72">
        <v>4198000</v>
      </c>
      <c r="M66" s="72">
        <v>2943000</v>
      </c>
      <c r="N66" s="72">
        <v>2792000</v>
      </c>
      <c r="O66" s="72">
        <v>2792000</v>
      </c>
      <c r="P66" s="72">
        <v>4013000</v>
      </c>
      <c r="Q66" s="72">
        <v>4391000</v>
      </c>
      <c r="R66" s="71">
        <v>2</v>
      </c>
      <c r="S66" s="72">
        <v>2144000</v>
      </c>
      <c r="T66" s="72">
        <v>2851000</v>
      </c>
      <c r="U66" s="72">
        <v>2226000</v>
      </c>
      <c r="V66" s="72">
        <v>3276000</v>
      </c>
      <c r="W66" s="72">
        <v>3239000</v>
      </c>
      <c r="X66" s="72">
        <v>2388000</v>
      </c>
      <c r="Y66" s="72">
        <v>2591000</v>
      </c>
      <c r="Z66" s="72">
        <v>3759000</v>
      </c>
      <c r="AA66" s="72">
        <v>3981000</v>
      </c>
      <c r="AB66" s="72">
        <v>2725000</v>
      </c>
      <c r="AC66" s="72">
        <v>2575000</v>
      </c>
      <c r="AD66" s="72">
        <v>2575000</v>
      </c>
      <c r="AE66" s="72">
        <v>3796000</v>
      </c>
      <c r="AF66" s="72">
        <v>4173000</v>
      </c>
      <c r="AG66" s="71">
        <v>2</v>
      </c>
      <c r="AH66" s="72">
        <v>3255000</v>
      </c>
      <c r="AI66" s="72">
        <v>3962000</v>
      </c>
      <c r="AJ66" s="72">
        <v>3337000</v>
      </c>
      <c r="AK66" s="72">
        <v>4387000</v>
      </c>
      <c r="AL66" s="72">
        <v>4350000</v>
      </c>
      <c r="AM66" s="72">
        <v>3499000</v>
      </c>
      <c r="AN66" s="72">
        <v>3702000</v>
      </c>
      <c r="AO66" s="72">
        <v>4870000</v>
      </c>
      <c r="AP66" s="72">
        <v>5092000</v>
      </c>
      <c r="AQ66" s="72">
        <v>3836000</v>
      </c>
      <c r="AR66" s="72">
        <v>3686000</v>
      </c>
      <c r="AS66" s="72">
        <v>3686000</v>
      </c>
      <c r="AT66" s="72">
        <v>4907000</v>
      </c>
      <c r="AU66" s="72">
        <v>5284000</v>
      </c>
      <c r="AV66" s="73">
        <v>2</v>
      </c>
      <c r="AW66" s="72">
        <v>7221000</v>
      </c>
      <c r="AX66" s="72">
        <v>7928000</v>
      </c>
      <c r="AY66" s="72">
        <v>7302000</v>
      </c>
      <c r="AZ66" s="72">
        <v>8352000</v>
      </c>
      <c r="BA66" s="72">
        <v>8315000</v>
      </c>
      <c r="BB66" s="72">
        <v>7465000</v>
      </c>
      <c r="BC66" s="72">
        <v>7668000</v>
      </c>
      <c r="BD66" s="72">
        <v>8835000</v>
      </c>
      <c r="BE66" s="72">
        <v>9057000</v>
      </c>
      <c r="BF66" s="72">
        <v>7802000</v>
      </c>
      <c r="BG66" s="72">
        <v>7651000</v>
      </c>
      <c r="BH66" s="72">
        <v>7651000</v>
      </c>
      <c r="BI66" s="72">
        <v>8872000</v>
      </c>
      <c r="BJ66" s="72">
        <v>9250000</v>
      </c>
    </row>
    <row r="67" spans="1:62" ht="20.25" x14ac:dyDescent="0.3">
      <c r="A67" s="70"/>
      <c r="B67" s="68" t="s">
        <v>329</v>
      </c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24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</row>
    <row r="68" spans="1:62" ht="12.75" x14ac:dyDescent="0.2">
      <c r="A68" s="70">
        <v>1</v>
      </c>
      <c r="B68" s="51" t="s">
        <v>330</v>
      </c>
      <c r="C68" s="71">
        <v>2</v>
      </c>
      <c r="D68" s="72">
        <v>2338000</v>
      </c>
      <c r="E68" s="72">
        <v>2964000</v>
      </c>
      <c r="F68" s="72">
        <v>2410000</v>
      </c>
      <c r="G68" s="72">
        <v>3341000</v>
      </c>
      <c r="H68" s="72">
        <v>3308000</v>
      </c>
      <c r="I68" s="72">
        <v>2554000</v>
      </c>
      <c r="J68" s="72">
        <v>2734000</v>
      </c>
      <c r="K68" s="72">
        <v>3769000</v>
      </c>
      <c r="L68" s="72">
        <v>3966000</v>
      </c>
      <c r="M68" s="72">
        <v>2853000</v>
      </c>
      <c r="N68" s="72">
        <v>2720000</v>
      </c>
      <c r="O68" s="72">
        <v>2720000</v>
      </c>
      <c r="P68" s="72">
        <v>3802000</v>
      </c>
      <c r="Q68" s="72">
        <v>4137000</v>
      </c>
      <c r="R68" s="71">
        <v>2</v>
      </c>
      <c r="S68" s="72">
        <v>2110000</v>
      </c>
      <c r="T68" s="72">
        <v>2737000</v>
      </c>
      <c r="U68" s="72">
        <v>2182000</v>
      </c>
      <c r="V68" s="72">
        <v>3113000</v>
      </c>
      <c r="W68" s="72">
        <v>3081000</v>
      </c>
      <c r="X68" s="72">
        <v>2326000</v>
      </c>
      <c r="Y68" s="72">
        <v>2506000</v>
      </c>
      <c r="Z68" s="72">
        <v>3542000</v>
      </c>
      <c r="AA68" s="72">
        <v>3739000</v>
      </c>
      <c r="AB68" s="72">
        <v>2625000</v>
      </c>
      <c r="AC68" s="72">
        <v>2492000</v>
      </c>
      <c r="AD68" s="72">
        <v>2492000</v>
      </c>
      <c r="AE68" s="72">
        <v>3574000</v>
      </c>
      <c r="AF68" s="72">
        <v>3909000</v>
      </c>
      <c r="AG68" s="71">
        <v>2</v>
      </c>
      <c r="AH68" s="72">
        <v>3221000</v>
      </c>
      <c r="AI68" s="72">
        <v>3848000</v>
      </c>
      <c r="AJ68" s="72">
        <v>3293000</v>
      </c>
      <c r="AK68" s="72">
        <v>4224000</v>
      </c>
      <c r="AL68" s="72">
        <v>4192000</v>
      </c>
      <c r="AM68" s="72">
        <v>3437000</v>
      </c>
      <c r="AN68" s="72">
        <v>3617000</v>
      </c>
      <c r="AO68" s="72">
        <v>4653000</v>
      </c>
      <c r="AP68" s="72">
        <v>4850000</v>
      </c>
      <c r="AQ68" s="72">
        <v>3736000</v>
      </c>
      <c r="AR68" s="72">
        <v>3603000</v>
      </c>
      <c r="AS68" s="72">
        <v>3603000</v>
      </c>
      <c r="AT68" s="72">
        <v>4685000</v>
      </c>
      <c r="AU68" s="72">
        <v>5020000</v>
      </c>
      <c r="AV68" s="73">
        <v>2</v>
      </c>
      <c r="AW68" s="72">
        <v>7221000</v>
      </c>
      <c r="AX68" s="72">
        <v>7847000</v>
      </c>
      <c r="AY68" s="72">
        <v>7293000</v>
      </c>
      <c r="AZ68" s="72">
        <v>8224000</v>
      </c>
      <c r="BA68" s="72">
        <v>8191000</v>
      </c>
      <c r="BB68" s="72">
        <v>7437000</v>
      </c>
      <c r="BC68" s="72">
        <v>7617000</v>
      </c>
      <c r="BD68" s="72">
        <v>8652000</v>
      </c>
      <c r="BE68" s="72">
        <v>8849000</v>
      </c>
      <c r="BF68" s="72">
        <v>7736000</v>
      </c>
      <c r="BG68" s="72">
        <v>7603000</v>
      </c>
      <c r="BH68" s="72">
        <v>7603000</v>
      </c>
      <c r="BI68" s="72">
        <v>8685000</v>
      </c>
      <c r="BJ68" s="72">
        <v>9020000</v>
      </c>
    </row>
    <row r="69" spans="1:62" ht="12.75" x14ac:dyDescent="0.2">
      <c r="A69" s="70">
        <v>2</v>
      </c>
      <c r="B69" s="51" t="s">
        <v>331</v>
      </c>
      <c r="C69" s="71">
        <v>2</v>
      </c>
      <c r="D69" s="72">
        <v>2418000</v>
      </c>
      <c r="E69" s="72">
        <v>3123000</v>
      </c>
      <c r="F69" s="72">
        <v>2499000</v>
      </c>
      <c r="G69" s="72">
        <v>3547000</v>
      </c>
      <c r="H69" s="72">
        <v>3510000</v>
      </c>
      <c r="I69" s="72">
        <v>2661000</v>
      </c>
      <c r="J69" s="72">
        <v>2864000</v>
      </c>
      <c r="K69" s="72">
        <v>4029000</v>
      </c>
      <c r="L69" s="72">
        <v>4251000</v>
      </c>
      <c r="M69" s="72">
        <v>2997000</v>
      </c>
      <c r="N69" s="72">
        <v>2847000</v>
      </c>
      <c r="O69" s="72">
        <v>2847000</v>
      </c>
      <c r="P69" s="72">
        <v>4066000</v>
      </c>
      <c r="Q69" s="72">
        <v>4443000</v>
      </c>
      <c r="R69" s="71">
        <v>2</v>
      </c>
      <c r="S69" s="72">
        <v>2182000</v>
      </c>
      <c r="T69" s="72">
        <v>2888000</v>
      </c>
      <c r="U69" s="72">
        <v>2263000</v>
      </c>
      <c r="V69" s="72">
        <v>3311000</v>
      </c>
      <c r="W69" s="72">
        <v>3275000</v>
      </c>
      <c r="X69" s="72">
        <v>2425000</v>
      </c>
      <c r="Y69" s="72">
        <v>2628000</v>
      </c>
      <c r="Z69" s="72">
        <v>3794000</v>
      </c>
      <c r="AA69" s="72">
        <v>4015000</v>
      </c>
      <c r="AB69" s="72">
        <v>2762000</v>
      </c>
      <c r="AC69" s="72">
        <v>2612000</v>
      </c>
      <c r="AD69" s="72">
        <v>2612000</v>
      </c>
      <c r="AE69" s="72">
        <v>3831000</v>
      </c>
      <c r="AF69" s="72">
        <v>4208000</v>
      </c>
      <c r="AG69" s="71">
        <v>2</v>
      </c>
      <c r="AH69" s="72">
        <v>3295000</v>
      </c>
      <c r="AI69" s="72">
        <v>4000000</v>
      </c>
      <c r="AJ69" s="72">
        <v>3376000</v>
      </c>
      <c r="AK69" s="72">
        <v>4424000</v>
      </c>
      <c r="AL69" s="72">
        <v>4387000</v>
      </c>
      <c r="AM69" s="72">
        <v>3538000</v>
      </c>
      <c r="AN69" s="72">
        <v>3741000</v>
      </c>
      <c r="AO69" s="72">
        <v>4906000</v>
      </c>
      <c r="AP69" s="72">
        <v>5128000</v>
      </c>
      <c r="AQ69" s="72">
        <v>3874000</v>
      </c>
      <c r="AR69" s="72">
        <v>3724000</v>
      </c>
      <c r="AS69" s="72">
        <v>3724000</v>
      </c>
      <c r="AT69" s="72">
        <v>4943000</v>
      </c>
      <c r="AU69" s="72">
        <v>5320000</v>
      </c>
      <c r="AV69" s="73">
        <v>2</v>
      </c>
      <c r="AW69" s="72">
        <v>7361000</v>
      </c>
      <c r="AX69" s="72">
        <v>8067000</v>
      </c>
      <c r="AY69" s="72">
        <v>7442000</v>
      </c>
      <c r="AZ69" s="72">
        <v>8491000</v>
      </c>
      <c r="BA69" s="72">
        <v>8454000</v>
      </c>
      <c r="BB69" s="72">
        <v>7605000</v>
      </c>
      <c r="BC69" s="72">
        <v>7807000</v>
      </c>
      <c r="BD69" s="72">
        <v>8973000</v>
      </c>
      <c r="BE69" s="72">
        <v>9195000</v>
      </c>
      <c r="BF69" s="72">
        <v>7941000</v>
      </c>
      <c r="BG69" s="72">
        <v>7791000</v>
      </c>
      <c r="BH69" s="72">
        <v>7791000</v>
      </c>
      <c r="BI69" s="72">
        <v>9010000</v>
      </c>
      <c r="BJ69" s="72">
        <v>9387000</v>
      </c>
    </row>
    <row r="70" spans="1:62" ht="12.75" x14ac:dyDescent="0.2">
      <c r="A70" s="70">
        <v>3</v>
      </c>
      <c r="B70" s="51" t="s">
        <v>332</v>
      </c>
      <c r="C70" s="71">
        <v>2</v>
      </c>
      <c r="D70" s="72">
        <v>2465000</v>
      </c>
      <c r="E70" s="72">
        <v>3218000</v>
      </c>
      <c r="F70" s="72">
        <v>2552000</v>
      </c>
      <c r="G70" s="72">
        <v>3670000</v>
      </c>
      <c r="H70" s="72">
        <v>3631000</v>
      </c>
      <c r="I70" s="72">
        <v>2725000</v>
      </c>
      <c r="J70" s="72">
        <v>2941000</v>
      </c>
      <c r="K70" s="72">
        <v>4185000</v>
      </c>
      <c r="L70" s="72">
        <v>4422000</v>
      </c>
      <c r="M70" s="72">
        <v>3084000</v>
      </c>
      <c r="N70" s="72">
        <v>2924000</v>
      </c>
      <c r="O70" s="72">
        <v>2924000</v>
      </c>
      <c r="P70" s="72">
        <v>4224000</v>
      </c>
      <c r="Q70" s="72">
        <v>4627000</v>
      </c>
      <c r="R70" s="71">
        <v>2</v>
      </c>
      <c r="S70" s="72">
        <v>2225000</v>
      </c>
      <c r="T70" s="72">
        <v>2978000</v>
      </c>
      <c r="U70" s="72">
        <v>2312000</v>
      </c>
      <c r="V70" s="72">
        <v>3430000</v>
      </c>
      <c r="W70" s="72">
        <v>3391000</v>
      </c>
      <c r="X70" s="72">
        <v>2485000</v>
      </c>
      <c r="Y70" s="72">
        <v>2701000</v>
      </c>
      <c r="Z70" s="72">
        <v>3945000</v>
      </c>
      <c r="AA70" s="72">
        <v>4182000</v>
      </c>
      <c r="AB70" s="72">
        <v>2844000</v>
      </c>
      <c r="AC70" s="72">
        <v>2684000</v>
      </c>
      <c r="AD70" s="72">
        <v>2684000</v>
      </c>
      <c r="AE70" s="72">
        <v>3984000</v>
      </c>
      <c r="AF70" s="72">
        <v>4387000</v>
      </c>
      <c r="AG70" s="71">
        <v>2</v>
      </c>
      <c r="AH70" s="72">
        <v>3339000</v>
      </c>
      <c r="AI70" s="72">
        <v>4091000</v>
      </c>
      <c r="AJ70" s="72">
        <v>3425000</v>
      </c>
      <c r="AK70" s="72">
        <v>4544000</v>
      </c>
      <c r="AL70" s="72">
        <v>4505000</v>
      </c>
      <c r="AM70" s="72">
        <v>3598000</v>
      </c>
      <c r="AN70" s="72">
        <v>3815000</v>
      </c>
      <c r="AO70" s="72">
        <v>5058000</v>
      </c>
      <c r="AP70" s="72">
        <v>5295000</v>
      </c>
      <c r="AQ70" s="72">
        <v>3957000</v>
      </c>
      <c r="AR70" s="72">
        <v>3797000</v>
      </c>
      <c r="AS70" s="72">
        <v>3797000</v>
      </c>
      <c r="AT70" s="72">
        <v>5098000</v>
      </c>
      <c r="AU70" s="72">
        <v>5500000</v>
      </c>
      <c r="AV70" s="73">
        <v>2</v>
      </c>
      <c r="AW70" s="72">
        <v>7446000</v>
      </c>
      <c r="AX70" s="72">
        <v>8198000</v>
      </c>
      <c r="AY70" s="72">
        <v>7532000</v>
      </c>
      <c r="AZ70" s="72">
        <v>8651000</v>
      </c>
      <c r="BA70" s="72">
        <v>8611000</v>
      </c>
      <c r="BB70" s="72">
        <v>7705000</v>
      </c>
      <c r="BC70" s="72">
        <v>7921000</v>
      </c>
      <c r="BD70" s="72">
        <v>9165000</v>
      </c>
      <c r="BE70" s="72">
        <v>9402000</v>
      </c>
      <c r="BF70" s="72">
        <v>8064000</v>
      </c>
      <c r="BG70" s="72">
        <v>7904000</v>
      </c>
      <c r="BH70" s="72">
        <v>7904000</v>
      </c>
      <c r="BI70" s="72">
        <v>9205000</v>
      </c>
      <c r="BJ70" s="72">
        <v>9607000</v>
      </c>
    </row>
    <row r="71" spans="1:62" ht="12.75" x14ac:dyDescent="0.2">
      <c r="A71" s="70">
        <v>4</v>
      </c>
      <c r="B71" s="51" t="s">
        <v>333</v>
      </c>
      <c r="C71" s="71">
        <v>2</v>
      </c>
      <c r="D71" s="72">
        <v>2497000</v>
      </c>
      <c r="E71" s="72">
        <v>3281000</v>
      </c>
      <c r="F71" s="72">
        <v>2587000</v>
      </c>
      <c r="G71" s="72">
        <v>3753000</v>
      </c>
      <c r="H71" s="72">
        <v>3712000</v>
      </c>
      <c r="I71" s="72">
        <v>2768000</v>
      </c>
      <c r="J71" s="72">
        <v>2993000</v>
      </c>
      <c r="K71" s="72">
        <v>4289000</v>
      </c>
      <c r="L71" s="72">
        <v>4536000</v>
      </c>
      <c r="M71" s="72">
        <v>3142000</v>
      </c>
      <c r="N71" s="72">
        <v>2975000</v>
      </c>
      <c r="O71" s="72">
        <v>2975000</v>
      </c>
      <c r="P71" s="72">
        <v>4330000</v>
      </c>
      <c r="Q71" s="72">
        <v>4749000</v>
      </c>
      <c r="R71" s="71">
        <v>2</v>
      </c>
      <c r="S71" s="72">
        <v>2254000</v>
      </c>
      <c r="T71" s="72">
        <v>3038000</v>
      </c>
      <c r="U71" s="72">
        <v>2344000</v>
      </c>
      <c r="V71" s="72">
        <v>3510000</v>
      </c>
      <c r="W71" s="72">
        <v>3469000</v>
      </c>
      <c r="X71" s="72">
        <v>2524000</v>
      </c>
      <c r="Y71" s="72">
        <v>2750000</v>
      </c>
      <c r="Z71" s="72">
        <v>4046000</v>
      </c>
      <c r="AA71" s="72">
        <v>4292000</v>
      </c>
      <c r="AB71" s="72">
        <v>2898000</v>
      </c>
      <c r="AC71" s="72">
        <v>2732000</v>
      </c>
      <c r="AD71" s="72">
        <v>2732000</v>
      </c>
      <c r="AE71" s="72">
        <v>4087000</v>
      </c>
      <c r="AF71" s="72">
        <v>4506000</v>
      </c>
      <c r="AG71" s="71">
        <v>2</v>
      </c>
      <c r="AH71" s="72">
        <v>3368000</v>
      </c>
      <c r="AI71" s="72">
        <v>4152000</v>
      </c>
      <c r="AJ71" s="72">
        <v>3458000</v>
      </c>
      <c r="AK71" s="72">
        <v>4624000</v>
      </c>
      <c r="AL71" s="72">
        <v>4583000</v>
      </c>
      <c r="AM71" s="72">
        <v>3638000</v>
      </c>
      <c r="AN71" s="72">
        <v>3864000</v>
      </c>
      <c r="AO71" s="72">
        <v>5160000</v>
      </c>
      <c r="AP71" s="72">
        <v>5406000</v>
      </c>
      <c r="AQ71" s="72">
        <v>4013000</v>
      </c>
      <c r="AR71" s="72">
        <v>3846000</v>
      </c>
      <c r="AS71" s="72">
        <v>3846000</v>
      </c>
      <c r="AT71" s="72">
        <v>5201000</v>
      </c>
      <c r="AU71" s="72">
        <v>5620000</v>
      </c>
      <c r="AV71" s="73">
        <v>2</v>
      </c>
      <c r="AW71" s="72">
        <v>7502000</v>
      </c>
      <c r="AX71" s="72">
        <v>8286000</v>
      </c>
      <c r="AY71" s="72">
        <v>7592000</v>
      </c>
      <c r="AZ71" s="72">
        <v>8757000</v>
      </c>
      <c r="BA71" s="72">
        <v>8717000</v>
      </c>
      <c r="BB71" s="72">
        <v>7772000</v>
      </c>
      <c r="BC71" s="72">
        <v>7998000</v>
      </c>
      <c r="BD71" s="72">
        <v>9294000</v>
      </c>
      <c r="BE71" s="72">
        <v>9540000</v>
      </c>
      <c r="BF71" s="72">
        <v>8146000</v>
      </c>
      <c r="BG71" s="72">
        <v>7980000</v>
      </c>
      <c r="BH71" s="72">
        <v>7980000</v>
      </c>
      <c r="BI71" s="72">
        <v>9334000</v>
      </c>
      <c r="BJ71" s="72">
        <v>9754000</v>
      </c>
    </row>
    <row r="72" spans="1:62" ht="12.75" x14ac:dyDescent="0.2">
      <c r="A72" s="70">
        <v>5</v>
      </c>
      <c r="B72" s="51" t="s">
        <v>334</v>
      </c>
      <c r="C72" s="71">
        <v>2</v>
      </c>
      <c r="D72" s="72">
        <v>2577000</v>
      </c>
      <c r="E72" s="72">
        <v>3440000</v>
      </c>
      <c r="F72" s="72">
        <v>2676000</v>
      </c>
      <c r="G72" s="72">
        <v>3959000</v>
      </c>
      <c r="H72" s="72">
        <v>3914000</v>
      </c>
      <c r="I72" s="72">
        <v>2874000</v>
      </c>
      <c r="J72" s="72">
        <v>3122000</v>
      </c>
      <c r="K72" s="72">
        <v>4549000</v>
      </c>
      <c r="L72" s="72">
        <v>4820000</v>
      </c>
      <c r="M72" s="72">
        <v>3286000</v>
      </c>
      <c r="N72" s="72">
        <v>3103000</v>
      </c>
      <c r="O72" s="72">
        <v>3103000</v>
      </c>
      <c r="P72" s="72">
        <v>4594000</v>
      </c>
      <c r="Q72" s="72">
        <v>5055000</v>
      </c>
      <c r="R72" s="71">
        <v>2</v>
      </c>
      <c r="S72" s="72">
        <v>2326000</v>
      </c>
      <c r="T72" s="72">
        <v>3189000</v>
      </c>
      <c r="U72" s="72">
        <v>2425000</v>
      </c>
      <c r="V72" s="72">
        <v>3708000</v>
      </c>
      <c r="W72" s="72">
        <v>3663000</v>
      </c>
      <c r="X72" s="72">
        <v>2623000</v>
      </c>
      <c r="Y72" s="72">
        <v>2871000</v>
      </c>
      <c r="Z72" s="72">
        <v>4298000</v>
      </c>
      <c r="AA72" s="72">
        <v>4569000</v>
      </c>
      <c r="AB72" s="72">
        <v>3035000</v>
      </c>
      <c r="AC72" s="72">
        <v>2852000</v>
      </c>
      <c r="AD72" s="72">
        <v>2852000</v>
      </c>
      <c r="AE72" s="72">
        <v>4343000</v>
      </c>
      <c r="AF72" s="72">
        <v>4804000</v>
      </c>
      <c r="AG72" s="71">
        <v>2</v>
      </c>
      <c r="AH72" s="72">
        <v>3441000</v>
      </c>
      <c r="AI72" s="72">
        <v>4305000</v>
      </c>
      <c r="AJ72" s="72">
        <v>3541000</v>
      </c>
      <c r="AK72" s="72">
        <v>4823000</v>
      </c>
      <c r="AL72" s="72">
        <v>4778000</v>
      </c>
      <c r="AM72" s="72">
        <v>3739000</v>
      </c>
      <c r="AN72" s="72">
        <v>3987000</v>
      </c>
      <c r="AO72" s="72">
        <v>5414000</v>
      </c>
      <c r="AP72" s="72">
        <v>5685000</v>
      </c>
      <c r="AQ72" s="72">
        <v>4151000</v>
      </c>
      <c r="AR72" s="72">
        <v>3967000</v>
      </c>
      <c r="AS72" s="72">
        <v>3967000</v>
      </c>
      <c r="AT72" s="72">
        <v>5459000</v>
      </c>
      <c r="AU72" s="72">
        <v>5920000</v>
      </c>
      <c r="AV72" s="73">
        <v>2</v>
      </c>
      <c r="AW72" s="72">
        <v>7642000</v>
      </c>
      <c r="AX72" s="72">
        <v>8505000</v>
      </c>
      <c r="AY72" s="72">
        <v>7741000</v>
      </c>
      <c r="AZ72" s="72">
        <v>9024000</v>
      </c>
      <c r="BA72" s="72">
        <v>8979000</v>
      </c>
      <c r="BB72" s="72">
        <v>7940000</v>
      </c>
      <c r="BC72" s="72">
        <v>8188000</v>
      </c>
      <c r="BD72" s="72">
        <v>9614000</v>
      </c>
      <c r="BE72" s="72">
        <v>9886000</v>
      </c>
      <c r="BF72" s="72">
        <v>8351000</v>
      </c>
      <c r="BG72" s="72">
        <v>8168000</v>
      </c>
      <c r="BH72" s="72">
        <v>8168000</v>
      </c>
      <c r="BI72" s="72">
        <v>9659000</v>
      </c>
      <c r="BJ72" s="72">
        <v>10121000</v>
      </c>
    </row>
    <row r="73" spans="1:62" ht="12.75" x14ac:dyDescent="0.2">
      <c r="A73" s="70">
        <v>6</v>
      </c>
      <c r="B73" s="51" t="s">
        <v>335</v>
      </c>
      <c r="C73" s="71">
        <v>2</v>
      </c>
      <c r="D73" s="72">
        <v>2656000</v>
      </c>
      <c r="E73" s="72">
        <v>3598000</v>
      </c>
      <c r="F73" s="72">
        <v>2765000</v>
      </c>
      <c r="G73" s="72">
        <v>4165000</v>
      </c>
      <c r="H73" s="72">
        <v>4116000</v>
      </c>
      <c r="I73" s="72">
        <v>2981000</v>
      </c>
      <c r="J73" s="72">
        <v>3252000</v>
      </c>
      <c r="K73" s="72">
        <v>4809000</v>
      </c>
      <c r="L73" s="72">
        <v>5105000</v>
      </c>
      <c r="M73" s="72">
        <v>3431000</v>
      </c>
      <c r="N73" s="72">
        <v>3230000</v>
      </c>
      <c r="O73" s="72">
        <v>3230000</v>
      </c>
      <c r="P73" s="72">
        <v>4858000</v>
      </c>
      <c r="Q73" s="72">
        <v>5361000</v>
      </c>
      <c r="R73" s="71">
        <v>2</v>
      </c>
      <c r="S73" s="72">
        <v>2397000</v>
      </c>
      <c r="T73" s="72">
        <v>3340000</v>
      </c>
      <c r="U73" s="72">
        <v>2506000</v>
      </c>
      <c r="V73" s="72">
        <v>3906000</v>
      </c>
      <c r="W73" s="72">
        <v>3857000</v>
      </c>
      <c r="X73" s="72">
        <v>2722000</v>
      </c>
      <c r="Y73" s="72">
        <v>2993000</v>
      </c>
      <c r="Z73" s="72">
        <v>4550000</v>
      </c>
      <c r="AA73" s="72">
        <v>4846000</v>
      </c>
      <c r="AB73" s="72">
        <v>3172000</v>
      </c>
      <c r="AC73" s="72">
        <v>2971000</v>
      </c>
      <c r="AD73" s="72">
        <v>2971000</v>
      </c>
      <c r="AE73" s="72">
        <v>4599000</v>
      </c>
      <c r="AF73" s="72">
        <v>5102000</v>
      </c>
      <c r="AG73" s="71">
        <v>2</v>
      </c>
      <c r="AH73" s="72">
        <v>3515000</v>
      </c>
      <c r="AI73" s="72">
        <v>4457000</v>
      </c>
      <c r="AJ73" s="72">
        <v>3623000</v>
      </c>
      <c r="AK73" s="72">
        <v>5023000</v>
      </c>
      <c r="AL73" s="72">
        <v>4974000</v>
      </c>
      <c r="AM73" s="72">
        <v>3840000</v>
      </c>
      <c r="AN73" s="72">
        <v>4110000</v>
      </c>
      <c r="AO73" s="72">
        <v>5667000</v>
      </c>
      <c r="AP73" s="72">
        <v>5963000</v>
      </c>
      <c r="AQ73" s="72">
        <v>4289000</v>
      </c>
      <c r="AR73" s="72">
        <v>4089000</v>
      </c>
      <c r="AS73" s="72">
        <v>4089000</v>
      </c>
      <c r="AT73" s="72">
        <v>5716000</v>
      </c>
      <c r="AU73" s="72">
        <v>6220000</v>
      </c>
      <c r="AV73" s="73">
        <v>2</v>
      </c>
      <c r="AW73" s="72">
        <v>7783000</v>
      </c>
      <c r="AX73" s="72">
        <v>8725000</v>
      </c>
      <c r="AY73" s="72">
        <v>7891000</v>
      </c>
      <c r="AZ73" s="72">
        <v>9291000</v>
      </c>
      <c r="BA73" s="72">
        <v>9242000</v>
      </c>
      <c r="BB73" s="72">
        <v>8107000</v>
      </c>
      <c r="BC73" s="72">
        <v>8378000</v>
      </c>
      <c r="BD73" s="72">
        <v>9935000</v>
      </c>
      <c r="BE73" s="72">
        <v>10231000</v>
      </c>
      <c r="BF73" s="72">
        <v>8557000</v>
      </c>
      <c r="BG73" s="72">
        <v>8356000</v>
      </c>
      <c r="BH73" s="72">
        <v>8356000</v>
      </c>
      <c r="BI73" s="72">
        <v>9984000</v>
      </c>
      <c r="BJ73" s="72">
        <v>10488000</v>
      </c>
    </row>
    <row r="74" spans="1:62" ht="20.25" x14ac:dyDescent="0.3">
      <c r="A74" s="70"/>
      <c r="B74" s="68" t="s">
        <v>336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24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</row>
    <row r="75" spans="1:62" ht="12.75" x14ac:dyDescent="0.2">
      <c r="A75" s="70">
        <v>1</v>
      </c>
      <c r="B75" s="51" t="s">
        <v>337</v>
      </c>
      <c r="C75" s="71">
        <v>3</v>
      </c>
      <c r="D75" s="72">
        <v>2835000</v>
      </c>
      <c r="E75" s="72">
        <v>3618000</v>
      </c>
      <c r="F75" s="72">
        <v>2925000</v>
      </c>
      <c r="G75" s="72">
        <v>4089000</v>
      </c>
      <c r="H75" s="72">
        <v>4048000</v>
      </c>
      <c r="I75" s="72">
        <v>3105000</v>
      </c>
      <c r="J75" s="72">
        <v>3330000</v>
      </c>
      <c r="K75" s="72">
        <v>4624000</v>
      </c>
      <c r="L75" s="72">
        <v>4871000</v>
      </c>
      <c r="M75" s="72">
        <v>3479000</v>
      </c>
      <c r="N75" s="72">
        <v>3312000</v>
      </c>
      <c r="O75" s="72">
        <v>3312000</v>
      </c>
      <c r="P75" s="72">
        <v>4665000</v>
      </c>
      <c r="Q75" s="72">
        <v>5084000</v>
      </c>
      <c r="R75" s="71">
        <v>3</v>
      </c>
      <c r="S75" s="72">
        <v>2566000</v>
      </c>
      <c r="T75" s="72">
        <v>3349000</v>
      </c>
      <c r="U75" s="72">
        <v>2656000</v>
      </c>
      <c r="V75" s="72">
        <v>3820000</v>
      </c>
      <c r="W75" s="72">
        <v>3779000</v>
      </c>
      <c r="X75" s="72">
        <v>2836000</v>
      </c>
      <c r="Y75" s="72">
        <v>3061000</v>
      </c>
      <c r="Z75" s="72">
        <v>4356000</v>
      </c>
      <c r="AA75" s="72">
        <v>4602000</v>
      </c>
      <c r="AB75" s="72">
        <v>3210000</v>
      </c>
      <c r="AC75" s="72">
        <v>3043000</v>
      </c>
      <c r="AD75" s="72">
        <v>3043000</v>
      </c>
      <c r="AE75" s="72">
        <v>4396000</v>
      </c>
      <c r="AF75" s="72">
        <v>4815000</v>
      </c>
      <c r="AG75" s="71">
        <v>2</v>
      </c>
      <c r="AH75" s="72">
        <v>3447000</v>
      </c>
      <c r="AI75" s="72">
        <v>4230000</v>
      </c>
      <c r="AJ75" s="72">
        <v>3537000</v>
      </c>
      <c r="AK75" s="72">
        <v>4701000</v>
      </c>
      <c r="AL75" s="72">
        <v>4660000</v>
      </c>
      <c r="AM75" s="72">
        <v>3717000</v>
      </c>
      <c r="AN75" s="72">
        <v>3942000</v>
      </c>
      <c r="AO75" s="72">
        <v>5236000</v>
      </c>
      <c r="AP75" s="72">
        <v>5482000</v>
      </c>
      <c r="AQ75" s="72">
        <v>4091000</v>
      </c>
      <c r="AR75" s="72">
        <v>3924000</v>
      </c>
      <c r="AS75" s="72">
        <v>3924000</v>
      </c>
      <c r="AT75" s="72">
        <v>5277000</v>
      </c>
      <c r="AU75" s="72">
        <v>5696000</v>
      </c>
      <c r="AV75" s="73">
        <v>2</v>
      </c>
      <c r="AW75" s="72">
        <v>7749000</v>
      </c>
      <c r="AX75" s="72">
        <v>8532000</v>
      </c>
      <c r="AY75" s="72">
        <v>7839000</v>
      </c>
      <c r="AZ75" s="72">
        <v>9003000</v>
      </c>
      <c r="BA75" s="72">
        <v>8962000</v>
      </c>
      <c r="BB75" s="72">
        <v>8019000</v>
      </c>
      <c r="BC75" s="72">
        <v>8244000</v>
      </c>
      <c r="BD75" s="72">
        <v>9538000</v>
      </c>
      <c r="BE75" s="72">
        <v>9784000</v>
      </c>
      <c r="BF75" s="72">
        <v>8392000</v>
      </c>
      <c r="BG75" s="72">
        <v>8226000</v>
      </c>
      <c r="BH75" s="72">
        <v>8226000</v>
      </c>
      <c r="BI75" s="72">
        <v>9579000</v>
      </c>
      <c r="BJ75" s="72">
        <v>9997000</v>
      </c>
    </row>
    <row r="76" spans="1:62" ht="12.75" x14ac:dyDescent="0.2">
      <c r="A76" s="70">
        <v>2</v>
      </c>
      <c r="B76" s="51" t="s">
        <v>338</v>
      </c>
      <c r="C76" s="71">
        <v>3</v>
      </c>
      <c r="D76" s="72">
        <v>2923000</v>
      </c>
      <c r="E76" s="72">
        <v>3805000</v>
      </c>
      <c r="F76" s="72">
        <v>3025000</v>
      </c>
      <c r="G76" s="72">
        <v>4335000</v>
      </c>
      <c r="H76" s="72">
        <v>4289000</v>
      </c>
      <c r="I76" s="72">
        <v>3227000</v>
      </c>
      <c r="J76" s="72">
        <v>3481000</v>
      </c>
      <c r="K76" s="72">
        <v>4938000</v>
      </c>
      <c r="L76" s="72">
        <v>5215000</v>
      </c>
      <c r="M76" s="72">
        <v>3648000</v>
      </c>
      <c r="N76" s="72">
        <v>3460000</v>
      </c>
      <c r="O76" s="72">
        <v>3460000</v>
      </c>
      <c r="P76" s="72">
        <v>4984000</v>
      </c>
      <c r="Q76" s="72">
        <v>5455000</v>
      </c>
      <c r="R76" s="71">
        <v>3</v>
      </c>
      <c r="S76" s="72">
        <v>2646000</v>
      </c>
      <c r="T76" s="72">
        <v>3528000</v>
      </c>
      <c r="U76" s="72">
        <v>2748000</v>
      </c>
      <c r="V76" s="72">
        <v>4058000</v>
      </c>
      <c r="W76" s="72">
        <v>4012000</v>
      </c>
      <c r="X76" s="72">
        <v>2951000</v>
      </c>
      <c r="Y76" s="72">
        <v>3204000</v>
      </c>
      <c r="Z76" s="72">
        <v>4661000</v>
      </c>
      <c r="AA76" s="72">
        <v>4938000</v>
      </c>
      <c r="AB76" s="72">
        <v>3371000</v>
      </c>
      <c r="AC76" s="72">
        <v>3184000</v>
      </c>
      <c r="AD76" s="72">
        <v>3184000</v>
      </c>
      <c r="AE76" s="72">
        <v>4707000</v>
      </c>
      <c r="AF76" s="72">
        <v>5178000</v>
      </c>
      <c r="AG76" s="71">
        <v>2</v>
      </c>
      <c r="AH76" s="72">
        <v>3529000</v>
      </c>
      <c r="AI76" s="72">
        <v>4411000</v>
      </c>
      <c r="AJ76" s="72">
        <v>3630000</v>
      </c>
      <c r="AK76" s="72">
        <v>4941000</v>
      </c>
      <c r="AL76" s="72">
        <v>4895000</v>
      </c>
      <c r="AM76" s="72">
        <v>3833000</v>
      </c>
      <c r="AN76" s="72">
        <v>4086000</v>
      </c>
      <c r="AO76" s="72">
        <v>5543000</v>
      </c>
      <c r="AP76" s="72">
        <v>5821000</v>
      </c>
      <c r="AQ76" s="72">
        <v>4254000</v>
      </c>
      <c r="AR76" s="72">
        <v>4066000</v>
      </c>
      <c r="AS76" s="72">
        <v>4066000</v>
      </c>
      <c r="AT76" s="72">
        <v>5589000</v>
      </c>
      <c r="AU76" s="72">
        <v>6061000</v>
      </c>
      <c r="AV76" s="73">
        <v>2</v>
      </c>
      <c r="AW76" s="72">
        <v>7898000</v>
      </c>
      <c r="AX76" s="72">
        <v>8779000</v>
      </c>
      <c r="AY76" s="72">
        <v>7999000</v>
      </c>
      <c r="AZ76" s="72">
        <v>9309000</v>
      </c>
      <c r="BA76" s="72">
        <v>9263000</v>
      </c>
      <c r="BB76" s="72">
        <v>8202000</v>
      </c>
      <c r="BC76" s="72">
        <v>8455000</v>
      </c>
      <c r="BD76" s="72">
        <v>9912000</v>
      </c>
      <c r="BE76" s="72">
        <v>10189000</v>
      </c>
      <c r="BF76" s="72">
        <v>8622000</v>
      </c>
      <c r="BG76" s="72">
        <v>8435000</v>
      </c>
      <c r="BH76" s="72">
        <v>8435000</v>
      </c>
      <c r="BI76" s="72">
        <v>9958000</v>
      </c>
      <c r="BJ76" s="72">
        <v>10429000</v>
      </c>
    </row>
    <row r="77" spans="1:62" ht="12.75" x14ac:dyDescent="0.2">
      <c r="A77" s="70">
        <v>3</v>
      </c>
      <c r="B77" s="51" t="s">
        <v>339</v>
      </c>
      <c r="C77" s="71">
        <v>3</v>
      </c>
      <c r="D77" s="72">
        <v>2976000</v>
      </c>
      <c r="E77" s="72">
        <v>3917000</v>
      </c>
      <c r="F77" s="72">
        <v>3084000</v>
      </c>
      <c r="G77" s="72">
        <v>4483000</v>
      </c>
      <c r="H77" s="72">
        <v>4433000</v>
      </c>
      <c r="I77" s="72">
        <v>3301000</v>
      </c>
      <c r="J77" s="72">
        <v>3571000</v>
      </c>
      <c r="K77" s="72">
        <v>5126000</v>
      </c>
      <c r="L77" s="72">
        <v>5422000</v>
      </c>
      <c r="M77" s="72">
        <v>3749000</v>
      </c>
      <c r="N77" s="72">
        <v>3549000</v>
      </c>
      <c r="O77" s="72">
        <v>3549000</v>
      </c>
      <c r="P77" s="72">
        <v>5175000</v>
      </c>
      <c r="Q77" s="72">
        <v>5678000</v>
      </c>
      <c r="R77" s="71">
        <v>3</v>
      </c>
      <c r="S77" s="72">
        <v>2695000</v>
      </c>
      <c r="T77" s="72">
        <v>3636000</v>
      </c>
      <c r="U77" s="72">
        <v>2803000</v>
      </c>
      <c r="V77" s="72">
        <v>4201000</v>
      </c>
      <c r="W77" s="72">
        <v>4152000</v>
      </c>
      <c r="X77" s="72">
        <v>3019000</v>
      </c>
      <c r="Y77" s="72">
        <v>3289000</v>
      </c>
      <c r="Z77" s="72">
        <v>4844000</v>
      </c>
      <c r="AA77" s="72">
        <v>5140000</v>
      </c>
      <c r="AB77" s="72">
        <v>3468000</v>
      </c>
      <c r="AC77" s="72">
        <v>3268000</v>
      </c>
      <c r="AD77" s="72">
        <v>3268000</v>
      </c>
      <c r="AE77" s="72">
        <v>4893000</v>
      </c>
      <c r="AF77" s="72">
        <v>5396000</v>
      </c>
      <c r="AG77" s="71">
        <v>2</v>
      </c>
      <c r="AH77" s="72">
        <v>3578000</v>
      </c>
      <c r="AI77" s="72">
        <v>4519000</v>
      </c>
      <c r="AJ77" s="72">
        <v>3686000</v>
      </c>
      <c r="AK77" s="72">
        <v>5084000</v>
      </c>
      <c r="AL77" s="72">
        <v>5035000</v>
      </c>
      <c r="AM77" s="72">
        <v>3902000</v>
      </c>
      <c r="AN77" s="72">
        <v>4173000</v>
      </c>
      <c r="AO77" s="72">
        <v>5728000</v>
      </c>
      <c r="AP77" s="72">
        <v>6023000</v>
      </c>
      <c r="AQ77" s="72">
        <v>4351000</v>
      </c>
      <c r="AR77" s="72">
        <v>4151000</v>
      </c>
      <c r="AS77" s="72">
        <v>4151000</v>
      </c>
      <c r="AT77" s="72">
        <v>5777000</v>
      </c>
      <c r="AU77" s="72">
        <v>6280000</v>
      </c>
      <c r="AV77" s="73">
        <v>2</v>
      </c>
      <c r="AW77" s="72">
        <v>7987000</v>
      </c>
      <c r="AX77" s="72">
        <v>8928000</v>
      </c>
      <c r="AY77" s="72">
        <v>8095000</v>
      </c>
      <c r="AZ77" s="72">
        <v>9493000</v>
      </c>
      <c r="BA77" s="72">
        <v>9444000</v>
      </c>
      <c r="BB77" s="72">
        <v>8311000</v>
      </c>
      <c r="BC77" s="72">
        <v>8582000</v>
      </c>
      <c r="BD77" s="72">
        <v>10137000</v>
      </c>
      <c r="BE77" s="72">
        <v>10432000</v>
      </c>
      <c r="BF77" s="72">
        <v>8760000</v>
      </c>
      <c r="BG77" s="72">
        <v>8560000</v>
      </c>
      <c r="BH77" s="72">
        <v>8560000</v>
      </c>
      <c r="BI77" s="72">
        <v>10186000</v>
      </c>
      <c r="BJ77" s="72">
        <v>10689000</v>
      </c>
    </row>
    <row r="78" spans="1:62" ht="12.75" x14ac:dyDescent="0.2">
      <c r="A78" s="70">
        <v>4</v>
      </c>
      <c r="B78" s="51" t="s">
        <v>340</v>
      </c>
      <c r="C78" s="71">
        <v>3</v>
      </c>
      <c r="D78" s="72">
        <v>3011000</v>
      </c>
      <c r="E78" s="72">
        <v>3992000</v>
      </c>
      <c r="F78" s="72">
        <v>3124000</v>
      </c>
      <c r="G78" s="72">
        <v>4581000</v>
      </c>
      <c r="H78" s="72">
        <v>4530000</v>
      </c>
      <c r="I78" s="72">
        <v>3349000</v>
      </c>
      <c r="J78" s="72">
        <v>3631000</v>
      </c>
      <c r="K78" s="72">
        <v>5251000</v>
      </c>
      <c r="L78" s="72">
        <v>5559000</v>
      </c>
      <c r="M78" s="72">
        <v>3817000</v>
      </c>
      <c r="N78" s="72">
        <v>3609000</v>
      </c>
      <c r="O78" s="72">
        <v>3609000</v>
      </c>
      <c r="P78" s="72">
        <v>5302000</v>
      </c>
      <c r="Q78" s="72">
        <v>5826000</v>
      </c>
      <c r="R78" s="71">
        <v>3</v>
      </c>
      <c r="S78" s="72">
        <v>2727000</v>
      </c>
      <c r="T78" s="72">
        <v>3707000</v>
      </c>
      <c r="U78" s="72">
        <v>2839000</v>
      </c>
      <c r="V78" s="72">
        <v>4296000</v>
      </c>
      <c r="W78" s="72">
        <v>4245000</v>
      </c>
      <c r="X78" s="72">
        <v>3065000</v>
      </c>
      <c r="Y78" s="72">
        <v>3346000</v>
      </c>
      <c r="Z78" s="72">
        <v>4967000</v>
      </c>
      <c r="AA78" s="72">
        <v>5275000</v>
      </c>
      <c r="AB78" s="72">
        <v>3532000</v>
      </c>
      <c r="AC78" s="72">
        <v>3324000</v>
      </c>
      <c r="AD78" s="72">
        <v>3324000</v>
      </c>
      <c r="AE78" s="72">
        <v>5018000</v>
      </c>
      <c r="AF78" s="72">
        <v>5542000</v>
      </c>
      <c r="AG78" s="71">
        <v>2</v>
      </c>
      <c r="AH78" s="72">
        <v>3611000</v>
      </c>
      <c r="AI78" s="72">
        <v>4591000</v>
      </c>
      <c r="AJ78" s="72">
        <v>3723000</v>
      </c>
      <c r="AK78" s="72">
        <v>5180000</v>
      </c>
      <c r="AL78" s="72">
        <v>5129000</v>
      </c>
      <c r="AM78" s="72">
        <v>3949000</v>
      </c>
      <c r="AN78" s="72">
        <v>4230000</v>
      </c>
      <c r="AO78" s="72">
        <v>5851000</v>
      </c>
      <c r="AP78" s="72">
        <v>6159000</v>
      </c>
      <c r="AQ78" s="72">
        <v>4416000</v>
      </c>
      <c r="AR78" s="72">
        <v>4208000</v>
      </c>
      <c r="AS78" s="72">
        <v>4208000</v>
      </c>
      <c r="AT78" s="72">
        <v>5902000</v>
      </c>
      <c r="AU78" s="72">
        <v>6426000</v>
      </c>
      <c r="AV78" s="73">
        <v>2</v>
      </c>
      <c r="AW78" s="72">
        <v>8046000</v>
      </c>
      <c r="AX78" s="72">
        <v>9027000</v>
      </c>
      <c r="AY78" s="72">
        <v>8159000</v>
      </c>
      <c r="AZ78" s="72">
        <v>9616000</v>
      </c>
      <c r="BA78" s="72">
        <v>9565000</v>
      </c>
      <c r="BB78" s="72">
        <v>8385000</v>
      </c>
      <c r="BC78" s="72">
        <v>8666000</v>
      </c>
      <c r="BD78" s="72">
        <v>10286000</v>
      </c>
      <c r="BE78" s="72">
        <v>10594000</v>
      </c>
      <c r="BF78" s="72">
        <v>8852000</v>
      </c>
      <c r="BG78" s="72">
        <v>8644000</v>
      </c>
      <c r="BH78" s="72">
        <v>8644000</v>
      </c>
      <c r="BI78" s="72">
        <v>10337000</v>
      </c>
      <c r="BJ78" s="72">
        <v>10861000</v>
      </c>
    </row>
    <row r="79" spans="1:62" ht="12.75" x14ac:dyDescent="0.2">
      <c r="A79" s="70">
        <v>5</v>
      </c>
      <c r="B79" s="51" t="s">
        <v>341</v>
      </c>
      <c r="C79" s="71">
        <v>3</v>
      </c>
      <c r="D79" s="72">
        <v>3099000</v>
      </c>
      <c r="E79" s="72">
        <v>4178000</v>
      </c>
      <c r="F79" s="72">
        <v>3223000</v>
      </c>
      <c r="G79" s="72">
        <v>4827000</v>
      </c>
      <c r="H79" s="72">
        <v>4771000</v>
      </c>
      <c r="I79" s="72">
        <v>3471000</v>
      </c>
      <c r="J79" s="72">
        <v>3781000</v>
      </c>
      <c r="K79" s="72">
        <v>5564000</v>
      </c>
      <c r="L79" s="72">
        <v>5904000</v>
      </c>
      <c r="M79" s="72">
        <v>3986000</v>
      </c>
      <c r="N79" s="72">
        <v>3757000</v>
      </c>
      <c r="O79" s="72">
        <v>3757000</v>
      </c>
      <c r="P79" s="72">
        <v>5621000</v>
      </c>
      <c r="Q79" s="72">
        <v>6197000</v>
      </c>
      <c r="R79" s="71">
        <v>3</v>
      </c>
      <c r="S79" s="72">
        <v>2807000</v>
      </c>
      <c r="T79" s="72">
        <v>3886000</v>
      </c>
      <c r="U79" s="72">
        <v>2931000</v>
      </c>
      <c r="V79" s="72">
        <v>4534000</v>
      </c>
      <c r="W79" s="72">
        <v>4478000</v>
      </c>
      <c r="X79" s="72">
        <v>3179000</v>
      </c>
      <c r="Y79" s="72">
        <v>3489000</v>
      </c>
      <c r="Z79" s="72">
        <v>5272000</v>
      </c>
      <c r="AA79" s="72">
        <v>5611000</v>
      </c>
      <c r="AB79" s="72">
        <v>3694000</v>
      </c>
      <c r="AC79" s="72">
        <v>3464000</v>
      </c>
      <c r="AD79" s="72">
        <v>3464000</v>
      </c>
      <c r="AE79" s="72">
        <v>5328000</v>
      </c>
      <c r="AF79" s="72">
        <v>5905000</v>
      </c>
      <c r="AG79" s="71">
        <v>2</v>
      </c>
      <c r="AH79" s="72">
        <v>3692000</v>
      </c>
      <c r="AI79" s="72">
        <v>4771000</v>
      </c>
      <c r="AJ79" s="72">
        <v>3816000</v>
      </c>
      <c r="AK79" s="72">
        <v>5420000</v>
      </c>
      <c r="AL79" s="72">
        <v>5364000</v>
      </c>
      <c r="AM79" s="72">
        <v>4064000</v>
      </c>
      <c r="AN79" s="72">
        <v>4375000</v>
      </c>
      <c r="AO79" s="72">
        <v>6158000</v>
      </c>
      <c r="AP79" s="72">
        <v>6497000</v>
      </c>
      <c r="AQ79" s="72">
        <v>4579000</v>
      </c>
      <c r="AR79" s="72">
        <v>4350000</v>
      </c>
      <c r="AS79" s="72">
        <v>4350000</v>
      </c>
      <c r="AT79" s="72">
        <v>6214000</v>
      </c>
      <c r="AU79" s="72">
        <v>6791000</v>
      </c>
      <c r="AV79" s="73">
        <v>2</v>
      </c>
      <c r="AW79" s="72">
        <v>8195000</v>
      </c>
      <c r="AX79" s="72">
        <v>9274000</v>
      </c>
      <c r="AY79" s="72">
        <v>8319000</v>
      </c>
      <c r="AZ79" s="72">
        <v>9923000</v>
      </c>
      <c r="BA79" s="72">
        <v>9867000</v>
      </c>
      <c r="BB79" s="72">
        <v>8567000</v>
      </c>
      <c r="BC79" s="72">
        <v>8877000</v>
      </c>
      <c r="BD79" s="72">
        <v>10660000</v>
      </c>
      <c r="BE79" s="72">
        <v>11000000</v>
      </c>
      <c r="BF79" s="72">
        <v>9082000</v>
      </c>
      <c r="BG79" s="72">
        <v>8853000</v>
      </c>
      <c r="BH79" s="72">
        <v>8853000</v>
      </c>
      <c r="BI79" s="72">
        <v>10717000</v>
      </c>
      <c r="BJ79" s="72">
        <v>11293000</v>
      </c>
    </row>
    <row r="80" spans="1:62" ht="12.75" x14ac:dyDescent="0.2">
      <c r="A80" s="70">
        <v>6</v>
      </c>
      <c r="B80" s="51" t="s">
        <v>342</v>
      </c>
      <c r="C80" s="71">
        <v>3</v>
      </c>
      <c r="D80" s="72">
        <v>3187000</v>
      </c>
      <c r="E80" s="72">
        <v>4365000</v>
      </c>
      <c r="F80" s="72">
        <v>3323000</v>
      </c>
      <c r="G80" s="72">
        <v>5073000</v>
      </c>
      <c r="H80" s="72">
        <v>5011000</v>
      </c>
      <c r="I80" s="72">
        <v>3593000</v>
      </c>
      <c r="J80" s="72">
        <v>3932000</v>
      </c>
      <c r="K80" s="72">
        <v>5878000</v>
      </c>
      <c r="L80" s="72">
        <v>6248000</v>
      </c>
      <c r="M80" s="72">
        <v>4155000</v>
      </c>
      <c r="N80" s="72">
        <v>3905000</v>
      </c>
      <c r="O80" s="72">
        <v>3905000</v>
      </c>
      <c r="P80" s="72">
        <v>5939000</v>
      </c>
      <c r="Q80" s="72">
        <v>6569000</v>
      </c>
      <c r="R80" s="71">
        <v>3</v>
      </c>
      <c r="S80" s="72">
        <v>2887000</v>
      </c>
      <c r="T80" s="72">
        <v>4065000</v>
      </c>
      <c r="U80" s="72">
        <v>3022000</v>
      </c>
      <c r="V80" s="72">
        <v>4772000</v>
      </c>
      <c r="W80" s="72">
        <v>4711000</v>
      </c>
      <c r="X80" s="72">
        <v>3293000</v>
      </c>
      <c r="Y80" s="72">
        <v>3631000</v>
      </c>
      <c r="Z80" s="72">
        <v>5577000</v>
      </c>
      <c r="AA80" s="72">
        <v>5948000</v>
      </c>
      <c r="AB80" s="72">
        <v>3855000</v>
      </c>
      <c r="AC80" s="72">
        <v>3604000</v>
      </c>
      <c r="AD80" s="72">
        <v>3604000</v>
      </c>
      <c r="AE80" s="72">
        <v>5639000</v>
      </c>
      <c r="AF80" s="72">
        <v>6268000</v>
      </c>
      <c r="AG80" s="71">
        <v>2</v>
      </c>
      <c r="AH80" s="72">
        <v>3774000</v>
      </c>
      <c r="AI80" s="72">
        <v>4952000</v>
      </c>
      <c r="AJ80" s="72">
        <v>3910000</v>
      </c>
      <c r="AK80" s="72">
        <v>5660000</v>
      </c>
      <c r="AL80" s="72">
        <v>5598000</v>
      </c>
      <c r="AM80" s="72">
        <v>4180000</v>
      </c>
      <c r="AN80" s="72">
        <v>4519000</v>
      </c>
      <c r="AO80" s="72">
        <v>6465000</v>
      </c>
      <c r="AP80" s="72">
        <v>6835000</v>
      </c>
      <c r="AQ80" s="72">
        <v>4742000</v>
      </c>
      <c r="AR80" s="72">
        <v>4492000</v>
      </c>
      <c r="AS80" s="72">
        <v>4492000</v>
      </c>
      <c r="AT80" s="72">
        <v>6526000</v>
      </c>
      <c r="AU80" s="72">
        <v>7156000</v>
      </c>
      <c r="AV80" s="73">
        <v>2</v>
      </c>
      <c r="AW80" s="72">
        <v>8344000</v>
      </c>
      <c r="AX80" s="72">
        <v>9522000</v>
      </c>
      <c r="AY80" s="72">
        <v>8479000</v>
      </c>
      <c r="AZ80" s="72">
        <v>10230000</v>
      </c>
      <c r="BA80" s="72">
        <v>10168000</v>
      </c>
      <c r="BB80" s="72">
        <v>8750000</v>
      </c>
      <c r="BC80" s="72">
        <v>9089000</v>
      </c>
      <c r="BD80" s="72">
        <v>11035000</v>
      </c>
      <c r="BE80" s="72">
        <v>11405000</v>
      </c>
      <c r="BF80" s="72">
        <v>9312000</v>
      </c>
      <c r="BG80" s="72">
        <v>9061000</v>
      </c>
      <c r="BH80" s="72">
        <v>9061000</v>
      </c>
      <c r="BI80" s="72">
        <v>11096000</v>
      </c>
      <c r="BJ80" s="72">
        <v>11725000</v>
      </c>
    </row>
    <row r="81" spans="1:62" ht="20.25" x14ac:dyDescent="0.3">
      <c r="A81" s="70"/>
      <c r="B81" s="68" t="s">
        <v>343</v>
      </c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24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</row>
    <row r="82" spans="1:62" ht="12.75" x14ac:dyDescent="0.2">
      <c r="A82" s="70">
        <v>1</v>
      </c>
      <c r="B82" s="51" t="s">
        <v>344</v>
      </c>
      <c r="C82" s="71">
        <v>3</v>
      </c>
      <c r="D82" s="72">
        <v>3096000</v>
      </c>
      <c r="E82" s="72">
        <v>4036000</v>
      </c>
      <c r="F82" s="72">
        <v>3204000</v>
      </c>
      <c r="G82" s="72">
        <v>4601000</v>
      </c>
      <c r="H82" s="72">
        <v>4552000</v>
      </c>
      <c r="I82" s="72">
        <v>3420000</v>
      </c>
      <c r="J82" s="72">
        <v>3690000</v>
      </c>
      <c r="K82" s="72">
        <v>5243000</v>
      </c>
      <c r="L82" s="72">
        <v>5538000</v>
      </c>
      <c r="M82" s="72">
        <v>3868000</v>
      </c>
      <c r="N82" s="72">
        <v>3669000</v>
      </c>
      <c r="O82" s="72">
        <v>3669000</v>
      </c>
      <c r="P82" s="72">
        <v>5292000</v>
      </c>
      <c r="Q82" s="72">
        <v>5794000</v>
      </c>
      <c r="R82" s="71">
        <v>3</v>
      </c>
      <c r="S82" s="72">
        <v>2786000</v>
      </c>
      <c r="T82" s="72">
        <v>3726000</v>
      </c>
      <c r="U82" s="72">
        <v>2894000</v>
      </c>
      <c r="V82" s="72">
        <v>4290000</v>
      </c>
      <c r="W82" s="72">
        <v>4241000</v>
      </c>
      <c r="X82" s="72">
        <v>3110000</v>
      </c>
      <c r="Y82" s="72">
        <v>3380000</v>
      </c>
      <c r="Z82" s="72">
        <v>4933000</v>
      </c>
      <c r="AA82" s="72">
        <v>5228000</v>
      </c>
      <c r="AB82" s="72">
        <v>3558000</v>
      </c>
      <c r="AC82" s="72">
        <v>3358000</v>
      </c>
      <c r="AD82" s="72">
        <v>3358000</v>
      </c>
      <c r="AE82" s="72">
        <v>4982000</v>
      </c>
      <c r="AF82" s="72">
        <v>5484000</v>
      </c>
      <c r="AG82" s="71">
        <v>2</v>
      </c>
      <c r="AH82" s="72">
        <v>3673000</v>
      </c>
      <c r="AI82" s="72">
        <v>4613000</v>
      </c>
      <c r="AJ82" s="72">
        <v>3781000</v>
      </c>
      <c r="AK82" s="72">
        <v>5178000</v>
      </c>
      <c r="AL82" s="72">
        <v>5129000</v>
      </c>
      <c r="AM82" s="72">
        <v>3997000</v>
      </c>
      <c r="AN82" s="72">
        <v>4267000</v>
      </c>
      <c r="AO82" s="72">
        <v>5820000</v>
      </c>
      <c r="AP82" s="72">
        <v>6115000</v>
      </c>
      <c r="AQ82" s="72">
        <v>4445000</v>
      </c>
      <c r="AR82" s="72">
        <v>4245000</v>
      </c>
      <c r="AS82" s="72">
        <v>4245000</v>
      </c>
      <c r="AT82" s="72">
        <v>5869000</v>
      </c>
      <c r="AU82" s="72">
        <v>6371000</v>
      </c>
      <c r="AV82" s="73">
        <v>2</v>
      </c>
      <c r="AW82" s="72">
        <v>8277000</v>
      </c>
      <c r="AX82" s="72">
        <v>9217000</v>
      </c>
      <c r="AY82" s="72">
        <v>8385000</v>
      </c>
      <c r="AZ82" s="72">
        <v>9781000</v>
      </c>
      <c r="BA82" s="72">
        <v>9732000</v>
      </c>
      <c r="BB82" s="72">
        <v>8601000</v>
      </c>
      <c r="BC82" s="72">
        <v>8871000</v>
      </c>
      <c r="BD82" s="72">
        <v>10424000</v>
      </c>
      <c r="BE82" s="72">
        <v>10719000</v>
      </c>
      <c r="BF82" s="72">
        <v>9049000</v>
      </c>
      <c r="BG82" s="72">
        <v>8849000</v>
      </c>
      <c r="BH82" s="72">
        <v>8849000</v>
      </c>
      <c r="BI82" s="72">
        <v>10473000</v>
      </c>
      <c r="BJ82" s="72">
        <v>10975000</v>
      </c>
    </row>
    <row r="83" spans="1:62" ht="12.75" x14ac:dyDescent="0.2">
      <c r="A83" s="70">
        <v>2</v>
      </c>
      <c r="B83" s="51" t="s">
        <v>345</v>
      </c>
      <c r="C83" s="71">
        <v>3</v>
      </c>
      <c r="D83" s="72">
        <v>3192000</v>
      </c>
      <c r="E83" s="72">
        <v>4251000</v>
      </c>
      <c r="F83" s="72">
        <v>3314000</v>
      </c>
      <c r="G83" s="72">
        <v>4886000</v>
      </c>
      <c r="H83" s="72">
        <v>4831000</v>
      </c>
      <c r="I83" s="72">
        <v>3557000</v>
      </c>
      <c r="J83" s="72">
        <v>3861000</v>
      </c>
      <c r="K83" s="72">
        <v>5610000</v>
      </c>
      <c r="L83" s="72">
        <v>5942000</v>
      </c>
      <c r="M83" s="72">
        <v>4062000</v>
      </c>
      <c r="N83" s="72">
        <v>3837000</v>
      </c>
      <c r="O83" s="72">
        <v>3837000</v>
      </c>
      <c r="P83" s="72">
        <v>5665000</v>
      </c>
      <c r="Q83" s="72">
        <v>6231000</v>
      </c>
      <c r="R83" s="71">
        <v>3</v>
      </c>
      <c r="S83" s="72">
        <v>2874000</v>
      </c>
      <c r="T83" s="72">
        <v>3932000</v>
      </c>
      <c r="U83" s="72">
        <v>2996000</v>
      </c>
      <c r="V83" s="72">
        <v>4568000</v>
      </c>
      <c r="W83" s="72">
        <v>4513000</v>
      </c>
      <c r="X83" s="72">
        <v>3239000</v>
      </c>
      <c r="Y83" s="72">
        <v>3543000</v>
      </c>
      <c r="Z83" s="72">
        <v>5292000</v>
      </c>
      <c r="AA83" s="72">
        <v>5624000</v>
      </c>
      <c r="AB83" s="72">
        <v>3744000</v>
      </c>
      <c r="AC83" s="72">
        <v>3519000</v>
      </c>
      <c r="AD83" s="72">
        <v>3519000</v>
      </c>
      <c r="AE83" s="72">
        <v>5347000</v>
      </c>
      <c r="AF83" s="72">
        <v>5912000</v>
      </c>
      <c r="AG83" s="71">
        <v>2</v>
      </c>
      <c r="AH83" s="72">
        <v>3763000</v>
      </c>
      <c r="AI83" s="72">
        <v>4821000</v>
      </c>
      <c r="AJ83" s="72">
        <v>3885000</v>
      </c>
      <c r="AK83" s="72">
        <v>5457000</v>
      </c>
      <c r="AL83" s="72">
        <v>5402000</v>
      </c>
      <c r="AM83" s="72">
        <v>4128000</v>
      </c>
      <c r="AN83" s="72">
        <v>4432000</v>
      </c>
      <c r="AO83" s="72">
        <v>6181000</v>
      </c>
      <c r="AP83" s="72">
        <v>6513000</v>
      </c>
      <c r="AQ83" s="72">
        <v>4633000</v>
      </c>
      <c r="AR83" s="72">
        <v>4408000</v>
      </c>
      <c r="AS83" s="72">
        <v>4408000</v>
      </c>
      <c r="AT83" s="72">
        <v>6236000</v>
      </c>
      <c r="AU83" s="72">
        <v>6801000</v>
      </c>
      <c r="AV83" s="73">
        <v>2</v>
      </c>
      <c r="AW83" s="72">
        <v>8434000</v>
      </c>
      <c r="AX83" s="72">
        <v>9492000</v>
      </c>
      <c r="AY83" s="72">
        <v>8556000</v>
      </c>
      <c r="AZ83" s="72">
        <v>10128000</v>
      </c>
      <c r="BA83" s="72">
        <v>10073000</v>
      </c>
      <c r="BB83" s="72">
        <v>8799000</v>
      </c>
      <c r="BC83" s="72">
        <v>9103000</v>
      </c>
      <c r="BD83" s="72">
        <v>10851000</v>
      </c>
      <c r="BE83" s="72">
        <v>11184000</v>
      </c>
      <c r="BF83" s="72">
        <v>9304000</v>
      </c>
      <c r="BG83" s="72">
        <v>9079000</v>
      </c>
      <c r="BH83" s="72">
        <v>9079000</v>
      </c>
      <c r="BI83" s="72">
        <v>10907000</v>
      </c>
      <c r="BJ83" s="72">
        <v>11472000</v>
      </c>
    </row>
    <row r="84" spans="1:62" ht="12.75" x14ac:dyDescent="0.2">
      <c r="A84" s="70">
        <v>3</v>
      </c>
      <c r="B84" s="51" t="s">
        <v>346</v>
      </c>
      <c r="C84" s="71">
        <v>3</v>
      </c>
      <c r="D84" s="72">
        <v>3250000</v>
      </c>
      <c r="E84" s="72">
        <v>4379000</v>
      </c>
      <c r="F84" s="72">
        <v>3380000</v>
      </c>
      <c r="G84" s="72">
        <v>5058000</v>
      </c>
      <c r="H84" s="72">
        <v>4999000</v>
      </c>
      <c r="I84" s="72">
        <v>3640000</v>
      </c>
      <c r="J84" s="72">
        <v>3964000</v>
      </c>
      <c r="K84" s="72">
        <v>5830000</v>
      </c>
      <c r="L84" s="72">
        <v>6185000</v>
      </c>
      <c r="M84" s="72">
        <v>4178000</v>
      </c>
      <c r="N84" s="72">
        <v>3938000</v>
      </c>
      <c r="O84" s="72">
        <v>3938000</v>
      </c>
      <c r="P84" s="72">
        <v>5889000</v>
      </c>
      <c r="Q84" s="72">
        <v>6492000</v>
      </c>
      <c r="R84" s="71">
        <v>3</v>
      </c>
      <c r="S84" s="72">
        <v>2927000</v>
      </c>
      <c r="T84" s="72">
        <v>4057000</v>
      </c>
      <c r="U84" s="72">
        <v>3057000</v>
      </c>
      <c r="V84" s="72">
        <v>4735000</v>
      </c>
      <c r="W84" s="72">
        <v>4676000</v>
      </c>
      <c r="X84" s="72">
        <v>3317000</v>
      </c>
      <c r="Y84" s="72">
        <v>3641000</v>
      </c>
      <c r="Z84" s="72">
        <v>5507000</v>
      </c>
      <c r="AA84" s="72">
        <v>5862000</v>
      </c>
      <c r="AB84" s="72">
        <v>3855000</v>
      </c>
      <c r="AC84" s="72">
        <v>3615000</v>
      </c>
      <c r="AD84" s="72">
        <v>3615000</v>
      </c>
      <c r="AE84" s="72">
        <v>5566000</v>
      </c>
      <c r="AF84" s="72">
        <v>6169000</v>
      </c>
      <c r="AG84" s="71">
        <v>2</v>
      </c>
      <c r="AH84" s="72">
        <v>3817000</v>
      </c>
      <c r="AI84" s="72">
        <v>4946000</v>
      </c>
      <c r="AJ84" s="72">
        <v>3947000</v>
      </c>
      <c r="AK84" s="72">
        <v>5625000</v>
      </c>
      <c r="AL84" s="72">
        <v>5566000</v>
      </c>
      <c r="AM84" s="72">
        <v>4207000</v>
      </c>
      <c r="AN84" s="72">
        <v>4531000</v>
      </c>
      <c r="AO84" s="72">
        <v>6397000</v>
      </c>
      <c r="AP84" s="72">
        <v>6752000</v>
      </c>
      <c r="AQ84" s="72">
        <v>4745000</v>
      </c>
      <c r="AR84" s="72">
        <v>4505000</v>
      </c>
      <c r="AS84" s="72">
        <v>4505000</v>
      </c>
      <c r="AT84" s="72">
        <v>6456000</v>
      </c>
      <c r="AU84" s="72">
        <v>7059000</v>
      </c>
      <c r="AV84" s="73">
        <v>2</v>
      </c>
      <c r="AW84" s="72">
        <v>8528000</v>
      </c>
      <c r="AX84" s="72">
        <v>9657000</v>
      </c>
      <c r="AY84" s="72">
        <v>8658000</v>
      </c>
      <c r="AZ84" s="72">
        <v>10336000</v>
      </c>
      <c r="BA84" s="72">
        <v>10277000</v>
      </c>
      <c r="BB84" s="72">
        <v>8918000</v>
      </c>
      <c r="BC84" s="72">
        <v>9242000</v>
      </c>
      <c r="BD84" s="72">
        <v>11108000</v>
      </c>
      <c r="BE84" s="72">
        <v>11463000</v>
      </c>
      <c r="BF84" s="72">
        <v>9456000</v>
      </c>
      <c r="BG84" s="72">
        <v>9216000</v>
      </c>
      <c r="BH84" s="72">
        <v>9216000</v>
      </c>
      <c r="BI84" s="72">
        <v>11167000</v>
      </c>
      <c r="BJ84" s="72">
        <v>11770000</v>
      </c>
    </row>
    <row r="85" spans="1:62" ht="12.75" x14ac:dyDescent="0.2">
      <c r="A85" s="70">
        <v>4</v>
      </c>
      <c r="B85" s="51" t="s">
        <v>347</v>
      </c>
      <c r="C85" s="71">
        <v>3</v>
      </c>
      <c r="D85" s="72">
        <v>3289000</v>
      </c>
      <c r="E85" s="72">
        <v>4465000</v>
      </c>
      <c r="F85" s="72">
        <v>3424000</v>
      </c>
      <c r="G85" s="72">
        <v>5172000</v>
      </c>
      <c r="H85" s="72">
        <v>5111000</v>
      </c>
      <c r="I85" s="72">
        <v>3694000</v>
      </c>
      <c r="J85" s="72">
        <v>4033000</v>
      </c>
      <c r="K85" s="72">
        <v>5977000</v>
      </c>
      <c r="L85" s="72">
        <v>6346000</v>
      </c>
      <c r="M85" s="72">
        <v>4256000</v>
      </c>
      <c r="N85" s="72">
        <v>4005000</v>
      </c>
      <c r="O85" s="72">
        <v>4005000</v>
      </c>
      <c r="P85" s="72">
        <v>6038000</v>
      </c>
      <c r="Q85" s="72">
        <v>6667000</v>
      </c>
      <c r="R85" s="71">
        <v>3</v>
      </c>
      <c r="S85" s="72">
        <v>2963000</v>
      </c>
      <c r="T85" s="72">
        <v>4139000</v>
      </c>
      <c r="U85" s="72">
        <v>3098000</v>
      </c>
      <c r="V85" s="72">
        <v>4846000</v>
      </c>
      <c r="W85" s="72">
        <v>4785000</v>
      </c>
      <c r="X85" s="72">
        <v>3369000</v>
      </c>
      <c r="Y85" s="72">
        <v>3707000</v>
      </c>
      <c r="Z85" s="72">
        <v>5651000</v>
      </c>
      <c r="AA85" s="72">
        <v>6020000</v>
      </c>
      <c r="AB85" s="72">
        <v>3930000</v>
      </c>
      <c r="AC85" s="72">
        <v>3680000</v>
      </c>
      <c r="AD85" s="72">
        <v>3680000</v>
      </c>
      <c r="AE85" s="72">
        <v>5712000</v>
      </c>
      <c r="AF85" s="72">
        <v>6341000</v>
      </c>
      <c r="AG85" s="71">
        <v>2</v>
      </c>
      <c r="AH85" s="72">
        <v>3853000</v>
      </c>
      <c r="AI85" s="72">
        <v>5030000</v>
      </c>
      <c r="AJ85" s="72">
        <v>3988000</v>
      </c>
      <c r="AK85" s="72">
        <v>5737000</v>
      </c>
      <c r="AL85" s="72">
        <v>5675000</v>
      </c>
      <c r="AM85" s="72">
        <v>4259000</v>
      </c>
      <c r="AN85" s="72">
        <v>4597000</v>
      </c>
      <c r="AO85" s="72">
        <v>6541000</v>
      </c>
      <c r="AP85" s="72">
        <v>6911000</v>
      </c>
      <c r="AQ85" s="72">
        <v>4820000</v>
      </c>
      <c r="AR85" s="72">
        <v>4570000</v>
      </c>
      <c r="AS85" s="72">
        <v>4570000</v>
      </c>
      <c r="AT85" s="72">
        <v>6602000</v>
      </c>
      <c r="AU85" s="72">
        <v>7231000</v>
      </c>
      <c r="AV85" s="73">
        <v>2</v>
      </c>
      <c r="AW85" s="72">
        <v>8591000</v>
      </c>
      <c r="AX85" s="72">
        <v>9768000</v>
      </c>
      <c r="AY85" s="72">
        <v>8726000</v>
      </c>
      <c r="AZ85" s="72">
        <v>10475000</v>
      </c>
      <c r="BA85" s="72">
        <v>10413000</v>
      </c>
      <c r="BB85" s="72">
        <v>8997000</v>
      </c>
      <c r="BC85" s="72">
        <v>9335000</v>
      </c>
      <c r="BD85" s="72">
        <v>11279000</v>
      </c>
      <c r="BE85" s="72">
        <v>11649000</v>
      </c>
      <c r="BF85" s="72">
        <v>9558000</v>
      </c>
      <c r="BG85" s="72">
        <v>9308000</v>
      </c>
      <c r="BH85" s="72">
        <v>9308000</v>
      </c>
      <c r="BI85" s="72">
        <v>11340000</v>
      </c>
      <c r="BJ85" s="72">
        <v>11969000</v>
      </c>
    </row>
    <row r="86" spans="1:62" ht="12.75" x14ac:dyDescent="0.2">
      <c r="A86" s="70">
        <v>5</v>
      </c>
      <c r="B86" s="51" t="s">
        <v>348</v>
      </c>
      <c r="C86" s="71">
        <v>3</v>
      </c>
      <c r="D86" s="72">
        <v>3385000</v>
      </c>
      <c r="E86" s="72">
        <v>4680000</v>
      </c>
      <c r="F86" s="72">
        <v>3534000</v>
      </c>
      <c r="G86" s="72">
        <v>5458000</v>
      </c>
      <c r="H86" s="72">
        <v>5391000</v>
      </c>
      <c r="I86" s="72">
        <v>3832000</v>
      </c>
      <c r="J86" s="72">
        <v>4204000</v>
      </c>
      <c r="K86" s="72">
        <v>6343000</v>
      </c>
      <c r="L86" s="72">
        <v>6750000</v>
      </c>
      <c r="M86" s="72">
        <v>4449000</v>
      </c>
      <c r="N86" s="72">
        <v>4174000</v>
      </c>
      <c r="O86" s="72">
        <v>4174000</v>
      </c>
      <c r="P86" s="72">
        <v>6411000</v>
      </c>
      <c r="Q86" s="72">
        <v>7103000</v>
      </c>
      <c r="R86" s="71">
        <v>3</v>
      </c>
      <c r="S86" s="72">
        <v>3051000</v>
      </c>
      <c r="T86" s="72">
        <v>4346000</v>
      </c>
      <c r="U86" s="72">
        <v>3200000</v>
      </c>
      <c r="V86" s="72">
        <v>5124000</v>
      </c>
      <c r="W86" s="72">
        <v>5057000</v>
      </c>
      <c r="X86" s="72">
        <v>3498000</v>
      </c>
      <c r="Y86" s="72">
        <v>3870000</v>
      </c>
      <c r="Z86" s="72">
        <v>6010000</v>
      </c>
      <c r="AA86" s="72">
        <v>6417000</v>
      </c>
      <c r="AB86" s="72">
        <v>4115000</v>
      </c>
      <c r="AC86" s="72">
        <v>3840000</v>
      </c>
      <c r="AD86" s="72">
        <v>3840000</v>
      </c>
      <c r="AE86" s="72">
        <v>6077000</v>
      </c>
      <c r="AF86" s="72">
        <v>6769000</v>
      </c>
      <c r="AG86" s="71">
        <v>2</v>
      </c>
      <c r="AH86" s="72">
        <v>3943000</v>
      </c>
      <c r="AI86" s="72">
        <v>5238000</v>
      </c>
      <c r="AJ86" s="72">
        <v>4092000</v>
      </c>
      <c r="AK86" s="72">
        <v>6016000</v>
      </c>
      <c r="AL86" s="72">
        <v>5949000</v>
      </c>
      <c r="AM86" s="72">
        <v>4390000</v>
      </c>
      <c r="AN86" s="72">
        <v>4762000</v>
      </c>
      <c r="AO86" s="72">
        <v>6902000</v>
      </c>
      <c r="AP86" s="72">
        <v>7309000</v>
      </c>
      <c r="AQ86" s="72">
        <v>5007000</v>
      </c>
      <c r="AR86" s="72">
        <v>4732000</v>
      </c>
      <c r="AS86" s="72">
        <v>4732000</v>
      </c>
      <c r="AT86" s="72">
        <v>6969000</v>
      </c>
      <c r="AU86" s="72">
        <v>7661000</v>
      </c>
      <c r="AV86" s="73">
        <v>2</v>
      </c>
      <c r="AW86" s="72">
        <v>8748000</v>
      </c>
      <c r="AX86" s="72">
        <v>10043000</v>
      </c>
      <c r="AY86" s="72">
        <v>8897000</v>
      </c>
      <c r="AZ86" s="72">
        <v>10821000</v>
      </c>
      <c r="BA86" s="72">
        <v>10754000</v>
      </c>
      <c r="BB86" s="72">
        <v>9195000</v>
      </c>
      <c r="BC86" s="72">
        <v>9567000</v>
      </c>
      <c r="BD86" s="72">
        <v>11707000</v>
      </c>
      <c r="BE86" s="72">
        <v>12114000</v>
      </c>
      <c r="BF86" s="72">
        <v>9812000</v>
      </c>
      <c r="BG86" s="72">
        <v>9537000</v>
      </c>
      <c r="BH86" s="72">
        <v>9537000</v>
      </c>
      <c r="BI86" s="72">
        <v>11774000</v>
      </c>
      <c r="BJ86" s="72">
        <v>12466000</v>
      </c>
    </row>
    <row r="87" spans="1:62" ht="12.75" x14ac:dyDescent="0.2">
      <c r="A87" s="70">
        <v>6</v>
      </c>
      <c r="B87" s="51" t="s">
        <v>349</v>
      </c>
      <c r="C87" s="71">
        <v>3</v>
      </c>
      <c r="D87" s="72">
        <v>3482000</v>
      </c>
      <c r="E87" s="72">
        <v>4895000</v>
      </c>
      <c r="F87" s="72">
        <v>3644000</v>
      </c>
      <c r="G87" s="72">
        <v>5744000</v>
      </c>
      <c r="H87" s="72">
        <v>5670000</v>
      </c>
      <c r="I87" s="72">
        <v>3969000</v>
      </c>
      <c r="J87" s="72">
        <v>4375000</v>
      </c>
      <c r="K87" s="72">
        <v>6710000</v>
      </c>
      <c r="L87" s="72">
        <v>7154000</v>
      </c>
      <c r="M87" s="72">
        <v>4643000</v>
      </c>
      <c r="N87" s="72">
        <v>4342000</v>
      </c>
      <c r="O87" s="72">
        <v>4342000</v>
      </c>
      <c r="P87" s="72">
        <v>6784000</v>
      </c>
      <c r="Q87" s="72">
        <v>7539000</v>
      </c>
      <c r="R87" s="71">
        <v>3</v>
      </c>
      <c r="S87" s="72">
        <v>3140000</v>
      </c>
      <c r="T87" s="72">
        <v>4553000</v>
      </c>
      <c r="U87" s="72">
        <v>3302000</v>
      </c>
      <c r="V87" s="72">
        <v>5402000</v>
      </c>
      <c r="W87" s="72">
        <v>5329000</v>
      </c>
      <c r="X87" s="72">
        <v>3627000</v>
      </c>
      <c r="Y87" s="72">
        <v>4033000</v>
      </c>
      <c r="Z87" s="72">
        <v>6369000</v>
      </c>
      <c r="AA87" s="72">
        <v>6813000</v>
      </c>
      <c r="AB87" s="72">
        <v>4301000</v>
      </c>
      <c r="AC87" s="72">
        <v>4001000</v>
      </c>
      <c r="AD87" s="72">
        <v>4001000</v>
      </c>
      <c r="AE87" s="72">
        <v>6442000</v>
      </c>
      <c r="AF87" s="72">
        <v>7198000</v>
      </c>
      <c r="AG87" s="71">
        <v>2</v>
      </c>
      <c r="AH87" s="72">
        <v>4034000</v>
      </c>
      <c r="AI87" s="72">
        <v>5447000</v>
      </c>
      <c r="AJ87" s="72">
        <v>4196000</v>
      </c>
      <c r="AK87" s="72">
        <v>6296000</v>
      </c>
      <c r="AL87" s="72">
        <v>6222000</v>
      </c>
      <c r="AM87" s="72">
        <v>4521000</v>
      </c>
      <c r="AN87" s="72">
        <v>4927000</v>
      </c>
      <c r="AO87" s="72">
        <v>7262000</v>
      </c>
      <c r="AP87" s="72">
        <v>7706000</v>
      </c>
      <c r="AQ87" s="72">
        <v>5195000</v>
      </c>
      <c r="AR87" s="72">
        <v>4894000</v>
      </c>
      <c r="AS87" s="72">
        <v>4894000</v>
      </c>
      <c r="AT87" s="72">
        <v>7336000</v>
      </c>
      <c r="AU87" s="72">
        <v>8091000</v>
      </c>
      <c r="AV87" s="73">
        <v>2</v>
      </c>
      <c r="AW87" s="72">
        <v>8906000</v>
      </c>
      <c r="AX87" s="72">
        <v>10319000</v>
      </c>
      <c r="AY87" s="72">
        <v>9068000</v>
      </c>
      <c r="AZ87" s="72">
        <v>11168000</v>
      </c>
      <c r="BA87" s="72">
        <v>11094000</v>
      </c>
      <c r="BB87" s="72">
        <v>9393000</v>
      </c>
      <c r="BC87" s="72">
        <v>9799000</v>
      </c>
      <c r="BD87" s="72">
        <v>12134000</v>
      </c>
      <c r="BE87" s="72">
        <v>12578000</v>
      </c>
      <c r="BF87" s="72">
        <v>10067000</v>
      </c>
      <c r="BG87" s="72">
        <v>9767000</v>
      </c>
      <c r="BH87" s="72">
        <v>9767000</v>
      </c>
      <c r="BI87" s="72">
        <v>12208000</v>
      </c>
      <c r="BJ87" s="72">
        <v>12963000</v>
      </c>
    </row>
  </sheetData>
  <mergeCells count="66"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4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4"/>
    <mergeCell ref="AW2:AW3"/>
    <mergeCell ref="A1:B1"/>
    <mergeCell ref="C1:Q1"/>
    <mergeCell ref="R1:AF1"/>
    <mergeCell ref="AG1:AU1"/>
    <mergeCell ref="AV1:BJ1"/>
    <mergeCell ref="A2:B2"/>
    <mergeCell ref="C2:C4"/>
    <mergeCell ref="BJ2:BJ3"/>
    <mergeCell ref="AF2:AF3"/>
    <mergeCell ref="AG2:AG4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7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P2" sqref="P2:P4"/>
    </sheetView>
  </sheetViews>
  <sheetFormatPr defaultColWidth="12.5703125" defaultRowHeight="15.75" customHeight="1" x14ac:dyDescent="0.2"/>
  <cols>
    <col min="1" max="1" width="6.5703125" customWidth="1"/>
    <col min="2" max="2" width="26.5703125" customWidth="1"/>
  </cols>
  <sheetData>
    <row r="1" spans="1:30" ht="15.75" customHeight="1" x14ac:dyDescent="0.25">
      <c r="A1" s="294" t="s">
        <v>350</v>
      </c>
      <c r="B1" s="271"/>
      <c r="C1" s="295" t="s">
        <v>351</v>
      </c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83" t="s">
        <v>352</v>
      </c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</row>
    <row r="2" spans="1:30" ht="15.75" customHeight="1" x14ac:dyDescent="0.25">
      <c r="A2" s="287">
        <v>46175</v>
      </c>
      <c r="B2" s="286"/>
      <c r="C2" s="293" t="s">
        <v>247</v>
      </c>
      <c r="D2" s="293" t="s">
        <v>248</v>
      </c>
      <c r="E2" s="293" t="s">
        <v>249</v>
      </c>
      <c r="F2" s="293" t="s">
        <v>250</v>
      </c>
      <c r="G2" s="293" t="s">
        <v>251</v>
      </c>
      <c r="H2" s="293" t="s">
        <v>252</v>
      </c>
      <c r="I2" s="293" t="s">
        <v>253</v>
      </c>
      <c r="J2" s="293" t="s">
        <v>254</v>
      </c>
      <c r="K2" s="293" t="s">
        <v>255</v>
      </c>
      <c r="L2" s="293" t="s">
        <v>256</v>
      </c>
      <c r="M2" s="293" t="s">
        <v>257</v>
      </c>
      <c r="N2" s="293" t="s">
        <v>258</v>
      </c>
      <c r="O2" s="293" t="s">
        <v>259</v>
      </c>
      <c r="P2" s="293" t="s">
        <v>260</v>
      </c>
      <c r="Q2" s="289" t="s">
        <v>247</v>
      </c>
      <c r="R2" s="289" t="s">
        <v>248</v>
      </c>
      <c r="S2" s="289" t="s">
        <v>249</v>
      </c>
      <c r="T2" s="289" t="s">
        <v>250</v>
      </c>
      <c r="U2" s="289" t="s">
        <v>251</v>
      </c>
      <c r="V2" s="289" t="s">
        <v>252</v>
      </c>
      <c r="W2" s="289" t="s">
        <v>253</v>
      </c>
      <c r="X2" s="289" t="s">
        <v>254</v>
      </c>
      <c r="Y2" s="289" t="s">
        <v>255</v>
      </c>
      <c r="Z2" s="289" t="s">
        <v>256</v>
      </c>
      <c r="AA2" s="289" t="s">
        <v>257</v>
      </c>
      <c r="AB2" s="289" t="s">
        <v>258</v>
      </c>
      <c r="AC2" s="289" t="s">
        <v>259</v>
      </c>
      <c r="AD2" s="289" t="s">
        <v>260</v>
      </c>
    </row>
    <row r="3" spans="1:30" ht="12.75" x14ac:dyDescent="0.2">
      <c r="A3" s="61" t="s">
        <v>264</v>
      </c>
      <c r="B3" s="61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  <c r="AC3" s="280"/>
      <c r="AD3" s="280"/>
    </row>
    <row r="4" spans="1:30" ht="15.75" customHeight="1" x14ac:dyDescent="0.25">
      <c r="A4" s="62" t="s">
        <v>265</v>
      </c>
      <c r="B4" s="63" t="s">
        <v>266</v>
      </c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</row>
    <row r="5" spans="1:30" ht="15.75" customHeight="1" x14ac:dyDescent="0.3">
      <c r="A5" s="48"/>
      <c r="B5" s="68" t="s">
        <v>268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</row>
    <row r="6" spans="1:30" ht="12.75" x14ac:dyDescent="0.2">
      <c r="A6" s="10">
        <v>1</v>
      </c>
      <c r="B6" s="51" t="s">
        <v>274</v>
      </c>
      <c r="C6" s="72">
        <v>5363000</v>
      </c>
      <c r="D6" s="72">
        <v>8144000</v>
      </c>
      <c r="E6" s="72">
        <v>5682000</v>
      </c>
      <c r="F6" s="72">
        <v>9816000</v>
      </c>
      <c r="G6" s="72">
        <v>9671000</v>
      </c>
      <c r="H6" s="72">
        <v>6322000</v>
      </c>
      <c r="I6" s="72">
        <v>7121000</v>
      </c>
      <c r="J6" s="72">
        <v>11717000</v>
      </c>
      <c r="K6" s="72">
        <v>12591000</v>
      </c>
      <c r="L6" s="72">
        <v>7648000</v>
      </c>
      <c r="M6" s="72">
        <v>7057000</v>
      </c>
      <c r="N6" s="72">
        <v>7057000</v>
      </c>
      <c r="O6" s="72">
        <v>11862000</v>
      </c>
      <c r="P6" s="72">
        <v>13349000</v>
      </c>
      <c r="Q6" s="72">
        <v>4430000</v>
      </c>
      <c r="R6" s="72">
        <v>7212000</v>
      </c>
      <c r="S6" s="72">
        <v>4750000</v>
      </c>
      <c r="T6" s="72">
        <v>8883000</v>
      </c>
      <c r="U6" s="72">
        <v>8738000</v>
      </c>
      <c r="V6" s="72">
        <v>5389000</v>
      </c>
      <c r="W6" s="72">
        <v>6189000</v>
      </c>
      <c r="X6" s="72">
        <v>10785000</v>
      </c>
      <c r="Y6" s="72">
        <v>11659000</v>
      </c>
      <c r="Z6" s="72">
        <v>6716000</v>
      </c>
      <c r="AA6" s="72">
        <v>6125000</v>
      </c>
      <c r="AB6" s="72">
        <v>6125000</v>
      </c>
      <c r="AC6" s="72">
        <v>10930000</v>
      </c>
      <c r="AD6" s="72">
        <v>12417000</v>
      </c>
    </row>
    <row r="7" spans="1:30" ht="12.75" x14ac:dyDescent="0.2">
      <c r="A7" s="10">
        <v>2</v>
      </c>
      <c r="B7" s="51" t="s">
        <v>353</v>
      </c>
      <c r="C7" s="72">
        <v>5807000</v>
      </c>
      <c r="D7" s="72">
        <v>9052000</v>
      </c>
      <c r="E7" s="72">
        <v>6180000</v>
      </c>
      <c r="F7" s="72">
        <v>11002000</v>
      </c>
      <c r="G7" s="72">
        <v>10833000</v>
      </c>
      <c r="H7" s="72">
        <v>6926000</v>
      </c>
      <c r="I7" s="72">
        <v>7858000</v>
      </c>
      <c r="J7" s="72">
        <v>13220000</v>
      </c>
      <c r="K7" s="72">
        <v>14240000</v>
      </c>
      <c r="L7" s="72">
        <v>8473000</v>
      </c>
      <c r="M7" s="72">
        <v>7784000</v>
      </c>
      <c r="N7" s="72">
        <v>7784000</v>
      </c>
      <c r="O7" s="72">
        <v>13390000</v>
      </c>
      <c r="P7" s="72">
        <v>15124000</v>
      </c>
      <c r="Q7" s="72">
        <v>4832000</v>
      </c>
      <c r="R7" s="72">
        <v>8077000</v>
      </c>
      <c r="S7" s="72">
        <v>5205000</v>
      </c>
      <c r="T7" s="72">
        <v>10028000</v>
      </c>
      <c r="U7" s="72">
        <v>9858000</v>
      </c>
      <c r="V7" s="72">
        <v>5951000</v>
      </c>
      <c r="W7" s="72">
        <v>6884000</v>
      </c>
      <c r="X7" s="72">
        <v>12246000</v>
      </c>
      <c r="Y7" s="72">
        <v>13266000</v>
      </c>
      <c r="Z7" s="72">
        <v>7499000</v>
      </c>
      <c r="AA7" s="72">
        <v>6809000</v>
      </c>
      <c r="AB7" s="72">
        <v>6809000</v>
      </c>
      <c r="AC7" s="72">
        <v>12415000</v>
      </c>
      <c r="AD7" s="72">
        <v>14149000</v>
      </c>
    </row>
    <row r="8" spans="1:30" ht="12.75" x14ac:dyDescent="0.2">
      <c r="A8" s="10">
        <v>3</v>
      </c>
      <c r="B8" s="51" t="s">
        <v>354</v>
      </c>
      <c r="C8" s="72">
        <v>6251000</v>
      </c>
      <c r="D8" s="72">
        <v>9960000</v>
      </c>
      <c r="E8" s="72">
        <v>6677000</v>
      </c>
      <c r="F8" s="72">
        <v>12188000</v>
      </c>
      <c r="G8" s="72">
        <v>11995000</v>
      </c>
      <c r="H8" s="72">
        <v>7530000</v>
      </c>
      <c r="I8" s="72">
        <v>8595000</v>
      </c>
      <c r="J8" s="72">
        <v>14724000</v>
      </c>
      <c r="K8" s="72">
        <v>15889000</v>
      </c>
      <c r="L8" s="72">
        <v>9299000</v>
      </c>
      <c r="M8" s="72">
        <v>8510000</v>
      </c>
      <c r="N8" s="72">
        <v>8510000</v>
      </c>
      <c r="O8" s="72">
        <v>14917000</v>
      </c>
      <c r="P8" s="72">
        <v>16899000</v>
      </c>
      <c r="Q8" s="72">
        <v>5234000</v>
      </c>
      <c r="R8" s="72">
        <v>8943000</v>
      </c>
      <c r="S8" s="72">
        <v>5661000</v>
      </c>
      <c r="T8" s="72">
        <v>11172000</v>
      </c>
      <c r="U8" s="72">
        <v>10978000</v>
      </c>
      <c r="V8" s="72">
        <v>6513000</v>
      </c>
      <c r="W8" s="72">
        <v>7579000</v>
      </c>
      <c r="X8" s="72">
        <v>13707000</v>
      </c>
      <c r="Y8" s="72">
        <v>14873000</v>
      </c>
      <c r="Z8" s="72">
        <v>8282000</v>
      </c>
      <c r="AA8" s="72">
        <v>7493000</v>
      </c>
      <c r="AB8" s="72">
        <v>7493000</v>
      </c>
      <c r="AC8" s="72">
        <v>13900000</v>
      </c>
      <c r="AD8" s="72">
        <v>15882000</v>
      </c>
    </row>
    <row r="9" spans="1:30" ht="12.75" x14ac:dyDescent="0.2">
      <c r="A9" s="10">
        <v>4</v>
      </c>
      <c r="B9" s="51" t="s">
        <v>355</v>
      </c>
      <c r="C9" s="72">
        <v>6695000</v>
      </c>
      <c r="D9" s="72">
        <v>10867000</v>
      </c>
      <c r="E9" s="72">
        <v>7175000</v>
      </c>
      <c r="F9" s="72">
        <v>13375000</v>
      </c>
      <c r="G9" s="72">
        <v>13157000</v>
      </c>
      <c r="H9" s="72">
        <v>8134000</v>
      </c>
      <c r="I9" s="72">
        <v>9333000</v>
      </c>
      <c r="J9" s="72">
        <v>16227000</v>
      </c>
      <c r="K9" s="72">
        <v>17538000</v>
      </c>
      <c r="L9" s="72">
        <v>10124000</v>
      </c>
      <c r="M9" s="72">
        <v>9237000</v>
      </c>
      <c r="N9" s="72">
        <v>9237000</v>
      </c>
      <c r="O9" s="72">
        <v>16445000</v>
      </c>
      <c r="P9" s="72">
        <v>18674000</v>
      </c>
      <c r="Q9" s="72">
        <v>5636000</v>
      </c>
      <c r="R9" s="72">
        <v>9808000</v>
      </c>
      <c r="S9" s="72">
        <v>6116000</v>
      </c>
      <c r="T9" s="72">
        <v>12316000</v>
      </c>
      <c r="U9" s="72">
        <v>12098000</v>
      </c>
      <c r="V9" s="72">
        <v>7075000</v>
      </c>
      <c r="W9" s="72">
        <v>8274000</v>
      </c>
      <c r="X9" s="72">
        <v>15168000</v>
      </c>
      <c r="Y9" s="72">
        <v>16479000</v>
      </c>
      <c r="Z9" s="72">
        <v>9065000</v>
      </c>
      <c r="AA9" s="72">
        <v>8178000</v>
      </c>
      <c r="AB9" s="72">
        <v>8178000</v>
      </c>
      <c r="AC9" s="72">
        <v>15386000</v>
      </c>
      <c r="AD9" s="72">
        <v>17615000</v>
      </c>
    </row>
    <row r="10" spans="1:30" ht="12.75" x14ac:dyDescent="0.2">
      <c r="A10" s="10">
        <v>5</v>
      </c>
      <c r="B10" s="51" t="s">
        <v>356</v>
      </c>
      <c r="C10" s="72">
        <v>7139000</v>
      </c>
      <c r="D10" s="72">
        <v>11775000</v>
      </c>
      <c r="E10" s="72">
        <v>7672000</v>
      </c>
      <c r="F10" s="72">
        <v>14561000</v>
      </c>
      <c r="G10" s="72">
        <v>14320000</v>
      </c>
      <c r="H10" s="72">
        <v>8738000</v>
      </c>
      <c r="I10" s="72">
        <v>10070000</v>
      </c>
      <c r="J10" s="72">
        <v>17730000</v>
      </c>
      <c r="K10" s="72">
        <v>19187000</v>
      </c>
      <c r="L10" s="72">
        <v>10949000</v>
      </c>
      <c r="M10" s="72">
        <v>9963000</v>
      </c>
      <c r="N10" s="72">
        <v>9963000</v>
      </c>
      <c r="O10" s="72">
        <v>17972000</v>
      </c>
      <c r="P10" s="72">
        <v>20450000</v>
      </c>
      <c r="Q10" s="72">
        <v>6038000</v>
      </c>
      <c r="R10" s="72">
        <v>10674000</v>
      </c>
      <c r="S10" s="72">
        <v>6571000</v>
      </c>
      <c r="T10" s="72">
        <v>13460000</v>
      </c>
      <c r="U10" s="72">
        <v>13218000</v>
      </c>
      <c r="V10" s="72">
        <v>7637000</v>
      </c>
      <c r="W10" s="72">
        <v>8969000</v>
      </c>
      <c r="X10" s="72">
        <v>16629000</v>
      </c>
      <c r="Y10" s="72">
        <v>18086000</v>
      </c>
      <c r="Z10" s="72">
        <v>9848000</v>
      </c>
      <c r="AA10" s="72">
        <v>8862000</v>
      </c>
      <c r="AB10" s="72">
        <v>8862000</v>
      </c>
      <c r="AC10" s="72">
        <v>16871000</v>
      </c>
      <c r="AD10" s="72">
        <v>19348000</v>
      </c>
    </row>
    <row r="11" spans="1:30" ht="12.75" x14ac:dyDescent="0.2">
      <c r="A11" s="10">
        <v>6</v>
      </c>
      <c r="B11" s="51" t="s">
        <v>357</v>
      </c>
      <c r="C11" s="72">
        <v>7584000</v>
      </c>
      <c r="D11" s="72">
        <v>12683000</v>
      </c>
      <c r="E11" s="72">
        <v>8170000</v>
      </c>
      <c r="F11" s="72">
        <v>15748000</v>
      </c>
      <c r="G11" s="72">
        <v>15482000</v>
      </c>
      <c r="H11" s="72">
        <v>9342000</v>
      </c>
      <c r="I11" s="72">
        <v>10807000</v>
      </c>
      <c r="J11" s="72">
        <v>19234000</v>
      </c>
      <c r="K11" s="72">
        <v>20836000</v>
      </c>
      <c r="L11" s="72">
        <v>11774000</v>
      </c>
      <c r="M11" s="72">
        <v>10690000</v>
      </c>
      <c r="N11" s="72">
        <v>10690000</v>
      </c>
      <c r="O11" s="72">
        <v>19500000</v>
      </c>
      <c r="P11" s="72">
        <v>22225000</v>
      </c>
      <c r="Q11" s="72">
        <v>6440000</v>
      </c>
      <c r="R11" s="72">
        <v>11539000</v>
      </c>
      <c r="S11" s="72">
        <v>7026000</v>
      </c>
      <c r="T11" s="72">
        <v>14604000</v>
      </c>
      <c r="U11" s="72">
        <v>14338000</v>
      </c>
      <c r="V11" s="72">
        <v>8198000</v>
      </c>
      <c r="W11" s="72">
        <v>9664000</v>
      </c>
      <c r="X11" s="72">
        <v>18090000</v>
      </c>
      <c r="Y11" s="72">
        <v>19693000</v>
      </c>
      <c r="Z11" s="72">
        <v>10631000</v>
      </c>
      <c r="AA11" s="72">
        <v>9547000</v>
      </c>
      <c r="AB11" s="72">
        <v>9547000</v>
      </c>
      <c r="AC11" s="72">
        <v>18356000</v>
      </c>
      <c r="AD11" s="72">
        <v>21081000</v>
      </c>
    </row>
    <row r="12" spans="1:30" ht="12.75" x14ac:dyDescent="0.2">
      <c r="A12" s="10">
        <v>7</v>
      </c>
      <c r="B12" s="51" t="s">
        <v>358</v>
      </c>
      <c r="C12" s="72">
        <v>8028000</v>
      </c>
      <c r="D12" s="72">
        <v>13591000</v>
      </c>
      <c r="E12" s="72">
        <v>8667000</v>
      </c>
      <c r="F12" s="72">
        <v>16934000</v>
      </c>
      <c r="G12" s="72">
        <v>16644000</v>
      </c>
      <c r="H12" s="72">
        <v>9946000</v>
      </c>
      <c r="I12" s="72">
        <v>11545000</v>
      </c>
      <c r="J12" s="72">
        <v>20737000</v>
      </c>
      <c r="K12" s="72">
        <v>22485000</v>
      </c>
      <c r="L12" s="72">
        <v>12599000</v>
      </c>
      <c r="M12" s="72">
        <v>11417000</v>
      </c>
      <c r="N12" s="72">
        <v>11417000</v>
      </c>
      <c r="O12" s="72">
        <v>21027000</v>
      </c>
      <c r="P12" s="72">
        <v>24000000</v>
      </c>
      <c r="Q12" s="72">
        <v>6842000</v>
      </c>
      <c r="R12" s="72">
        <v>12405000</v>
      </c>
      <c r="S12" s="72">
        <v>7481000</v>
      </c>
      <c r="T12" s="72">
        <v>15748000</v>
      </c>
      <c r="U12" s="72">
        <v>15458000</v>
      </c>
      <c r="V12" s="72">
        <v>8760000</v>
      </c>
      <c r="W12" s="72">
        <v>10359000</v>
      </c>
      <c r="X12" s="72">
        <v>19551000</v>
      </c>
      <c r="Y12" s="72">
        <v>21300000</v>
      </c>
      <c r="Z12" s="72">
        <v>11413000</v>
      </c>
      <c r="AA12" s="72">
        <v>10231000</v>
      </c>
      <c r="AB12" s="72">
        <v>10231000</v>
      </c>
      <c r="AC12" s="72">
        <v>19841000</v>
      </c>
      <c r="AD12" s="72">
        <v>22814000</v>
      </c>
    </row>
    <row r="13" spans="1:30" ht="12.75" x14ac:dyDescent="0.2">
      <c r="A13" s="10">
        <v>8</v>
      </c>
      <c r="B13" s="51" t="s">
        <v>359</v>
      </c>
      <c r="C13" s="72">
        <v>8472000</v>
      </c>
      <c r="D13" s="72">
        <v>14498000</v>
      </c>
      <c r="E13" s="72">
        <v>9165000</v>
      </c>
      <c r="F13" s="72">
        <v>18120000</v>
      </c>
      <c r="G13" s="72">
        <v>17806000</v>
      </c>
      <c r="H13" s="72">
        <v>10550000</v>
      </c>
      <c r="I13" s="72">
        <v>12282000</v>
      </c>
      <c r="J13" s="72">
        <v>22240000</v>
      </c>
      <c r="K13" s="72">
        <v>24134000</v>
      </c>
      <c r="L13" s="72">
        <v>13424000</v>
      </c>
      <c r="M13" s="72">
        <v>12143000</v>
      </c>
      <c r="N13" s="72">
        <v>12143000</v>
      </c>
      <c r="O13" s="72">
        <v>22555000</v>
      </c>
      <c r="P13" s="72">
        <v>25775000</v>
      </c>
      <c r="Q13" s="72">
        <v>7244000</v>
      </c>
      <c r="R13" s="72">
        <v>13270000</v>
      </c>
      <c r="S13" s="72">
        <v>7937000</v>
      </c>
      <c r="T13" s="72">
        <v>16892000</v>
      </c>
      <c r="U13" s="72">
        <v>16578000</v>
      </c>
      <c r="V13" s="72">
        <v>9322000</v>
      </c>
      <c r="W13" s="72">
        <v>11054000</v>
      </c>
      <c r="X13" s="72">
        <v>21012000</v>
      </c>
      <c r="Y13" s="72">
        <v>22906000</v>
      </c>
      <c r="Z13" s="72">
        <v>12196000</v>
      </c>
      <c r="AA13" s="72">
        <v>10915000</v>
      </c>
      <c r="AB13" s="72">
        <v>10915000</v>
      </c>
      <c r="AC13" s="72">
        <v>21326000</v>
      </c>
      <c r="AD13" s="72">
        <v>24547000</v>
      </c>
    </row>
    <row r="14" spans="1:30" ht="12.75" x14ac:dyDescent="0.2">
      <c r="A14" s="10">
        <v>9</v>
      </c>
      <c r="B14" s="51" t="s">
        <v>360</v>
      </c>
      <c r="C14" s="72">
        <v>8916000</v>
      </c>
      <c r="D14" s="72">
        <v>15406000</v>
      </c>
      <c r="E14" s="72">
        <v>9662000</v>
      </c>
      <c r="F14" s="72">
        <v>19307000</v>
      </c>
      <c r="G14" s="72">
        <v>18968000</v>
      </c>
      <c r="H14" s="72">
        <v>11154000</v>
      </c>
      <c r="I14" s="72">
        <v>13019000</v>
      </c>
      <c r="J14" s="72">
        <v>23744000</v>
      </c>
      <c r="K14" s="72">
        <v>25783000</v>
      </c>
      <c r="L14" s="72">
        <v>14250000</v>
      </c>
      <c r="M14" s="72">
        <v>12870000</v>
      </c>
      <c r="N14" s="72">
        <v>12870000</v>
      </c>
      <c r="O14" s="72">
        <v>24082000</v>
      </c>
      <c r="P14" s="72">
        <v>27551000</v>
      </c>
      <c r="Q14" s="72">
        <v>7646000</v>
      </c>
      <c r="R14" s="72">
        <v>14136000</v>
      </c>
      <c r="S14" s="72">
        <v>8392000</v>
      </c>
      <c r="T14" s="72">
        <v>18036000</v>
      </c>
      <c r="U14" s="72">
        <v>17698000</v>
      </c>
      <c r="V14" s="72">
        <v>9884000</v>
      </c>
      <c r="W14" s="72">
        <v>11749000</v>
      </c>
      <c r="X14" s="72">
        <v>22473000</v>
      </c>
      <c r="Y14" s="72">
        <v>24513000</v>
      </c>
      <c r="Z14" s="72">
        <v>12979000</v>
      </c>
      <c r="AA14" s="72">
        <v>11600000</v>
      </c>
      <c r="AB14" s="72">
        <v>11600000</v>
      </c>
      <c r="AC14" s="72">
        <v>22812000</v>
      </c>
      <c r="AD14" s="72">
        <v>26280000</v>
      </c>
    </row>
    <row r="15" spans="1:30" ht="12.75" x14ac:dyDescent="0.2">
      <c r="A15" s="10">
        <v>10</v>
      </c>
      <c r="B15" s="51" t="s">
        <v>361</v>
      </c>
      <c r="C15" s="72">
        <v>9361000</v>
      </c>
      <c r="D15" s="72">
        <v>16314000</v>
      </c>
      <c r="E15" s="72">
        <v>10160000</v>
      </c>
      <c r="F15" s="72">
        <v>20493000</v>
      </c>
      <c r="G15" s="72">
        <v>20131000</v>
      </c>
      <c r="H15" s="72">
        <v>11758000</v>
      </c>
      <c r="I15" s="72">
        <v>13756000</v>
      </c>
      <c r="J15" s="72">
        <v>25247000</v>
      </c>
      <c r="K15" s="72">
        <v>27432000</v>
      </c>
      <c r="L15" s="72">
        <v>15075000</v>
      </c>
      <c r="M15" s="72">
        <v>13597000</v>
      </c>
      <c r="N15" s="72">
        <v>13597000</v>
      </c>
      <c r="O15" s="72">
        <v>25610000</v>
      </c>
      <c r="P15" s="72">
        <v>29326000</v>
      </c>
      <c r="Q15" s="72">
        <v>8048000</v>
      </c>
      <c r="R15" s="72">
        <v>15001000</v>
      </c>
      <c r="S15" s="72">
        <v>8847000</v>
      </c>
      <c r="T15" s="72">
        <v>19180000</v>
      </c>
      <c r="U15" s="72">
        <v>18818000</v>
      </c>
      <c r="V15" s="72">
        <v>10446000</v>
      </c>
      <c r="W15" s="72">
        <v>12444000</v>
      </c>
      <c r="X15" s="72">
        <v>23934000</v>
      </c>
      <c r="Y15" s="72">
        <v>26120000</v>
      </c>
      <c r="Z15" s="72">
        <v>13762000</v>
      </c>
      <c r="AA15" s="72">
        <v>12284000</v>
      </c>
      <c r="AB15" s="72">
        <v>12284000</v>
      </c>
      <c r="AC15" s="72">
        <v>24297000</v>
      </c>
      <c r="AD15" s="72">
        <v>28013000</v>
      </c>
    </row>
    <row r="16" spans="1:30" ht="15.75" customHeight="1" x14ac:dyDescent="0.3">
      <c r="A16" s="10"/>
      <c r="B16" s="68" t="s">
        <v>275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</row>
    <row r="17" spans="1:30" ht="12.75" x14ac:dyDescent="0.2">
      <c r="A17" s="10">
        <v>1</v>
      </c>
      <c r="B17" s="51" t="s">
        <v>281</v>
      </c>
      <c r="C17" s="72">
        <v>5627000</v>
      </c>
      <c r="D17" s="72">
        <v>8597000</v>
      </c>
      <c r="E17" s="72">
        <v>5968000</v>
      </c>
      <c r="F17" s="72">
        <v>10383000</v>
      </c>
      <c r="G17" s="72">
        <v>10228000</v>
      </c>
      <c r="H17" s="72">
        <v>6651000</v>
      </c>
      <c r="I17" s="72">
        <v>7505000</v>
      </c>
      <c r="J17" s="72">
        <v>12414000</v>
      </c>
      <c r="K17" s="72">
        <v>13348000</v>
      </c>
      <c r="L17" s="72">
        <v>8068000</v>
      </c>
      <c r="M17" s="72">
        <v>7436000</v>
      </c>
      <c r="N17" s="72">
        <v>7436000</v>
      </c>
      <c r="O17" s="46"/>
      <c r="P17" s="46"/>
      <c r="Q17" s="72">
        <v>4732000</v>
      </c>
      <c r="R17" s="72">
        <v>7703000</v>
      </c>
      <c r="S17" s="72">
        <v>5073000</v>
      </c>
      <c r="T17" s="72">
        <v>9488000</v>
      </c>
      <c r="U17" s="72">
        <v>9333000</v>
      </c>
      <c r="V17" s="72">
        <v>5756000</v>
      </c>
      <c r="W17" s="72">
        <v>6610000</v>
      </c>
      <c r="X17" s="72">
        <v>11519000</v>
      </c>
      <c r="Y17" s="72">
        <v>12453000</v>
      </c>
      <c r="Z17" s="72">
        <v>7173000</v>
      </c>
      <c r="AA17" s="72">
        <v>6542000</v>
      </c>
      <c r="AB17" s="72">
        <v>6542000</v>
      </c>
      <c r="AC17" s="46"/>
      <c r="AD17" s="46"/>
    </row>
    <row r="18" spans="1:30" ht="12.75" x14ac:dyDescent="0.2">
      <c r="A18" s="10">
        <v>2</v>
      </c>
      <c r="B18" s="51" t="s">
        <v>362</v>
      </c>
      <c r="C18" s="72">
        <v>6084000</v>
      </c>
      <c r="D18" s="72">
        <v>9550000</v>
      </c>
      <c r="E18" s="72">
        <v>6483000</v>
      </c>
      <c r="F18" s="72">
        <v>11633000</v>
      </c>
      <c r="G18" s="72">
        <v>11453000</v>
      </c>
      <c r="H18" s="72">
        <v>7279000</v>
      </c>
      <c r="I18" s="72">
        <v>8275000</v>
      </c>
      <c r="J18" s="72">
        <v>14003000</v>
      </c>
      <c r="K18" s="72">
        <v>15092000</v>
      </c>
      <c r="L18" s="72">
        <v>8933000</v>
      </c>
      <c r="M18" s="72">
        <v>8196000</v>
      </c>
      <c r="N18" s="72">
        <v>8196000</v>
      </c>
      <c r="O18" s="46"/>
      <c r="P18" s="46"/>
      <c r="Q18" s="72">
        <v>5161000</v>
      </c>
      <c r="R18" s="72">
        <v>8627000</v>
      </c>
      <c r="S18" s="72">
        <v>5560000</v>
      </c>
      <c r="T18" s="72">
        <v>10710000</v>
      </c>
      <c r="U18" s="72">
        <v>10530000</v>
      </c>
      <c r="V18" s="72">
        <v>6356000</v>
      </c>
      <c r="W18" s="72">
        <v>7352000</v>
      </c>
      <c r="X18" s="72">
        <v>13080000</v>
      </c>
      <c r="Y18" s="72">
        <v>14169000</v>
      </c>
      <c r="Z18" s="72">
        <v>8010000</v>
      </c>
      <c r="AA18" s="72">
        <v>7273000</v>
      </c>
      <c r="AB18" s="72">
        <v>7273000</v>
      </c>
      <c r="AC18" s="46"/>
      <c r="AD18" s="46"/>
    </row>
    <row r="19" spans="1:30" ht="12.75" x14ac:dyDescent="0.2">
      <c r="A19" s="10">
        <v>3</v>
      </c>
      <c r="B19" s="51" t="s">
        <v>363</v>
      </c>
      <c r="C19" s="72">
        <v>6542000</v>
      </c>
      <c r="D19" s="72">
        <v>10503000</v>
      </c>
      <c r="E19" s="72">
        <v>6997000</v>
      </c>
      <c r="F19" s="72">
        <v>12884000</v>
      </c>
      <c r="G19" s="72">
        <v>12677000</v>
      </c>
      <c r="H19" s="72">
        <v>7908000</v>
      </c>
      <c r="I19" s="72">
        <v>9046000</v>
      </c>
      <c r="J19" s="72">
        <v>15592000</v>
      </c>
      <c r="K19" s="72">
        <v>16837000</v>
      </c>
      <c r="L19" s="72">
        <v>9797000</v>
      </c>
      <c r="M19" s="72">
        <v>8955000</v>
      </c>
      <c r="N19" s="72">
        <v>8955000</v>
      </c>
      <c r="O19" s="46"/>
      <c r="P19" s="46"/>
      <c r="Q19" s="72">
        <v>5591000</v>
      </c>
      <c r="R19" s="72">
        <v>9552000</v>
      </c>
      <c r="S19" s="72">
        <v>6046000</v>
      </c>
      <c r="T19" s="72">
        <v>11932000</v>
      </c>
      <c r="U19" s="72">
        <v>11726000</v>
      </c>
      <c r="V19" s="72">
        <v>6956000</v>
      </c>
      <c r="W19" s="72">
        <v>8095000</v>
      </c>
      <c r="X19" s="72">
        <v>14640000</v>
      </c>
      <c r="Y19" s="72">
        <v>15885000</v>
      </c>
      <c r="Z19" s="72">
        <v>8846000</v>
      </c>
      <c r="AA19" s="72">
        <v>8004000</v>
      </c>
      <c r="AB19" s="72">
        <v>8004000</v>
      </c>
      <c r="AC19" s="46"/>
      <c r="AD19" s="46"/>
    </row>
    <row r="20" spans="1:30" ht="12.75" x14ac:dyDescent="0.2">
      <c r="A20" s="10">
        <v>4</v>
      </c>
      <c r="B20" s="51" t="s">
        <v>364</v>
      </c>
      <c r="C20" s="72">
        <v>7000000</v>
      </c>
      <c r="D20" s="72">
        <v>11456000</v>
      </c>
      <c r="E20" s="72">
        <v>7512000</v>
      </c>
      <c r="F20" s="72">
        <v>14134000</v>
      </c>
      <c r="G20" s="72">
        <v>13902000</v>
      </c>
      <c r="H20" s="72">
        <v>8536000</v>
      </c>
      <c r="I20" s="72">
        <v>9817000</v>
      </c>
      <c r="J20" s="72">
        <v>17180000</v>
      </c>
      <c r="K20" s="72">
        <v>18581000</v>
      </c>
      <c r="L20" s="72">
        <v>10662000</v>
      </c>
      <c r="M20" s="72">
        <v>9714000</v>
      </c>
      <c r="N20" s="72">
        <v>9714000</v>
      </c>
      <c r="O20" s="46"/>
      <c r="P20" s="46"/>
      <c r="Q20" s="72">
        <v>6020000</v>
      </c>
      <c r="R20" s="72">
        <v>10476000</v>
      </c>
      <c r="S20" s="72">
        <v>6532000</v>
      </c>
      <c r="T20" s="72">
        <v>13154000</v>
      </c>
      <c r="U20" s="72">
        <v>12922000</v>
      </c>
      <c r="V20" s="72">
        <v>7557000</v>
      </c>
      <c r="W20" s="72">
        <v>8837000</v>
      </c>
      <c r="X20" s="72">
        <v>16201000</v>
      </c>
      <c r="Y20" s="72">
        <v>17601000</v>
      </c>
      <c r="Z20" s="72">
        <v>9682000</v>
      </c>
      <c r="AA20" s="72">
        <v>8735000</v>
      </c>
      <c r="AB20" s="72">
        <v>8735000</v>
      </c>
      <c r="AC20" s="46"/>
      <c r="AD20" s="46"/>
    </row>
    <row r="21" spans="1:30" ht="12.75" x14ac:dyDescent="0.2">
      <c r="A21" s="10">
        <v>5</v>
      </c>
      <c r="B21" s="51" t="s">
        <v>365</v>
      </c>
      <c r="C21" s="72">
        <v>7457000</v>
      </c>
      <c r="D21" s="72">
        <v>12409000</v>
      </c>
      <c r="E21" s="72">
        <v>8026000</v>
      </c>
      <c r="F21" s="72">
        <v>15384000</v>
      </c>
      <c r="G21" s="72">
        <v>15126000</v>
      </c>
      <c r="H21" s="72">
        <v>9165000</v>
      </c>
      <c r="I21" s="72">
        <v>10587000</v>
      </c>
      <c r="J21" s="72">
        <v>18769000</v>
      </c>
      <c r="K21" s="72">
        <v>20325000</v>
      </c>
      <c r="L21" s="72">
        <v>11526000</v>
      </c>
      <c r="M21" s="72">
        <v>10474000</v>
      </c>
      <c r="N21" s="72">
        <v>10474000</v>
      </c>
      <c r="O21" s="46"/>
      <c r="P21" s="46"/>
      <c r="Q21" s="72">
        <v>6449000</v>
      </c>
      <c r="R21" s="72">
        <v>11401000</v>
      </c>
      <c r="S21" s="72">
        <v>7018000</v>
      </c>
      <c r="T21" s="72">
        <v>14376000</v>
      </c>
      <c r="U21" s="72">
        <v>14118000</v>
      </c>
      <c r="V21" s="72">
        <v>8157000</v>
      </c>
      <c r="W21" s="72">
        <v>9579000</v>
      </c>
      <c r="X21" s="72">
        <v>17761000</v>
      </c>
      <c r="Y21" s="72">
        <v>19317000</v>
      </c>
      <c r="Z21" s="72">
        <v>10518000</v>
      </c>
      <c r="AA21" s="72">
        <v>9466000</v>
      </c>
      <c r="AB21" s="72">
        <v>9466000</v>
      </c>
      <c r="AC21" s="46"/>
      <c r="AD21" s="46"/>
    </row>
    <row r="22" spans="1:30" ht="12.75" x14ac:dyDescent="0.2">
      <c r="A22" s="10">
        <v>6</v>
      </c>
      <c r="B22" s="51" t="s">
        <v>366</v>
      </c>
      <c r="C22" s="72">
        <v>7915000</v>
      </c>
      <c r="D22" s="72">
        <v>13361000</v>
      </c>
      <c r="E22" s="72">
        <v>8541000</v>
      </c>
      <c r="F22" s="72">
        <v>16635000</v>
      </c>
      <c r="G22" s="72">
        <v>16351000</v>
      </c>
      <c r="H22" s="72">
        <v>9793000</v>
      </c>
      <c r="I22" s="72">
        <v>11358000</v>
      </c>
      <c r="J22" s="72">
        <v>20358000</v>
      </c>
      <c r="K22" s="72">
        <v>22070000</v>
      </c>
      <c r="L22" s="72">
        <v>12391000</v>
      </c>
      <c r="M22" s="72">
        <v>11233000</v>
      </c>
      <c r="N22" s="72">
        <v>11233000</v>
      </c>
      <c r="O22" s="46"/>
      <c r="P22" s="46"/>
      <c r="Q22" s="72">
        <v>6879000</v>
      </c>
      <c r="R22" s="72">
        <v>12325000</v>
      </c>
      <c r="S22" s="72">
        <v>7505000</v>
      </c>
      <c r="T22" s="72">
        <v>15598000</v>
      </c>
      <c r="U22" s="72">
        <v>15314000</v>
      </c>
      <c r="V22" s="72">
        <v>8757000</v>
      </c>
      <c r="W22" s="72">
        <v>10322000</v>
      </c>
      <c r="X22" s="72">
        <v>19322000</v>
      </c>
      <c r="Y22" s="72">
        <v>21034000</v>
      </c>
      <c r="Z22" s="72">
        <v>11354000</v>
      </c>
      <c r="AA22" s="72">
        <v>10196000</v>
      </c>
      <c r="AB22" s="72">
        <v>10196000</v>
      </c>
      <c r="AC22" s="46"/>
      <c r="AD22" s="46"/>
    </row>
    <row r="23" spans="1:30" ht="12.75" x14ac:dyDescent="0.2">
      <c r="A23" s="10">
        <v>7</v>
      </c>
      <c r="B23" s="51" t="s">
        <v>367</v>
      </c>
      <c r="C23" s="72">
        <v>8373000</v>
      </c>
      <c r="D23" s="72">
        <v>14314000</v>
      </c>
      <c r="E23" s="72">
        <v>9055000</v>
      </c>
      <c r="F23" s="72">
        <v>17885000</v>
      </c>
      <c r="G23" s="72">
        <v>17575000</v>
      </c>
      <c r="H23" s="72">
        <v>10421000</v>
      </c>
      <c r="I23" s="72">
        <v>12129000</v>
      </c>
      <c r="J23" s="72">
        <v>21947000</v>
      </c>
      <c r="K23" s="72">
        <v>23814000</v>
      </c>
      <c r="L23" s="72">
        <v>13255000</v>
      </c>
      <c r="M23" s="72">
        <v>11992000</v>
      </c>
      <c r="N23" s="72">
        <v>11992000</v>
      </c>
      <c r="O23" s="46"/>
      <c r="P23" s="46"/>
      <c r="Q23" s="72">
        <v>7308000</v>
      </c>
      <c r="R23" s="72">
        <v>13249000</v>
      </c>
      <c r="S23" s="72">
        <v>7991000</v>
      </c>
      <c r="T23" s="72">
        <v>16820000</v>
      </c>
      <c r="U23" s="72">
        <v>16511000</v>
      </c>
      <c r="V23" s="72">
        <v>9357000</v>
      </c>
      <c r="W23" s="72">
        <v>11064000</v>
      </c>
      <c r="X23" s="72">
        <v>20882000</v>
      </c>
      <c r="Y23" s="72">
        <v>22750000</v>
      </c>
      <c r="Z23" s="72">
        <v>12190000</v>
      </c>
      <c r="AA23" s="72">
        <v>10927000</v>
      </c>
      <c r="AB23" s="72">
        <v>10927000</v>
      </c>
      <c r="AC23" s="46"/>
      <c r="AD23" s="46"/>
    </row>
    <row r="24" spans="1:30" ht="12.75" x14ac:dyDescent="0.2">
      <c r="A24" s="10">
        <v>8</v>
      </c>
      <c r="B24" s="51" t="s">
        <v>368</v>
      </c>
      <c r="C24" s="72">
        <v>8830000</v>
      </c>
      <c r="D24" s="72">
        <v>15267000</v>
      </c>
      <c r="E24" s="72">
        <v>9570000</v>
      </c>
      <c r="F24" s="72">
        <v>19135000</v>
      </c>
      <c r="G24" s="72">
        <v>18800000</v>
      </c>
      <c r="H24" s="72">
        <v>11050000</v>
      </c>
      <c r="I24" s="72">
        <v>12899000</v>
      </c>
      <c r="J24" s="72">
        <v>23536000</v>
      </c>
      <c r="K24" s="72">
        <v>25559000</v>
      </c>
      <c r="L24" s="72">
        <v>14120000</v>
      </c>
      <c r="M24" s="72">
        <v>12751000</v>
      </c>
      <c r="N24" s="72">
        <v>12751000</v>
      </c>
      <c r="O24" s="46"/>
      <c r="P24" s="46"/>
      <c r="Q24" s="72">
        <v>7737000</v>
      </c>
      <c r="R24" s="72">
        <v>14174000</v>
      </c>
      <c r="S24" s="72">
        <v>8477000</v>
      </c>
      <c r="T24" s="72">
        <v>18042000</v>
      </c>
      <c r="U24" s="72">
        <v>17707000</v>
      </c>
      <c r="V24" s="72">
        <v>9957000</v>
      </c>
      <c r="W24" s="72">
        <v>11806000</v>
      </c>
      <c r="X24" s="72">
        <v>22443000</v>
      </c>
      <c r="Y24" s="72">
        <v>24466000</v>
      </c>
      <c r="Z24" s="72">
        <v>13027000</v>
      </c>
      <c r="AA24" s="72">
        <v>11658000</v>
      </c>
      <c r="AB24" s="72">
        <v>11658000</v>
      </c>
      <c r="AC24" s="46"/>
      <c r="AD24" s="46"/>
    </row>
    <row r="25" spans="1:30" ht="12.75" x14ac:dyDescent="0.2">
      <c r="A25" s="10">
        <v>9</v>
      </c>
      <c r="B25" s="51" t="s">
        <v>369</v>
      </c>
      <c r="C25" s="72">
        <v>9288000</v>
      </c>
      <c r="D25" s="72">
        <v>16220000</v>
      </c>
      <c r="E25" s="72">
        <v>10085000</v>
      </c>
      <c r="F25" s="72">
        <v>20386000</v>
      </c>
      <c r="G25" s="72">
        <v>20024000</v>
      </c>
      <c r="H25" s="72">
        <v>11678000</v>
      </c>
      <c r="I25" s="72">
        <v>13670000</v>
      </c>
      <c r="J25" s="72">
        <v>25125000</v>
      </c>
      <c r="K25" s="72">
        <v>27303000</v>
      </c>
      <c r="L25" s="72">
        <v>14984000</v>
      </c>
      <c r="M25" s="72">
        <v>13511000</v>
      </c>
      <c r="N25" s="72">
        <v>13511000</v>
      </c>
      <c r="O25" s="46"/>
      <c r="P25" s="46"/>
      <c r="Q25" s="72">
        <v>8166000</v>
      </c>
      <c r="R25" s="72">
        <v>15098000</v>
      </c>
      <c r="S25" s="72">
        <v>8963000</v>
      </c>
      <c r="T25" s="72">
        <v>19264000</v>
      </c>
      <c r="U25" s="72">
        <v>18903000</v>
      </c>
      <c r="V25" s="72">
        <v>10557000</v>
      </c>
      <c r="W25" s="72">
        <v>12549000</v>
      </c>
      <c r="X25" s="72">
        <v>24003000</v>
      </c>
      <c r="Y25" s="72">
        <v>26182000</v>
      </c>
      <c r="Z25" s="72">
        <v>13863000</v>
      </c>
      <c r="AA25" s="72">
        <v>12389000</v>
      </c>
      <c r="AB25" s="72">
        <v>12389000</v>
      </c>
      <c r="AC25" s="46"/>
      <c r="AD25" s="46"/>
    </row>
    <row r="26" spans="1:30" ht="12.75" x14ac:dyDescent="0.2">
      <c r="A26" s="10">
        <v>10</v>
      </c>
      <c r="B26" s="51" t="s">
        <v>370</v>
      </c>
      <c r="C26" s="72">
        <v>9746000</v>
      </c>
      <c r="D26" s="72">
        <v>17172000</v>
      </c>
      <c r="E26" s="72">
        <v>10599000</v>
      </c>
      <c r="F26" s="72">
        <v>21636000</v>
      </c>
      <c r="G26" s="72">
        <v>21249000</v>
      </c>
      <c r="H26" s="72">
        <v>12307000</v>
      </c>
      <c r="I26" s="72">
        <v>14441000</v>
      </c>
      <c r="J26" s="72">
        <v>26714000</v>
      </c>
      <c r="K26" s="72">
        <v>29048000</v>
      </c>
      <c r="L26" s="72">
        <v>15849000</v>
      </c>
      <c r="M26" s="72">
        <v>14270000</v>
      </c>
      <c r="N26" s="72">
        <v>14270000</v>
      </c>
      <c r="O26" s="46"/>
      <c r="P26" s="46"/>
      <c r="Q26" s="72">
        <v>8596000</v>
      </c>
      <c r="R26" s="72">
        <v>16023000</v>
      </c>
      <c r="S26" s="72">
        <v>9449000</v>
      </c>
      <c r="T26" s="72">
        <v>20486000</v>
      </c>
      <c r="U26" s="72">
        <v>20099000</v>
      </c>
      <c r="V26" s="72">
        <v>11157000</v>
      </c>
      <c r="W26" s="72">
        <v>13291000</v>
      </c>
      <c r="X26" s="72">
        <v>25564000</v>
      </c>
      <c r="Y26" s="72">
        <v>27898000</v>
      </c>
      <c r="Z26" s="72">
        <v>14699000</v>
      </c>
      <c r="AA26" s="72">
        <v>13120000</v>
      </c>
      <c r="AB26" s="72">
        <v>13120000</v>
      </c>
      <c r="AC26" s="46"/>
      <c r="AD26" s="46"/>
    </row>
    <row r="27" spans="1:30" ht="15.75" customHeight="1" x14ac:dyDescent="0.3">
      <c r="A27" s="10"/>
      <c r="B27" s="68" t="s">
        <v>282</v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</row>
    <row r="28" spans="1:30" ht="12.75" x14ac:dyDescent="0.2">
      <c r="A28" s="10">
        <v>1</v>
      </c>
      <c r="B28" s="51" t="s">
        <v>288</v>
      </c>
      <c r="C28" s="72">
        <v>5891000</v>
      </c>
      <c r="D28" s="72">
        <v>9051000</v>
      </c>
      <c r="E28" s="72">
        <v>6254000</v>
      </c>
      <c r="F28" s="72">
        <v>10950000</v>
      </c>
      <c r="G28" s="72">
        <v>10785000</v>
      </c>
      <c r="H28" s="72">
        <v>6980000</v>
      </c>
      <c r="I28" s="72">
        <v>7889000</v>
      </c>
      <c r="J28" s="72">
        <v>13111000</v>
      </c>
      <c r="K28" s="72">
        <v>14104000</v>
      </c>
      <c r="L28" s="72">
        <v>8488000</v>
      </c>
      <c r="M28" s="72">
        <v>7816000</v>
      </c>
      <c r="N28" s="72">
        <v>7816000</v>
      </c>
      <c r="O28" s="46"/>
      <c r="P28" s="46"/>
      <c r="Q28" s="72">
        <v>5034000</v>
      </c>
      <c r="R28" s="72">
        <v>8194000</v>
      </c>
      <c r="S28" s="72">
        <v>5397000</v>
      </c>
      <c r="T28" s="72">
        <v>10093000</v>
      </c>
      <c r="U28" s="72">
        <v>9928000</v>
      </c>
      <c r="V28" s="72">
        <v>6123000</v>
      </c>
      <c r="W28" s="72">
        <v>7031000</v>
      </c>
      <c r="X28" s="72">
        <v>12253000</v>
      </c>
      <c r="Y28" s="72">
        <v>13247000</v>
      </c>
      <c r="Z28" s="72">
        <v>7631000</v>
      </c>
      <c r="AA28" s="72">
        <v>6959000</v>
      </c>
      <c r="AB28" s="72">
        <v>6959000</v>
      </c>
      <c r="AC28" s="46"/>
      <c r="AD28" s="46"/>
    </row>
    <row r="29" spans="1:30" ht="12.75" x14ac:dyDescent="0.2">
      <c r="A29" s="10">
        <v>2</v>
      </c>
      <c r="B29" s="51" t="s">
        <v>371</v>
      </c>
      <c r="C29" s="72">
        <v>6362000</v>
      </c>
      <c r="D29" s="72">
        <v>10049000</v>
      </c>
      <c r="E29" s="72">
        <v>6786000</v>
      </c>
      <c r="F29" s="72">
        <v>12265000</v>
      </c>
      <c r="G29" s="72">
        <v>12072000</v>
      </c>
      <c r="H29" s="72">
        <v>7633000</v>
      </c>
      <c r="I29" s="72">
        <v>8693000</v>
      </c>
      <c r="J29" s="72">
        <v>14785000</v>
      </c>
      <c r="K29" s="72">
        <v>15944000</v>
      </c>
      <c r="L29" s="72">
        <v>9392000</v>
      </c>
      <c r="M29" s="72">
        <v>8608000</v>
      </c>
      <c r="N29" s="72">
        <v>8608000</v>
      </c>
      <c r="O29" s="46"/>
      <c r="P29" s="46"/>
      <c r="Q29" s="72">
        <v>5490000</v>
      </c>
      <c r="R29" s="72">
        <v>9177000</v>
      </c>
      <c r="S29" s="72">
        <v>5914000</v>
      </c>
      <c r="T29" s="72">
        <v>11393000</v>
      </c>
      <c r="U29" s="72">
        <v>11201000</v>
      </c>
      <c r="V29" s="72">
        <v>6762000</v>
      </c>
      <c r="W29" s="72">
        <v>7821000</v>
      </c>
      <c r="X29" s="72">
        <v>13913000</v>
      </c>
      <c r="Y29" s="72">
        <v>15072000</v>
      </c>
      <c r="Z29" s="72">
        <v>8520000</v>
      </c>
      <c r="AA29" s="72">
        <v>7736000</v>
      </c>
      <c r="AB29" s="72">
        <v>7736000</v>
      </c>
      <c r="AC29" s="46"/>
      <c r="AD29" s="46"/>
    </row>
    <row r="30" spans="1:30" ht="12.75" x14ac:dyDescent="0.2">
      <c r="A30" s="10">
        <v>3</v>
      </c>
      <c r="B30" s="51" t="s">
        <v>372</v>
      </c>
      <c r="C30" s="72">
        <v>6833000</v>
      </c>
      <c r="D30" s="72">
        <v>11046000</v>
      </c>
      <c r="E30" s="72">
        <v>7317000</v>
      </c>
      <c r="F30" s="72">
        <v>13579000</v>
      </c>
      <c r="G30" s="72">
        <v>13359000</v>
      </c>
      <c r="H30" s="72">
        <v>8286000</v>
      </c>
      <c r="I30" s="72">
        <v>9497000</v>
      </c>
      <c r="J30" s="72">
        <v>16459000</v>
      </c>
      <c r="K30" s="72">
        <v>17784000</v>
      </c>
      <c r="L30" s="72">
        <v>10296000</v>
      </c>
      <c r="M30" s="72">
        <v>9400000</v>
      </c>
      <c r="N30" s="72">
        <v>9400000</v>
      </c>
      <c r="O30" s="46"/>
      <c r="P30" s="46"/>
      <c r="Q30" s="72">
        <v>5947000</v>
      </c>
      <c r="R30" s="72">
        <v>10160000</v>
      </c>
      <c r="S30" s="72">
        <v>6431000</v>
      </c>
      <c r="T30" s="72">
        <v>12693000</v>
      </c>
      <c r="U30" s="72">
        <v>12473000</v>
      </c>
      <c r="V30" s="72">
        <v>7400000</v>
      </c>
      <c r="W30" s="72">
        <v>8611000</v>
      </c>
      <c r="X30" s="72">
        <v>15573000</v>
      </c>
      <c r="Y30" s="72">
        <v>16898000</v>
      </c>
      <c r="Z30" s="72">
        <v>9410000</v>
      </c>
      <c r="AA30" s="72">
        <v>8514000</v>
      </c>
      <c r="AB30" s="72">
        <v>8514000</v>
      </c>
      <c r="AC30" s="46"/>
      <c r="AD30" s="46"/>
    </row>
    <row r="31" spans="1:30" ht="12.75" x14ac:dyDescent="0.2">
      <c r="A31" s="10">
        <v>4</v>
      </c>
      <c r="B31" s="51" t="s">
        <v>373</v>
      </c>
      <c r="C31" s="72">
        <v>7304000</v>
      </c>
      <c r="D31" s="72">
        <v>12044000</v>
      </c>
      <c r="E31" s="72">
        <v>7849000</v>
      </c>
      <c r="F31" s="72">
        <v>14893000</v>
      </c>
      <c r="G31" s="72">
        <v>14646000</v>
      </c>
      <c r="H31" s="72">
        <v>8939000</v>
      </c>
      <c r="I31" s="72">
        <v>10301000</v>
      </c>
      <c r="J31" s="72">
        <v>18134000</v>
      </c>
      <c r="K31" s="72">
        <v>19624000</v>
      </c>
      <c r="L31" s="72">
        <v>11199000</v>
      </c>
      <c r="M31" s="72">
        <v>10192000</v>
      </c>
      <c r="N31" s="72">
        <v>10192000</v>
      </c>
      <c r="O31" s="46"/>
      <c r="P31" s="46"/>
      <c r="Q31" s="72">
        <v>6404000</v>
      </c>
      <c r="R31" s="72">
        <v>11144000</v>
      </c>
      <c r="S31" s="72">
        <v>6948000</v>
      </c>
      <c r="T31" s="72">
        <v>13993000</v>
      </c>
      <c r="U31" s="72">
        <v>13746000</v>
      </c>
      <c r="V31" s="72">
        <v>8038000</v>
      </c>
      <c r="W31" s="72">
        <v>9400000</v>
      </c>
      <c r="X31" s="72">
        <v>17233000</v>
      </c>
      <c r="Y31" s="72">
        <v>18723000</v>
      </c>
      <c r="Z31" s="72">
        <v>10299000</v>
      </c>
      <c r="AA31" s="72">
        <v>9291000</v>
      </c>
      <c r="AB31" s="72">
        <v>9291000</v>
      </c>
      <c r="AC31" s="46"/>
      <c r="AD31" s="46"/>
    </row>
    <row r="32" spans="1:30" ht="12.75" x14ac:dyDescent="0.2">
      <c r="A32" s="10">
        <v>5</v>
      </c>
      <c r="B32" s="51" t="s">
        <v>374</v>
      </c>
      <c r="C32" s="72">
        <v>7775000</v>
      </c>
      <c r="D32" s="72">
        <v>13042000</v>
      </c>
      <c r="E32" s="72">
        <v>8380000</v>
      </c>
      <c r="F32" s="72">
        <v>16208000</v>
      </c>
      <c r="G32" s="72">
        <v>15933000</v>
      </c>
      <c r="H32" s="72">
        <v>9591000</v>
      </c>
      <c r="I32" s="72">
        <v>11105000</v>
      </c>
      <c r="J32" s="72">
        <v>19808000</v>
      </c>
      <c r="K32" s="72">
        <v>21464000</v>
      </c>
      <c r="L32" s="72">
        <v>12103000</v>
      </c>
      <c r="M32" s="72">
        <v>10984000</v>
      </c>
      <c r="N32" s="72">
        <v>10984000</v>
      </c>
      <c r="O32" s="46"/>
      <c r="P32" s="46"/>
      <c r="Q32" s="72">
        <v>6860000</v>
      </c>
      <c r="R32" s="72">
        <v>12127000</v>
      </c>
      <c r="S32" s="72">
        <v>7466000</v>
      </c>
      <c r="T32" s="72">
        <v>15293000</v>
      </c>
      <c r="U32" s="72">
        <v>15018000</v>
      </c>
      <c r="V32" s="72">
        <v>8676000</v>
      </c>
      <c r="W32" s="72">
        <v>10190000</v>
      </c>
      <c r="X32" s="72">
        <v>18893000</v>
      </c>
      <c r="Y32" s="72">
        <v>20549000</v>
      </c>
      <c r="Z32" s="72">
        <v>11189000</v>
      </c>
      <c r="AA32" s="72">
        <v>10069000</v>
      </c>
      <c r="AB32" s="72">
        <v>10069000</v>
      </c>
      <c r="AC32" s="46"/>
      <c r="AD32" s="46"/>
    </row>
    <row r="33" spans="1:30" ht="12.75" x14ac:dyDescent="0.2">
      <c r="A33" s="10">
        <v>6</v>
      </c>
      <c r="B33" s="51" t="s">
        <v>375</v>
      </c>
      <c r="C33" s="72">
        <v>8246000</v>
      </c>
      <c r="D33" s="72">
        <v>14040000</v>
      </c>
      <c r="E33" s="72">
        <v>8912000</v>
      </c>
      <c r="F33" s="72">
        <v>17522000</v>
      </c>
      <c r="G33" s="72">
        <v>17220000</v>
      </c>
      <c r="H33" s="72">
        <v>10244000</v>
      </c>
      <c r="I33" s="72">
        <v>11909000</v>
      </c>
      <c r="J33" s="72">
        <v>21483000</v>
      </c>
      <c r="K33" s="72">
        <v>23304000</v>
      </c>
      <c r="L33" s="72">
        <v>13007000</v>
      </c>
      <c r="M33" s="72">
        <v>11776000</v>
      </c>
      <c r="N33" s="72">
        <v>11776000</v>
      </c>
      <c r="O33" s="46"/>
      <c r="P33" s="46"/>
      <c r="Q33" s="72">
        <v>7317000</v>
      </c>
      <c r="R33" s="72">
        <v>13111000</v>
      </c>
      <c r="S33" s="72">
        <v>7983000</v>
      </c>
      <c r="T33" s="72">
        <v>16593000</v>
      </c>
      <c r="U33" s="72">
        <v>16291000</v>
      </c>
      <c r="V33" s="72">
        <v>9315000</v>
      </c>
      <c r="W33" s="72">
        <v>10980000</v>
      </c>
      <c r="X33" s="72">
        <v>20553000</v>
      </c>
      <c r="Y33" s="72">
        <v>22374000</v>
      </c>
      <c r="Z33" s="72">
        <v>12078000</v>
      </c>
      <c r="AA33" s="72">
        <v>10846000</v>
      </c>
      <c r="AB33" s="72">
        <v>10846000</v>
      </c>
      <c r="AC33" s="46"/>
      <c r="AD33" s="46"/>
    </row>
    <row r="34" spans="1:30" ht="12.75" x14ac:dyDescent="0.2">
      <c r="A34" s="10">
        <v>7</v>
      </c>
      <c r="B34" s="51" t="s">
        <v>376</v>
      </c>
      <c r="C34" s="72">
        <v>8717000</v>
      </c>
      <c r="D34" s="72">
        <v>15038000</v>
      </c>
      <c r="E34" s="72">
        <v>9444000</v>
      </c>
      <c r="F34" s="72">
        <v>18836000</v>
      </c>
      <c r="G34" s="72">
        <v>18507000</v>
      </c>
      <c r="H34" s="72">
        <v>10897000</v>
      </c>
      <c r="I34" s="72">
        <v>12713000</v>
      </c>
      <c r="J34" s="72">
        <v>23157000</v>
      </c>
      <c r="K34" s="72">
        <v>25143000</v>
      </c>
      <c r="L34" s="72">
        <v>13911000</v>
      </c>
      <c r="M34" s="72">
        <v>12568000</v>
      </c>
      <c r="N34" s="72">
        <v>12568000</v>
      </c>
      <c r="O34" s="46"/>
      <c r="P34" s="46"/>
      <c r="Q34" s="72">
        <v>7774000</v>
      </c>
      <c r="R34" s="72">
        <v>14094000</v>
      </c>
      <c r="S34" s="72">
        <v>8500000</v>
      </c>
      <c r="T34" s="72">
        <v>17893000</v>
      </c>
      <c r="U34" s="72">
        <v>17563000</v>
      </c>
      <c r="V34" s="72">
        <v>9953000</v>
      </c>
      <c r="W34" s="72">
        <v>11769000</v>
      </c>
      <c r="X34" s="72">
        <v>22213000</v>
      </c>
      <c r="Y34" s="72">
        <v>24200000</v>
      </c>
      <c r="Z34" s="72">
        <v>12968000</v>
      </c>
      <c r="AA34" s="72">
        <v>11624000</v>
      </c>
      <c r="AB34" s="72">
        <v>11624000</v>
      </c>
      <c r="AC34" s="46"/>
      <c r="AD34" s="46"/>
    </row>
    <row r="35" spans="1:30" ht="12.75" x14ac:dyDescent="0.2">
      <c r="A35" s="10">
        <v>8</v>
      </c>
      <c r="B35" s="51" t="s">
        <v>377</v>
      </c>
      <c r="C35" s="72">
        <v>9188000</v>
      </c>
      <c r="D35" s="72">
        <v>16035000</v>
      </c>
      <c r="E35" s="72">
        <v>9975000</v>
      </c>
      <c r="F35" s="72">
        <v>20150000</v>
      </c>
      <c r="G35" s="72">
        <v>19793000</v>
      </c>
      <c r="H35" s="72">
        <v>11549000</v>
      </c>
      <c r="I35" s="72">
        <v>13517000</v>
      </c>
      <c r="J35" s="72">
        <v>24831000</v>
      </c>
      <c r="K35" s="72">
        <v>26983000</v>
      </c>
      <c r="L35" s="72">
        <v>14815000</v>
      </c>
      <c r="M35" s="72">
        <v>13359000</v>
      </c>
      <c r="N35" s="72">
        <v>13359000</v>
      </c>
      <c r="O35" s="46"/>
      <c r="P35" s="46"/>
      <c r="Q35" s="72">
        <v>8230000</v>
      </c>
      <c r="R35" s="72">
        <v>15077000</v>
      </c>
      <c r="S35" s="72">
        <v>9017000</v>
      </c>
      <c r="T35" s="72">
        <v>19192000</v>
      </c>
      <c r="U35" s="72">
        <v>18835000</v>
      </c>
      <c r="V35" s="72">
        <v>10591000</v>
      </c>
      <c r="W35" s="72">
        <v>12559000</v>
      </c>
      <c r="X35" s="72">
        <v>23873000</v>
      </c>
      <c r="Y35" s="72">
        <v>26025000</v>
      </c>
      <c r="Z35" s="72">
        <v>13857000</v>
      </c>
      <c r="AA35" s="72">
        <v>12401000</v>
      </c>
      <c r="AB35" s="72">
        <v>12401000</v>
      </c>
      <c r="AC35" s="46"/>
      <c r="AD35" s="46"/>
    </row>
    <row r="36" spans="1:30" ht="12.75" x14ac:dyDescent="0.2">
      <c r="A36" s="10">
        <v>9</v>
      </c>
      <c r="B36" s="51" t="s">
        <v>378</v>
      </c>
      <c r="C36" s="72">
        <v>9659000</v>
      </c>
      <c r="D36" s="72">
        <v>17033000</v>
      </c>
      <c r="E36" s="72">
        <v>10507000</v>
      </c>
      <c r="F36" s="72">
        <v>21465000</v>
      </c>
      <c r="G36" s="72">
        <v>21080000</v>
      </c>
      <c r="H36" s="72">
        <v>12202000</v>
      </c>
      <c r="I36" s="72">
        <v>14321000</v>
      </c>
      <c r="J36" s="72">
        <v>26506000</v>
      </c>
      <c r="K36" s="72">
        <v>28823000</v>
      </c>
      <c r="L36" s="72">
        <v>15719000</v>
      </c>
      <c r="M36" s="72">
        <v>14151000</v>
      </c>
      <c r="N36" s="72">
        <v>14151000</v>
      </c>
      <c r="O36" s="46"/>
      <c r="P36" s="46"/>
      <c r="Q36" s="72">
        <v>8687000</v>
      </c>
      <c r="R36" s="72">
        <v>16061000</v>
      </c>
      <c r="S36" s="72">
        <v>9534000</v>
      </c>
      <c r="T36" s="72">
        <v>20492000</v>
      </c>
      <c r="U36" s="72">
        <v>20108000</v>
      </c>
      <c r="V36" s="72">
        <v>11230000</v>
      </c>
      <c r="W36" s="72">
        <v>13348000</v>
      </c>
      <c r="X36" s="72">
        <v>25533000</v>
      </c>
      <c r="Y36" s="72">
        <v>27851000</v>
      </c>
      <c r="Z36" s="72">
        <v>14746000</v>
      </c>
      <c r="AA36" s="72">
        <v>13179000</v>
      </c>
      <c r="AB36" s="72">
        <v>13179000</v>
      </c>
      <c r="AC36" s="46"/>
      <c r="AD36" s="46"/>
    </row>
    <row r="37" spans="1:30" ht="12.75" x14ac:dyDescent="0.2">
      <c r="A37" s="10">
        <v>10</v>
      </c>
      <c r="B37" s="51" t="s">
        <v>379</v>
      </c>
      <c r="C37" s="72">
        <v>10130000</v>
      </c>
      <c r="D37" s="72">
        <v>18031000</v>
      </c>
      <c r="E37" s="72">
        <v>11039000</v>
      </c>
      <c r="F37" s="72">
        <v>22779000</v>
      </c>
      <c r="G37" s="72">
        <v>22367000</v>
      </c>
      <c r="H37" s="72">
        <v>12855000</v>
      </c>
      <c r="I37" s="72">
        <v>15125000</v>
      </c>
      <c r="J37" s="72">
        <v>28180000</v>
      </c>
      <c r="K37" s="72">
        <v>30663000</v>
      </c>
      <c r="L37" s="72">
        <v>16623000</v>
      </c>
      <c r="M37" s="72">
        <v>14943000</v>
      </c>
      <c r="N37" s="72">
        <v>14943000</v>
      </c>
      <c r="O37" s="46"/>
      <c r="P37" s="46"/>
      <c r="Q37" s="72">
        <v>9144000</v>
      </c>
      <c r="R37" s="72">
        <v>17044000</v>
      </c>
      <c r="S37" s="72">
        <v>10052000</v>
      </c>
      <c r="T37" s="72">
        <v>21792000</v>
      </c>
      <c r="U37" s="72">
        <v>21380000</v>
      </c>
      <c r="V37" s="72">
        <v>11868000</v>
      </c>
      <c r="W37" s="72">
        <v>14138000</v>
      </c>
      <c r="X37" s="72">
        <v>27193000</v>
      </c>
      <c r="Y37" s="72">
        <v>29676000</v>
      </c>
      <c r="Z37" s="72">
        <v>15636000</v>
      </c>
      <c r="AA37" s="72">
        <v>13956000</v>
      </c>
      <c r="AB37" s="72">
        <v>13956000</v>
      </c>
      <c r="AC37" s="46"/>
      <c r="AD37" s="46"/>
    </row>
    <row r="38" spans="1:30" ht="15.75" customHeight="1" x14ac:dyDescent="0.3">
      <c r="A38" s="10"/>
      <c r="B38" s="68" t="s">
        <v>380</v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</row>
    <row r="39" spans="1:30" ht="12.75" x14ac:dyDescent="0.2">
      <c r="A39" s="10">
        <v>1</v>
      </c>
      <c r="B39" s="51" t="s">
        <v>381</v>
      </c>
      <c r="C39" s="72">
        <v>6353000</v>
      </c>
      <c r="D39" s="72">
        <v>9845000</v>
      </c>
      <c r="E39" s="72">
        <v>6754000</v>
      </c>
      <c r="F39" s="72">
        <v>11943000</v>
      </c>
      <c r="G39" s="72">
        <v>11761000</v>
      </c>
      <c r="H39" s="72">
        <v>7557000</v>
      </c>
      <c r="I39" s="72">
        <v>8560000</v>
      </c>
      <c r="J39" s="72">
        <v>14330000</v>
      </c>
      <c r="K39" s="72">
        <v>15427000</v>
      </c>
      <c r="L39" s="72">
        <v>9222000</v>
      </c>
      <c r="M39" s="72">
        <v>8480000</v>
      </c>
      <c r="N39" s="72">
        <v>8480000</v>
      </c>
      <c r="O39" s="72">
        <v>14512000</v>
      </c>
      <c r="P39" s="72">
        <v>16378000</v>
      </c>
      <c r="Q39" s="72">
        <v>5561000</v>
      </c>
      <c r="R39" s="72">
        <v>9053000</v>
      </c>
      <c r="S39" s="72">
        <v>5963000</v>
      </c>
      <c r="T39" s="72">
        <v>11151000</v>
      </c>
      <c r="U39" s="72">
        <v>10969000</v>
      </c>
      <c r="V39" s="72">
        <v>6765000</v>
      </c>
      <c r="W39" s="72">
        <v>7769000</v>
      </c>
      <c r="X39" s="72">
        <v>13538000</v>
      </c>
      <c r="Y39" s="72">
        <v>14636000</v>
      </c>
      <c r="Z39" s="72">
        <v>8431000</v>
      </c>
      <c r="AA39" s="72">
        <v>7688000</v>
      </c>
      <c r="AB39" s="72">
        <v>7688000</v>
      </c>
      <c r="AC39" s="72">
        <v>13720000</v>
      </c>
      <c r="AD39" s="72">
        <v>15587000</v>
      </c>
    </row>
    <row r="40" spans="1:30" ht="12.75" x14ac:dyDescent="0.2">
      <c r="A40" s="10">
        <v>2</v>
      </c>
      <c r="B40" s="51" t="s">
        <v>382</v>
      </c>
      <c r="C40" s="72">
        <v>6848000</v>
      </c>
      <c r="D40" s="72">
        <v>10921000</v>
      </c>
      <c r="E40" s="72">
        <v>7316000</v>
      </c>
      <c r="F40" s="72">
        <v>13369000</v>
      </c>
      <c r="G40" s="72">
        <v>13157000</v>
      </c>
      <c r="H40" s="72">
        <v>8252000</v>
      </c>
      <c r="I40" s="72">
        <v>9423000</v>
      </c>
      <c r="J40" s="72">
        <v>16154000</v>
      </c>
      <c r="K40" s="72">
        <v>17434000</v>
      </c>
      <c r="L40" s="72">
        <v>10195000</v>
      </c>
      <c r="M40" s="72">
        <v>9329000</v>
      </c>
      <c r="N40" s="72">
        <v>9329000</v>
      </c>
      <c r="O40" s="72">
        <v>16366000</v>
      </c>
      <c r="P40" s="72">
        <v>18544000</v>
      </c>
      <c r="Q40" s="72">
        <v>6066000</v>
      </c>
      <c r="R40" s="72">
        <v>10139000</v>
      </c>
      <c r="S40" s="72">
        <v>6534000</v>
      </c>
      <c r="T40" s="72">
        <v>12588000</v>
      </c>
      <c r="U40" s="72">
        <v>12375000</v>
      </c>
      <c r="V40" s="72">
        <v>7471000</v>
      </c>
      <c r="W40" s="72">
        <v>8641000</v>
      </c>
      <c r="X40" s="72">
        <v>15372000</v>
      </c>
      <c r="Y40" s="72">
        <v>16653000</v>
      </c>
      <c r="Z40" s="72">
        <v>9413000</v>
      </c>
      <c r="AA40" s="72">
        <v>8548000</v>
      </c>
      <c r="AB40" s="72">
        <v>8548000</v>
      </c>
      <c r="AC40" s="72">
        <v>15585000</v>
      </c>
      <c r="AD40" s="72">
        <v>17762000</v>
      </c>
    </row>
    <row r="41" spans="1:30" ht="12.75" x14ac:dyDescent="0.2">
      <c r="A41" s="10">
        <v>3</v>
      </c>
      <c r="B41" s="51" t="s">
        <v>383</v>
      </c>
      <c r="C41" s="72">
        <v>7342000</v>
      </c>
      <c r="D41" s="72">
        <v>11998000</v>
      </c>
      <c r="E41" s="72">
        <v>7877000</v>
      </c>
      <c r="F41" s="72">
        <v>14796000</v>
      </c>
      <c r="G41" s="72">
        <v>14553000</v>
      </c>
      <c r="H41" s="72">
        <v>8947000</v>
      </c>
      <c r="I41" s="72">
        <v>10285000</v>
      </c>
      <c r="J41" s="72">
        <v>17978000</v>
      </c>
      <c r="K41" s="72">
        <v>19441000</v>
      </c>
      <c r="L41" s="72">
        <v>11168000</v>
      </c>
      <c r="M41" s="72">
        <v>10178000</v>
      </c>
      <c r="N41" s="72">
        <v>10178000</v>
      </c>
      <c r="O41" s="72">
        <v>18221000</v>
      </c>
      <c r="P41" s="72">
        <v>20709000</v>
      </c>
      <c r="Q41" s="72">
        <v>6571000</v>
      </c>
      <c r="R41" s="72">
        <v>11226000</v>
      </c>
      <c r="S41" s="72">
        <v>7106000</v>
      </c>
      <c r="T41" s="72">
        <v>14024000</v>
      </c>
      <c r="U41" s="72">
        <v>13781000</v>
      </c>
      <c r="V41" s="72">
        <v>8176000</v>
      </c>
      <c r="W41" s="72">
        <v>9514000</v>
      </c>
      <c r="X41" s="72">
        <v>17207000</v>
      </c>
      <c r="Y41" s="72">
        <v>18670000</v>
      </c>
      <c r="Z41" s="72">
        <v>10396000</v>
      </c>
      <c r="AA41" s="72">
        <v>9407000</v>
      </c>
      <c r="AB41" s="72">
        <v>9407000</v>
      </c>
      <c r="AC41" s="72">
        <v>17449000</v>
      </c>
      <c r="AD41" s="72">
        <v>19937000</v>
      </c>
    </row>
    <row r="42" spans="1:30" ht="12.75" x14ac:dyDescent="0.2">
      <c r="A42" s="10">
        <v>4</v>
      </c>
      <c r="B42" s="51" t="s">
        <v>384</v>
      </c>
      <c r="C42" s="72">
        <v>7837000</v>
      </c>
      <c r="D42" s="72">
        <v>13074000</v>
      </c>
      <c r="E42" s="72">
        <v>8439000</v>
      </c>
      <c r="F42" s="72">
        <v>16222000</v>
      </c>
      <c r="G42" s="72">
        <v>15949000</v>
      </c>
      <c r="H42" s="72">
        <v>9643000</v>
      </c>
      <c r="I42" s="72">
        <v>11148000</v>
      </c>
      <c r="J42" s="72">
        <v>19802000</v>
      </c>
      <c r="K42" s="72">
        <v>21448000</v>
      </c>
      <c r="L42" s="72">
        <v>12141000</v>
      </c>
      <c r="M42" s="72">
        <v>11027000</v>
      </c>
      <c r="N42" s="72">
        <v>11027000</v>
      </c>
      <c r="O42" s="72">
        <v>20075000</v>
      </c>
      <c r="P42" s="72">
        <v>22874000</v>
      </c>
      <c r="Q42" s="72">
        <v>7075000</v>
      </c>
      <c r="R42" s="72">
        <v>12312000</v>
      </c>
      <c r="S42" s="72">
        <v>7677000</v>
      </c>
      <c r="T42" s="72">
        <v>15460000</v>
      </c>
      <c r="U42" s="72">
        <v>15187000</v>
      </c>
      <c r="V42" s="72">
        <v>8881000</v>
      </c>
      <c r="W42" s="72">
        <v>10386000</v>
      </c>
      <c r="X42" s="72">
        <v>19041000</v>
      </c>
      <c r="Y42" s="72">
        <v>20687000</v>
      </c>
      <c r="Z42" s="72">
        <v>11379000</v>
      </c>
      <c r="AA42" s="72">
        <v>10266000</v>
      </c>
      <c r="AB42" s="72">
        <v>10266000</v>
      </c>
      <c r="AC42" s="72">
        <v>19314000</v>
      </c>
      <c r="AD42" s="72">
        <v>22113000</v>
      </c>
    </row>
    <row r="43" spans="1:30" ht="12.75" x14ac:dyDescent="0.2">
      <c r="A43" s="10">
        <v>5</v>
      </c>
      <c r="B43" s="51" t="s">
        <v>385</v>
      </c>
      <c r="C43" s="72">
        <v>8331000</v>
      </c>
      <c r="D43" s="72">
        <v>14151000</v>
      </c>
      <c r="E43" s="72">
        <v>9000000</v>
      </c>
      <c r="F43" s="72">
        <v>17648000</v>
      </c>
      <c r="G43" s="72">
        <v>17345000</v>
      </c>
      <c r="H43" s="72">
        <v>10338000</v>
      </c>
      <c r="I43" s="72">
        <v>12010000</v>
      </c>
      <c r="J43" s="72">
        <v>21626000</v>
      </c>
      <c r="K43" s="72">
        <v>23455000</v>
      </c>
      <c r="L43" s="72">
        <v>13113000</v>
      </c>
      <c r="M43" s="72">
        <v>11876000</v>
      </c>
      <c r="N43" s="72">
        <v>11876000</v>
      </c>
      <c r="O43" s="72">
        <v>21930000</v>
      </c>
      <c r="P43" s="72">
        <v>25040000</v>
      </c>
      <c r="Q43" s="72">
        <v>7580000</v>
      </c>
      <c r="R43" s="72">
        <v>13399000</v>
      </c>
      <c r="S43" s="72">
        <v>8249000</v>
      </c>
      <c r="T43" s="72">
        <v>16896000</v>
      </c>
      <c r="U43" s="72">
        <v>16593000</v>
      </c>
      <c r="V43" s="72">
        <v>9586000</v>
      </c>
      <c r="W43" s="72">
        <v>11258000</v>
      </c>
      <c r="X43" s="72">
        <v>20875000</v>
      </c>
      <c r="Y43" s="72">
        <v>22704000</v>
      </c>
      <c r="Z43" s="72">
        <v>12362000</v>
      </c>
      <c r="AA43" s="72">
        <v>11125000</v>
      </c>
      <c r="AB43" s="72">
        <v>11125000</v>
      </c>
      <c r="AC43" s="72">
        <v>21178000</v>
      </c>
      <c r="AD43" s="72">
        <v>24288000</v>
      </c>
    </row>
    <row r="44" spans="1:30" ht="12.75" x14ac:dyDescent="0.2">
      <c r="A44" s="10">
        <v>6</v>
      </c>
      <c r="B44" s="51" t="s">
        <v>386</v>
      </c>
      <c r="C44" s="72">
        <v>8826000</v>
      </c>
      <c r="D44" s="72">
        <v>15227000</v>
      </c>
      <c r="E44" s="72">
        <v>9562000</v>
      </c>
      <c r="F44" s="72">
        <v>19074000</v>
      </c>
      <c r="G44" s="72">
        <v>18740000</v>
      </c>
      <c r="H44" s="72">
        <v>11033000</v>
      </c>
      <c r="I44" s="72">
        <v>12873000</v>
      </c>
      <c r="J44" s="72">
        <v>23450000</v>
      </c>
      <c r="K44" s="72">
        <v>25462000</v>
      </c>
      <c r="L44" s="72">
        <v>14086000</v>
      </c>
      <c r="M44" s="72">
        <v>12725000</v>
      </c>
      <c r="N44" s="72">
        <v>12725000</v>
      </c>
      <c r="O44" s="72">
        <v>23784000</v>
      </c>
      <c r="P44" s="72">
        <v>27205000</v>
      </c>
      <c r="Q44" s="72">
        <v>8084000</v>
      </c>
      <c r="R44" s="72">
        <v>14485000</v>
      </c>
      <c r="S44" s="72">
        <v>8820000</v>
      </c>
      <c r="T44" s="72">
        <v>18333000</v>
      </c>
      <c r="U44" s="72">
        <v>17999000</v>
      </c>
      <c r="V44" s="72">
        <v>10292000</v>
      </c>
      <c r="W44" s="72">
        <v>12131000</v>
      </c>
      <c r="X44" s="72">
        <v>22709000</v>
      </c>
      <c r="Y44" s="72">
        <v>24721000</v>
      </c>
      <c r="Z44" s="72">
        <v>13345000</v>
      </c>
      <c r="AA44" s="72">
        <v>11984000</v>
      </c>
      <c r="AB44" s="72">
        <v>11984000</v>
      </c>
      <c r="AC44" s="72">
        <v>23042000</v>
      </c>
      <c r="AD44" s="72">
        <v>26464000</v>
      </c>
    </row>
    <row r="45" spans="1:30" ht="12.75" x14ac:dyDescent="0.2">
      <c r="A45" s="10">
        <v>7</v>
      </c>
      <c r="B45" s="51" t="s">
        <v>387</v>
      </c>
      <c r="C45" s="72">
        <v>9320000</v>
      </c>
      <c r="D45" s="72">
        <v>16304000</v>
      </c>
      <c r="E45" s="72">
        <v>10123000</v>
      </c>
      <c r="F45" s="72">
        <v>20500000</v>
      </c>
      <c r="G45" s="72">
        <v>20136000</v>
      </c>
      <c r="H45" s="72">
        <v>11728000</v>
      </c>
      <c r="I45" s="72">
        <v>13735000</v>
      </c>
      <c r="J45" s="72">
        <v>25274000</v>
      </c>
      <c r="K45" s="72">
        <v>27469000</v>
      </c>
      <c r="L45" s="72">
        <v>15059000</v>
      </c>
      <c r="M45" s="72">
        <v>13574000</v>
      </c>
      <c r="N45" s="72">
        <v>13574000</v>
      </c>
      <c r="O45" s="72">
        <v>25639000</v>
      </c>
      <c r="P45" s="72">
        <v>29371000</v>
      </c>
      <c r="Q45" s="72">
        <v>8589000</v>
      </c>
      <c r="R45" s="72">
        <v>15572000</v>
      </c>
      <c r="S45" s="72">
        <v>9391000</v>
      </c>
      <c r="T45" s="72">
        <v>19769000</v>
      </c>
      <c r="U45" s="72">
        <v>19405000</v>
      </c>
      <c r="V45" s="72">
        <v>10997000</v>
      </c>
      <c r="W45" s="72">
        <v>13003000</v>
      </c>
      <c r="X45" s="72">
        <v>24543000</v>
      </c>
      <c r="Y45" s="72">
        <v>26738000</v>
      </c>
      <c r="Z45" s="72">
        <v>14327000</v>
      </c>
      <c r="AA45" s="72">
        <v>12843000</v>
      </c>
      <c r="AB45" s="72">
        <v>12843000</v>
      </c>
      <c r="AC45" s="72">
        <v>24907000</v>
      </c>
      <c r="AD45" s="72">
        <v>28639000</v>
      </c>
    </row>
    <row r="46" spans="1:30" ht="12.75" x14ac:dyDescent="0.2">
      <c r="A46" s="10">
        <v>8</v>
      </c>
      <c r="B46" s="51" t="s">
        <v>388</v>
      </c>
      <c r="C46" s="72">
        <v>9815000</v>
      </c>
      <c r="D46" s="72">
        <v>17380000</v>
      </c>
      <c r="E46" s="72">
        <v>10685000</v>
      </c>
      <c r="F46" s="72">
        <v>21927000</v>
      </c>
      <c r="G46" s="72">
        <v>21532000</v>
      </c>
      <c r="H46" s="72">
        <v>12424000</v>
      </c>
      <c r="I46" s="72">
        <v>14597000</v>
      </c>
      <c r="J46" s="72">
        <v>27098000</v>
      </c>
      <c r="K46" s="72">
        <v>29476000</v>
      </c>
      <c r="L46" s="72">
        <v>16032000</v>
      </c>
      <c r="M46" s="72">
        <v>14424000</v>
      </c>
      <c r="N46" s="72">
        <v>14424000</v>
      </c>
      <c r="O46" s="72">
        <v>27493000</v>
      </c>
      <c r="P46" s="72">
        <v>31536000</v>
      </c>
      <c r="Q46" s="72">
        <v>9093000</v>
      </c>
      <c r="R46" s="72">
        <v>16658000</v>
      </c>
      <c r="S46" s="72">
        <v>9963000</v>
      </c>
      <c r="T46" s="72">
        <v>21205000</v>
      </c>
      <c r="U46" s="72">
        <v>20811000</v>
      </c>
      <c r="V46" s="72">
        <v>11702000</v>
      </c>
      <c r="W46" s="72">
        <v>13876000</v>
      </c>
      <c r="X46" s="72">
        <v>26377000</v>
      </c>
      <c r="Y46" s="72">
        <v>28755000</v>
      </c>
      <c r="Z46" s="72">
        <v>15310000</v>
      </c>
      <c r="AA46" s="72">
        <v>13702000</v>
      </c>
      <c r="AB46" s="72">
        <v>13702000</v>
      </c>
      <c r="AC46" s="72">
        <v>26771000</v>
      </c>
      <c r="AD46" s="72">
        <v>30814000</v>
      </c>
    </row>
    <row r="47" spans="1:30" ht="12.75" x14ac:dyDescent="0.2">
      <c r="A47" s="10">
        <v>9</v>
      </c>
      <c r="B47" s="51" t="s">
        <v>389</v>
      </c>
      <c r="C47" s="72">
        <v>10310000</v>
      </c>
      <c r="D47" s="72">
        <v>18457000</v>
      </c>
      <c r="E47" s="72">
        <v>11246000</v>
      </c>
      <c r="F47" s="72">
        <v>23353000</v>
      </c>
      <c r="G47" s="72">
        <v>22928000</v>
      </c>
      <c r="H47" s="72">
        <v>13119000</v>
      </c>
      <c r="I47" s="72">
        <v>15460000</v>
      </c>
      <c r="J47" s="72">
        <v>28923000</v>
      </c>
      <c r="K47" s="72">
        <v>31483000</v>
      </c>
      <c r="L47" s="72">
        <v>17005000</v>
      </c>
      <c r="M47" s="72">
        <v>15273000</v>
      </c>
      <c r="N47" s="72">
        <v>15273000</v>
      </c>
      <c r="O47" s="72">
        <v>29347000</v>
      </c>
      <c r="P47" s="72">
        <v>33702000</v>
      </c>
      <c r="Q47" s="72">
        <v>9598000</v>
      </c>
      <c r="R47" s="72">
        <v>17745000</v>
      </c>
      <c r="S47" s="72">
        <v>10534000</v>
      </c>
      <c r="T47" s="72">
        <v>22641000</v>
      </c>
      <c r="U47" s="72">
        <v>22216000</v>
      </c>
      <c r="V47" s="72">
        <v>12407000</v>
      </c>
      <c r="W47" s="72">
        <v>14748000</v>
      </c>
      <c r="X47" s="72">
        <v>28211000</v>
      </c>
      <c r="Y47" s="72">
        <v>30771000</v>
      </c>
      <c r="Z47" s="72">
        <v>16293000</v>
      </c>
      <c r="AA47" s="72">
        <v>14561000</v>
      </c>
      <c r="AB47" s="72">
        <v>14561000</v>
      </c>
      <c r="AC47" s="72">
        <v>28636000</v>
      </c>
      <c r="AD47" s="72">
        <v>32990000</v>
      </c>
    </row>
    <row r="48" spans="1:30" ht="12.75" x14ac:dyDescent="0.2">
      <c r="A48" s="10">
        <v>10</v>
      </c>
      <c r="B48" s="51" t="s">
        <v>390</v>
      </c>
      <c r="C48" s="72">
        <v>10804000</v>
      </c>
      <c r="D48" s="72">
        <v>19533000</v>
      </c>
      <c r="E48" s="72">
        <v>11807000</v>
      </c>
      <c r="F48" s="72">
        <v>24779000</v>
      </c>
      <c r="G48" s="72">
        <v>24324000</v>
      </c>
      <c r="H48" s="72">
        <v>13814000</v>
      </c>
      <c r="I48" s="72">
        <v>16322000</v>
      </c>
      <c r="J48" s="72">
        <v>30747000</v>
      </c>
      <c r="K48" s="72">
        <v>33490000</v>
      </c>
      <c r="L48" s="72">
        <v>17977000</v>
      </c>
      <c r="M48" s="72">
        <v>16122000</v>
      </c>
      <c r="N48" s="72">
        <v>16122000</v>
      </c>
      <c r="O48" s="72">
        <v>31202000</v>
      </c>
      <c r="P48" s="72">
        <v>35867000</v>
      </c>
      <c r="Q48" s="72">
        <v>10102000</v>
      </c>
      <c r="R48" s="72">
        <v>18831000</v>
      </c>
      <c r="S48" s="72">
        <v>11106000</v>
      </c>
      <c r="T48" s="72">
        <v>24078000</v>
      </c>
      <c r="U48" s="72">
        <v>23622000</v>
      </c>
      <c r="V48" s="72">
        <v>13112000</v>
      </c>
      <c r="W48" s="72">
        <v>15621000</v>
      </c>
      <c r="X48" s="72">
        <v>30045000</v>
      </c>
      <c r="Y48" s="72">
        <v>32788000</v>
      </c>
      <c r="Z48" s="72">
        <v>17276000</v>
      </c>
      <c r="AA48" s="72">
        <v>15420000</v>
      </c>
      <c r="AB48" s="72">
        <v>15420000</v>
      </c>
      <c r="AC48" s="72">
        <v>30500000</v>
      </c>
      <c r="AD48" s="72">
        <v>35165000</v>
      </c>
    </row>
    <row r="49" spans="1:30" ht="20.25" x14ac:dyDescent="0.3">
      <c r="A49" s="10"/>
      <c r="B49" s="68" t="s">
        <v>289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</row>
    <row r="50" spans="1:30" ht="12.75" x14ac:dyDescent="0.2">
      <c r="A50" s="10">
        <v>1</v>
      </c>
      <c r="B50" s="51" t="s">
        <v>295</v>
      </c>
      <c r="C50" s="72">
        <v>5164000</v>
      </c>
      <c r="D50" s="72">
        <v>7804000</v>
      </c>
      <c r="E50" s="72">
        <v>5468000</v>
      </c>
      <c r="F50" s="72">
        <v>9390000</v>
      </c>
      <c r="G50" s="72">
        <v>9252000</v>
      </c>
      <c r="H50" s="72">
        <v>6075000</v>
      </c>
      <c r="I50" s="72">
        <v>6833000</v>
      </c>
      <c r="J50" s="72">
        <v>11194000</v>
      </c>
      <c r="K50" s="72">
        <v>12024000</v>
      </c>
      <c r="L50" s="72">
        <v>7333000</v>
      </c>
      <c r="M50" s="72">
        <v>6772000</v>
      </c>
      <c r="N50" s="72">
        <v>6772000</v>
      </c>
      <c r="O50" s="72">
        <v>11332000</v>
      </c>
      <c r="P50" s="72">
        <v>12743000</v>
      </c>
      <c r="Q50" s="72">
        <v>4204000</v>
      </c>
      <c r="R50" s="72">
        <v>6844000</v>
      </c>
      <c r="S50" s="72">
        <v>4508000</v>
      </c>
      <c r="T50" s="72">
        <v>8430000</v>
      </c>
      <c r="U50" s="72">
        <v>8292000</v>
      </c>
      <c r="V50" s="72">
        <v>5114000</v>
      </c>
      <c r="W50" s="72">
        <v>5873000</v>
      </c>
      <c r="X50" s="72">
        <v>10234000</v>
      </c>
      <c r="Y50" s="72">
        <v>11064000</v>
      </c>
      <c r="Z50" s="72">
        <v>6373000</v>
      </c>
      <c r="AA50" s="72">
        <v>5812000</v>
      </c>
      <c r="AB50" s="72">
        <v>5812000</v>
      </c>
      <c r="AC50" s="72">
        <v>10372000</v>
      </c>
      <c r="AD50" s="72">
        <v>11783000</v>
      </c>
    </row>
    <row r="51" spans="1:30" ht="12.75" x14ac:dyDescent="0.2">
      <c r="A51" s="10">
        <v>2</v>
      </c>
      <c r="B51" s="51" t="s">
        <v>391</v>
      </c>
      <c r="C51" s="72">
        <v>5599000</v>
      </c>
      <c r="D51" s="72">
        <v>8678000</v>
      </c>
      <c r="E51" s="72">
        <v>5953000</v>
      </c>
      <c r="F51" s="72">
        <v>10529000</v>
      </c>
      <c r="G51" s="72">
        <v>10368000</v>
      </c>
      <c r="H51" s="72">
        <v>6660000</v>
      </c>
      <c r="I51" s="72">
        <v>7545000</v>
      </c>
      <c r="J51" s="72">
        <v>12634000</v>
      </c>
      <c r="K51" s="72">
        <v>13601000</v>
      </c>
      <c r="L51" s="72">
        <v>8129000</v>
      </c>
      <c r="M51" s="72">
        <v>7474000</v>
      </c>
      <c r="N51" s="72">
        <v>7474000</v>
      </c>
      <c r="O51" s="72">
        <v>12794000</v>
      </c>
      <c r="P51" s="72">
        <v>14440000</v>
      </c>
      <c r="Q51" s="72">
        <v>4586000</v>
      </c>
      <c r="R51" s="72">
        <v>7665000</v>
      </c>
      <c r="S51" s="72">
        <v>4940000</v>
      </c>
      <c r="T51" s="72">
        <v>9516000</v>
      </c>
      <c r="U51" s="72">
        <v>9355000</v>
      </c>
      <c r="V51" s="72">
        <v>5647000</v>
      </c>
      <c r="W51" s="72">
        <v>6532000</v>
      </c>
      <c r="X51" s="72">
        <v>11621000</v>
      </c>
      <c r="Y51" s="72">
        <v>12588000</v>
      </c>
      <c r="Z51" s="72">
        <v>7116000</v>
      </c>
      <c r="AA51" s="72">
        <v>6461000</v>
      </c>
      <c r="AB51" s="72">
        <v>6461000</v>
      </c>
      <c r="AC51" s="72">
        <v>11781000</v>
      </c>
      <c r="AD51" s="72">
        <v>13427000</v>
      </c>
    </row>
    <row r="52" spans="1:30" ht="12.75" x14ac:dyDescent="0.2">
      <c r="A52" s="10">
        <v>3</v>
      </c>
      <c r="B52" s="51" t="s">
        <v>392</v>
      </c>
      <c r="C52" s="72">
        <v>6033000</v>
      </c>
      <c r="D52" s="72">
        <v>9552000</v>
      </c>
      <c r="E52" s="72">
        <v>6437000</v>
      </c>
      <c r="F52" s="72">
        <v>11667000</v>
      </c>
      <c r="G52" s="72">
        <v>11483000</v>
      </c>
      <c r="H52" s="72">
        <v>7246000</v>
      </c>
      <c r="I52" s="72">
        <v>8257000</v>
      </c>
      <c r="J52" s="72">
        <v>14073000</v>
      </c>
      <c r="K52" s="72">
        <v>15179000</v>
      </c>
      <c r="L52" s="72">
        <v>8925000</v>
      </c>
      <c r="M52" s="72">
        <v>8177000</v>
      </c>
      <c r="N52" s="72">
        <v>8177000</v>
      </c>
      <c r="O52" s="72">
        <v>14256000</v>
      </c>
      <c r="P52" s="72">
        <v>16137000</v>
      </c>
      <c r="Q52" s="72">
        <v>4967000</v>
      </c>
      <c r="R52" s="72">
        <v>8486000</v>
      </c>
      <c r="S52" s="72">
        <v>5372000</v>
      </c>
      <c r="T52" s="72">
        <v>10601000</v>
      </c>
      <c r="U52" s="72">
        <v>10418000</v>
      </c>
      <c r="V52" s="72">
        <v>6181000</v>
      </c>
      <c r="W52" s="72">
        <v>7192000</v>
      </c>
      <c r="X52" s="72">
        <v>13007000</v>
      </c>
      <c r="Y52" s="72">
        <v>14113000</v>
      </c>
      <c r="Z52" s="72">
        <v>7859000</v>
      </c>
      <c r="AA52" s="72">
        <v>7111000</v>
      </c>
      <c r="AB52" s="72">
        <v>7111000</v>
      </c>
      <c r="AC52" s="72">
        <v>13191000</v>
      </c>
      <c r="AD52" s="72">
        <v>15071000</v>
      </c>
    </row>
    <row r="53" spans="1:30" ht="12.75" x14ac:dyDescent="0.2">
      <c r="A53" s="10">
        <v>4</v>
      </c>
      <c r="B53" s="51" t="s">
        <v>393</v>
      </c>
      <c r="C53" s="72">
        <v>6467000</v>
      </c>
      <c r="D53" s="72">
        <v>10426000</v>
      </c>
      <c r="E53" s="72">
        <v>6922000</v>
      </c>
      <c r="F53" s="72">
        <v>12805000</v>
      </c>
      <c r="G53" s="72">
        <v>12599000</v>
      </c>
      <c r="H53" s="72">
        <v>7832000</v>
      </c>
      <c r="I53" s="72">
        <v>8970000</v>
      </c>
      <c r="J53" s="72">
        <v>15512000</v>
      </c>
      <c r="K53" s="72">
        <v>16756000</v>
      </c>
      <c r="L53" s="72">
        <v>9720000</v>
      </c>
      <c r="M53" s="72">
        <v>8879000</v>
      </c>
      <c r="N53" s="72">
        <v>8879000</v>
      </c>
      <c r="O53" s="72">
        <v>15718000</v>
      </c>
      <c r="P53" s="72">
        <v>17834000</v>
      </c>
      <c r="Q53" s="72">
        <v>5348000</v>
      </c>
      <c r="R53" s="72">
        <v>9307000</v>
      </c>
      <c r="S53" s="72">
        <v>5803000</v>
      </c>
      <c r="T53" s="72">
        <v>11687000</v>
      </c>
      <c r="U53" s="72">
        <v>11481000</v>
      </c>
      <c r="V53" s="72">
        <v>6714000</v>
      </c>
      <c r="W53" s="72">
        <v>7851000</v>
      </c>
      <c r="X53" s="72">
        <v>14394000</v>
      </c>
      <c r="Y53" s="72">
        <v>15638000</v>
      </c>
      <c r="Z53" s="72">
        <v>8602000</v>
      </c>
      <c r="AA53" s="72">
        <v>7760000</v>
      </c>
      <c r="AB53" s="72">
        <v>7760000</v>
      </c>
      <c r="AC53" s="72">
        <v>14600000</v>
      </c>
      <c r="AD53" s="72">
        <v>16716000</v>
      </c>
    </row>
    <row r="54" spans="1:30" ht="12.75" x14ac:dyDescent="0.2">
      <c r="A54" s="10">
        <v>5</v>
      </c>
      <c r="B54" s="51" t="s">
        <v>394</v>
      </c>
      <c r="C54" s="72">
        <v>6901000</v>
      </c>
      <c r="D54" s="72">
        <v>11300000</v>
      </c>
      <c r="E54" s="72">
        <v>7407000</v>
      </c>
      <c r="F54" s="72">
        <v>13944000</v>
      </c>
      <c r="G54" s="72">
        <v>13714000</v>
      </c>
      <c r="H54" s="72">
        <v>8418000</v>
      </c>
      <c r="I54" s="72">
        <v>9682000</v>
      </c>
      <c r="J54" s="72">
        <v>16951000</v>
      </c>
      <c r="K54" s="72">
        <v>18334000</v>
      </c>
      <c r="L54" s="72">
        <v>10516000</v>
      </c>
      <c r="M54" s="72">
        <v>9581000</v>
      </c>
      <c r="N54" s="72">
        <v>9581000</v>
      </c>
      <c r="O54" s="72">
        <v>17181000</v>
      </c>
      <c r="P54" s="72">
        <v>19532000</v>
      </c>
      <c r="Q54" s="72">
        <v>5730000</v>
      </c>
      <c r="R54" s="72">
        <v>10129000</v>
      </c>
      <c r="S54" s="72">
        <v>6235000</v>
      </c>
      <c r="T54" s="72">
        <v>12773000</v>
      </c>
      <c r="U54" s="72">
        <v>12543000</v>
      </c>
      <c r="V54" s="72">
        <v>7247000</v>
      </c>
      <c r="W54" s="72">
        <v>8511000</v>
      </c>
      <c r="X54" s="72">
        <v>15780000</v>
      </c>
      <c r="Y54" s="72">
        <v>17163000</v>
      </c>
      <c r="Z54" s="72">
        <v>9345000</v>
      </c>
      <c r="AA54" s="72">
        <v>8410000</v>
      </c>
      <c r="AB54" s="72">
        <v>8410000</v>
      </c>
      <c r="AC54" s="72">
        <v>16009000</v>
      </c>
      <c r="AD54" s="72">
        <v>18360000</v>
      </c>
    </row>
    <row r="55" spans="1:30" ht="12.75" x14ac:dyDescent="0.2">
      <c r="A55" s="10">
        <v>6</v>
      </c>
      <c r="B55" s="51" t="s">
        <v>395</v>
      </c>
      <c r="C55" s="72">
        <v>7335000</v>
      </c>
      <c r="D55" s="72">
        <v>12174000</v>
      </c>
      <c r="E55" s="72">
        <v>7891000</v>
      </c>
      <c r="F55" s="72">
        <v>15082000</v>
      </c>
      <c r="G55" s="72">
        <v>14830000</v>
      </c>
      <c r="H55" s="72">
        <v>9004000</v>
      </c>
      <c r="I55" s="72">
        <v>10394000</v>
      </c>
      <c r="J55" s="72">
        <v>18390000</v>
      </c>
      <c r="K55" s="72">
        <v>19911000</v>
      </c>
      <c r="L55" s="72">
        <v>11312000</v>
      </c>
      <c r="M55" s="72">
        <v>10283000</v>
      </c>
      <c r="N55" s="72">
        <v>10283000</v>
      </c>
      <c r="O55" s="72">
        <v>18643000</v>
      </c>
      <c r="P55" s="72">
        <v>21229000</v>
      </c>
      <c r="Q55" s="72">
        <v>6111000</v>
      </c>
      <c r="R55" s="72">
        <v>10950000</v>
      </c>
      <c r="S55" s="72">
        <v>6667000</v>
      </c>
      <c r="T55" s="72">
        <v>13858000</v>
      </c>
      <c r="U55" s="72">
        <v>13606000</v>
      </c>
      <c r="V55" s="72">
        <v>7780000</v>
      </c>
      <c r="W55" s="72">
        <v>9170000</v>
      </c>
      <c r="X55" s="72">
        <v>17166000</v>
      </c>
      <c r="Y55" s="72">
        <v>18687000</v>
      </c>
      <c r="Z55" s="72">
        <v>10088000</v>
      </c>
      <c r="AA55" s="72">
        <v>9059000</v>
      </c>
      <c r="AB55" s="72">
        <v>9059000</v>
      </c>
      <c r="AC55" s="72">
        <v>17419000</v>
      </c>
      <c r="AD55" s="72">
        <v>20005000</v>
      </c>
    </row>
    <row r="56" spans="1:30" ht="12.75" x14ac:dyDescent="0.2">
      <c r="A56" s="10">
        <v>7</v>
      </c>
      <c r="B56" s="51" t="s">
        <v>396</v>
      </c>
      <c r="C56" s="72">
        <v>7769000</v>
      </c>
      <c r="D56" s="72">
        <v>13048000</v>
      </c>
      <c r="E56" s="72">
        <v>8376000</v>
      </c>
      <c r="F56" s="72">
        <v>16221000</v>
      </c>
      <c r="G56" s="72">
        <v>15945000</v>
      </c>
      <c r="H56" s="72">
        <v>9590000</v>
      </c>
      <c r="I56" s="72">
        <v>11107000</v>
      </c>
      <c r="J56" s="72">
        <v>19830000</v>
      </c>
      <c r="K56" s="72">
        <v>21489000</v>
      </c>
      <c r="L56" s="72">
        <v>12107000</v>
      </c>
      <c r="M56" s="72">
        <v>10985000</v>
      </c>
      <c r="N56" s="72">
        <v>10985000</v>
      </c>
      <c r="O56" s="72">
        <v>20105000</v>
      </c>
      <c r="P56" s="72">
        <v>22926000</v>
      </c>
      <c r="Q56" s="72">
        <v>6493000</v>
      </c>
      <c r="R56" s="72">
        <v>11771000</v>
      </c>
      <c r="S56" s="72">
        <v>7099000</v>
      </c>
      <c r="T56" s="72">
        <v>14944000</v>
      </c>
      <c r="U56" s="72">
        <v>14669000</v>
      </c>
      <c r="V56" s="72">
        <v>8313000</v>
      </c>
      <c r="W56" s="72">
        <v>9830000</v>
      </c>
      <c r="X56" s="72">
        <v>18553000</v>
      </c>
      <c r="Y56" s="72">
        <v>20212000</v>
      </c>
      <c r="Z56" s="72">
        <v>10831000</v>
      </c>
      <c r="AA56" s="72">
        <v>9708000</v>
      </c>
      <c r="AB56" s="72">
        <v>9708000</v>
      </c>
      <c r="AC56" s="72">
        <v>18828000</v>
      </c>
      <c r="AD56" s="72">
        <v>21649000</v>
      </c>
    </row>
    <row r="57" spans="1:30" ht="12.75" x14ac:dyDescent="0.2">
      <c r="A57" s="10">
        <v>8</v>
      </c>
      <c r="B57" s="51" t="s">
        <v>397</v>
      </c>
      <c r="C57" s="72">
        <v>8204000</v>
      </c>
      <c r="D57" s="72">
        <v>13922000</v>
      </c>
      <c r="E57" s="72">
        <v>8861000</v>
      </c>
      <c r="F57" s="72">
        <v>17359000</v>
      </c>
      <c r="G57" s="72">
        <v>17061000</v>
      </c>
      <c r="H57" s="72">
        <v>10175000</v>
      </c>
      <c r="I57" s="72">
        <v>11819000</v>
      </c>
      <c r="J57" s="72">
        <v>21269000</v>
      </c>
      <c r="K57" s="72">
        <v>23066000</v>
      </c>
      <c r="L57" s="72">
        <v>12903000</v>
      </c>
      <c r="M57" s="72">
        <v>11687000</v>
      </c>
      <c r="N57" s="72">
        <v>11687000</v>
      </c>
      <c r="O57" s="72">
        <v>21567000</v>
      </c>
      <c r="P57" s="72">
        <v>24623000</v>
      </c>
      <c r="Q57" s="72">
        <v>6874000</v>
      </c>
      <c r="R57" s="72">
        <v>12593000</v>
      </c>
      <c r="S57" s="72">
        <v>7531000</v>
      </c>
      <c r="T57" s="72">
        <v>16030000</v>
      </c>
      <c r="U57" s="72">
        <v>15732000</v>
      </c>
      <c r="V57" s="72">
        <v>8846000</v>
      </c>
      <c r="W57" s="72">
        <v>10489000</v>
      </c>
      <c r="X57" s="72">
        <v>19939000</v>
      </c>
      <c r="Y57" s="72">
        <v>21737000</v>
      </c>
      <c r="Z57" s="72">
        <v>11574000</v>
      </c>
      <c r="AA57" s="72">
        <v>10358000</v>
      </c>
      <c r="AB57" s="72">
        <v>10358000</v>
      </c>
      <c r="AC57" s="72">
        <v>20237000</v>
      </c>
      <c r="AD57" s="72">
        <v>23294000</v>
      </c>
    </row>
    <row r="58" spans="1:30" ht="12.75" x14ac:dyDescent="0.2">
      <c r="A58" s="10">
        <v>9</v>
      </c>
      <c r="B58" s="51" t="s">
        <v>398</v>
      </c>
      <c r="C58" s="72">
        <v>8638000</v>
      </c>
      <c r="D58" s="72">
        <v>14796000</v>
      </c>
      <c r="E58" s="72">
        <v>9346000</v>
      </c>
      <c r="F58" s="72">
        <v>18498000</v>
      </c>
      <c r="G58" s="72">
        <v>18177000</v>
      </c>
      <c r="H58" s="72">
        <v>10761000</v>
      </c>
      <c r="I58" s="72">
        <v>12531000</v>
      </c>
      <c r="J58" s="72">
        <v>22708000</v>
      </c>
      <c r="K58" s="72">
        <v>24644000</v>
      </c>
      <c r="L58" s="72">
        <v>13699000</v>
      </c>
      <c r="M58" s="72">
        <v>12389000</v>
      </c>
      <c r="N58" s="72">
        <v>12389000</v>
      </c>
      <c r="O58" s="72">
        <v>23029000</v>
      </c>
      <c r="P58" s="72">
        <v>26320000</v>
      </c>
      <c r="Q58" s="72">
        <v>7255000</v>
      </c>
      <c r="R58" s="72">
        <v>13414000</v>
      </c>
      <c r="S58" s="72">
        <v>7963000</v>
      </c>
      <c r="T58" s="72">
        <v>17115000</v>
      </c>
      <c r="U58" s="72">
        <v>16794000</v>
      </c>
      <c r="V58" s="72">
        <v>9379000</v>
      </c>
      <c r="W58" s="72">
        <v>11149000</v>
      </c>
      <c r="X58" s="72">
        <v>21326000</v>
      </c>
      <c r="Y58" s="72">
        <v>23261000</v>
      </c>
      <c r="Z58" s="72">
        <v>12316000</v>
      </c>
      <c r="AA58" s="72">
        <v>11007000</v>
      </c>
      <c r="AB58" s="72">
        <v>11007000</v>
      </c>
      <c r="AC58" s="72">
        <v>21647000</v>
      </c>
      <c r="AD58" s="72">
        <v>24938000</v>
      </c>
    </row>
    <row r="59" spans="1:30" ht="12.75" x14ac:dyDescent="0.2">
      <c r="A59" s="10">
        <v>10</v>
      </c>
      <c r="B59" s="51" t="s">
        <v>399</v>
      </c>
      <c r="C59" s="72">
        <v>9072000</v>
      </c>
      <c r="D59" s="72">
        <v>15670000</v>
      </c>
      <c r="E59" s="72">
        <v>9830000</v>
      </c>
      <c r="F59" s="72">
        <v>19636000</v>
      </c>
      <c r="G59" s="72">
        <v>19292000</v>
      </c>
      <c r="H59" s="72">
        <v>11347000</v>
      </c>
      <c r="I59" s="72">
        <v>13243000</v>
      </c>
      <c r="J59" s="72">
        <v>24147000</v>
      </c>
      <c r="K59" s="72">
        <v>26221000</v>
      </c>
      <c r="L59" s="72">
        <v>14494000</v>
      </c>
      <c r="M59" s="72">
        <v>13092000</v>
      </c>
      <c r="N59" s="72">
        <v>13092000</v>
      </c>
      <c r="O59" s="72">
        <v>24491000</v>
      </c>
      <c r="P59" s="72">
        <v>28018000</v>
      </c>
      <c r="Q59" s="72">
        <v>7637000</v>
      </c>
      <c r="R59" s="72">
        <v>14235000</v>
      </c>
      <c r="S59" s="72">
        <v>8395000</v>
      </c>
      <c r="T59" s="72">
        <v>18201000</v>
      </c>
      <c r="U59" s="72">
        <v>17857000</v>
      </c>
      <c r="V59" s="72">
        <v>9912000</v>
      </c>
      <c r="W59" s="72">
        <v>11808000</v>
      </c>
      <c r="X59" s="72">
        <v>22712000</v>
      </c>
      <c r="Y59" s="72">
        <v>24786000</v>
      </c>
      <c r="Z59" s="72">
        <v>13059000</v>
      </c>
      <c r="AA59" s="72">
        <v>11657000</v>
      </c>
      <c r="AB59" s="72">
        <v>11657000</v>
      </c>
      <c r="AC59" s="72">
        <v>23056000</v>
      </c>
      <c r="AD59" s="72">
        <v>26583000</v>
      </c>
    </row>
    <row r="60" spans="1:30" ht="20.25" x14ac:dyDescent="0.3">
      <c r="A60" s="10"/>
      <c r="B60" s="68" t="s">
        <v>296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</row>
    <row r="61" spans="1:30" ht="12.75" x14ac:dyDescent="0.2">
      <c r="A61" s="10">
        <v>1</v>
      </c>
      <c r="B61" s="51" t="s">
        <v>302</v>
      </c>
      <c r="C61" s="72">
        <v>4834000</v>
      </c>
      <c r="D61" s="72">
        <v>7237000</v>
      </c>
      <c r="E61" s="72">
        <v>5110000</v>
      </c>
      <c r="F61" s="72">
        <v>8681000</v>
      </c>
      <c r="G61" s="72">
        <v>8556000</v>
      </c>
      <c r="H61" s="72">
        <v>5663000</v>
      </c>
      <c r="I61" s="72">
        <v>6353000</v>
      </c>
      <c r="J61" s="72">
        <v>10323000</v>
      </c>
      <c r="K61" s="72">
        <v>11079000</v>
      </c>
      <c r="L61" s="72">
        <v>6809000</v>
      </c>
      <c r="M61" s="72">
        <v>6298000</v>
      </c>
      <c r="N61" s="72">
        <v>6298000</v>
      </c>
      <c r="O61" s="72">
        <v>10449000</v>
      </c>
      <c r="P61" s="72">
        <v>11733000</v>
      </c>
      <c r="Q61" s="72">
        <v>3827000</v>
      </c>
      <c r="R61" s="72">
        <v>6230000</v>
      </c>
      <c r="S61" s="72">
        <v>4103000</v>
      </c>
      <c r="T61" s="72">
        <v>7674000</v>
      </c>
      <c r="U61" s="72">
        <v>7549000</v>
      </c>
      <c r="V61" s="72">
        <v>4656000</v>
      </c>
      <c r="W61" s="72">
        <v>5346000</v>
      </c>
      <c r="X61" s="72">
        <v>9316000</v>
      </c>
      <c r="Y61" s="72">
        <v>10072000</v>
      </c>
      <c r="Z61" s="72">
        <v>5802000</v>
      </c>
      <c r="AA61" s="72">
        <v>5291000</v>
      </c>
      <c r="AB61" s="72">
        <v>5291000</v>
      </c>
      <c r="AC61" s="72">
        <v>9442000</v>
      </c>
      <c r="AD61" s="72">
        <v>10726000</v>
      </c>
    </row>
    <row r="62" spans="1:30" ht="12.75" x14ac:dyDescent="0.2">
      <c r="A62" s="10">
        <v>2</v>
      </c>
      <c r="B62" s="51" t="s">
        <v>400</v>
      </c>
      <c r="C62" s="72">
        <v>5252000</v>
      </c>
      <c r="D62" s="72">
        <v>8055000</v>
      </c>
      <c r="E62" s="72">
        <v>5574000</v>
      </c>
      <c r="F62" s="72">
        <v>9739000</v>
      </c>
      <c r="G62" s="72">
        <v>9593000</v>
      </c>
      <c r="H62" s="72">
        <v>6218000</v>
      </c>
      <c r="I62" s="72">
        <v>7024000</v>
      </c>
      <c r="J62" s="72">
        <v>11656000</v>
      </c>
      <c r="K62" s="72">
        <v>12537000</v>
      </c>
      <c r="L62" s="72">
        <v>7555000</v>
      </c>
      <c r="M62" s="72">
        <v>6959000</v>
      </c>
      <c r="N62" s="72">
        <v>6959000</v>
      </c>
      <c r="O62" s="72">
        <v>11802000</v>
      </c>
      <c r="P62" s="72">
        <v>13300000</v>
      </c>
      <c r="Q62" s="72">
        <v>4174000</v>
      </c>
      <c r="R62" s="72">
        <v>6977000</v>
      </c>
      <c r="S62" s="72">
        <v>4497000</v>
      </c>
      <c r="T62" s="72">
        <v>8662000</v>
      </c>
      <c r="U62" s="72">
        <v>8516000</v>
      </c>
      <c r="V62" s="72">
        <v>5141000</v>
      </c>
      <c r="W62" s="72">
        <v>5946000</v>
      </c>
      <c r="X62" s="72">
        <v>10579000</v>
      </c>
      <c r="Y62" s="72">
        <v>11460000</v>
      </c>
      <c r="Z62" s="72">
        <v>6478000</v>
      </c>
      <c r="AA62" s="72">
        <v>5882000</v>
      </c>
      <c r="AB62" s="72">
        <v>5882000</v>
      </c>
      <c r="AC62" s="72">
        <v>10725000</v>
      </c>
      <c r="AD62" s="72">
        <v>12223000</v>
      </c>
    </row>
    <row r="63" spans="1:30" ht="12.75" x14ac:dyDescent="0.2">
      <c r="A63" s="10">
        <v>3</v>
      </c>
      <c r="B63" s="51" t="s">
        <v>401</v>
      </c>
      <c r="C63" s="72">
        <v>5669000</v>
      </c>
      <c r="D63" s="72">
        <v>8873000</v>
      </c>
      <c r="E63" s="72">
        <v>6037000</v>
      </c>
      <c r="F63" s="72">
        <v>10798000</v>
      </c>
      <c r="G63" s="72">
        <v>10631000</v>
      </c>
      <c r="H63" s="72">
        <v>6774000</v>
      </c>
      <c r="I63" s="72">
        <v>7694000</v>
      </c>
      <c r="J63" s="72">
        <v>12988000</v>
      </c>
      <c r="K63" s="72">
        <v>13995000</v>
      </c>
      <c r="L63" s="72">
        <v>8302000</v>
      </c>
      <c r="M63" s="72">
        <v>7621000</v>
      </c>
      <c r="N63" s="72">
        <v>7621000</v>
      </c>
      <c r="O63" s="72">
        <v>13155000</v>
      </c>
      <c r="P63" s="72">
        <v>14867000</v>
      </c>
      <c r="Q63" s="72">
        <v>4522000</v>
      </c>
      <c r="R63" s="72">
        <v>7725000</v>
      </c>
      <c r="S63" s="72">
        <v>4890000</v>
      </c>
      <c r="T63" s="72">
        <v>9651000</v>
      </c>
      <c r="U63" s="72">
        <v>9483000</v>
      </c>
      <c r="V63" s="72">
        <v>5626000</v>
      </c>
      <c r="W63" s="72">
        <v>6547000</v>
      </c>
      <c r="X63" s="72">
        <v>11841000</v>
      </c>
      <c r="Y63" s="72">
        <v>12847000</v>
      </c>
      <c r="Z63" s="72">
        <v>7154000</v>
      </c>
      <c r="AA63" s="72">
        <v>6473000</v>
      </c>
      <c r="AB63" s="72">
        <v>6473000</v>
      </c>
      <c r="AC63" s="72">
        <v>12008000</v>
      </c>
      <c r="AD63" s="72">
        <v>13720000</v>
      </c>
    </row>
    <row r="64" spans="1:30" ht="12.75" x14ac:dyDescent="0.2">
      <c r="A64" s="10">
        <v>4</v>
      </c>
      <c r="B64" s="51" t="s">
        <v>402</v>
      </c>
      <c r="C64" s="72">
        <v>6086000</v>
      </c>
      <c r="D64" s="72">
        <v>9690000</v>
      </c>
      <c r="E64" s="72">
        <v>6501000</v>
      </c>
      <c r="F64" s="72">
        <v>11856000</v>
      </c>
      <c r="G64" s="72">
        <v>11669000</v>
      </c>
      <c r="H64" s="72">
        <v>7329000</v>
      </c>
      <c r="I64" s="72">
        <v>8365000</v>
      </c>
      <c r="J64" s="72">
        <v>14320000</v>
      </c>
      <c r="K64" s="72">
        <v>15453000</v>
      </c>
      <c r="L64" s="72">
        <v>9048000</v>
      </c>
      <c r="M64" s="72">
        <v>8282000</v>
      </c>
      <c r="N64" s="72">
        <v>8282000</v>
      </c>
      <c r="O64" s="72">
        <v>14508000</v>
      </c>
      <c r="P64" s="72">
        <v>16434000</v>
      </c>
      <c r="Q64" s="72">
        <v>4869000</v>
      </c>
      <c r="R64" s="72">
        <v>8473000</v>
      </c>
      <c r="S64" s="72">
        <v>5283000</v>
      </c>
      <c r="T64" s="72">
        <v>10639000</v>
      </c>
      <c r="U64" s="72">
        <v>10451000</v>
      </c>
      <c r="V64" s="72">
        <v>6112000</v>
      </c>
      <c r="W64" s="72">
        <v>7147000</v>
      </c>
      <c r="X64" s="72">
        <v>13103000</v>
      </c>
      <c r="Y64" s="72">
        <v>14235000</v>
      </c>
      <c r="Z64" s="72">
        <v>7830000</v>
      </c>
      <c r="AA64" s="72">
        <v>7064000</v>
      </c>
      <c r="AB64" s="72">
        <v>7064000</v>
      </c>
      <c r="AC64" s="72">
        <v>13291000</v>
      </c>
      <c r="AD64" s="72">
        <v>15217000</v>
      </c>
    </row>
    <row r="65" spans="1:30" ht="12.75" x14ac:dyDescent="0.2">
      <c r="A65" s="10">
        <v>5</v>
      </c>
      <c r="B65" s="51" t="s">
        <v>403</v>
      </c>
      <c r="C65" s="72">
        <v>6504000</v>
      </c>
      <c r="D65" s="72">
        <v>10508000</v>
      </c>
      <c r="E65" s="72">
        <v>6964000</v>
      </c>
      <c r="F65" s="72">
        <v>12915000</v>
      </c>
      <c r="G65" s="72">
        <v>12706000</v>
      </c>
      <c r="H65" s="72">
        <v>7885000</v>
      </c>
      <c r="I65" s="72">
        <v>9035000</v>
      </c>
      <c r="J65" s="72">
        <v>15653000</v>
      </c>
      <c r="K65" s="72">
        <v>16911000</v>
      </c>
      <c r="L65" s="72">
        <v>9795000</v>
      </c>
      <c r="M65" s="72">
        <v>8943000</v>
      </c>
      <c r="N65" s="72">
        <v>8943000</v>
      </c>
      <c r="O65" s="72">
        <v>15861000</v>
      </c>
      <c r="P65" s="72">
        <v>18002000</v>
      </c>
      <c r="Q65" s="72">
        <v>5216000</v>
      </c>
      <c r="R65" s="72">
        <v>9220000</v>
      </c>
      <c r="S65" s="72">
        <v>5676000</v>
      </c>
      <c r="T65" s="72">
        <v>11627000</v>
      </c>
      <c r="U65" s="72">
        <v>11418000</v>
      </c>
      <c r="V65" s="72">
        <v>6597000</v>
      </c>
      <c r="W65" s="72">
        <v>7748000</v>
      </c>
      <c r="X65" s="72">
        <v>14365000</v>
      </c>
      <c r="Y65" s="72">
        <v>15623000</v>
      </c>
      <c r="Z65" s="72">
        <v>8507000</v>
      </c>
      <c r="AA65" s="72">
        <v>7655000</v>
      </c>
      <c r="AB65" s="72">
        <v>7655000</v>
      </c>
      <c r="AC65" s="72">
        <v>14574000</v>
      </c>
      <c r="AD65" s="72">
        <v>16714000</v>
      </c>
    </row>
    <row r="66" spans="1:30" ht="12.75" x14ac:dyDescent="0.2">
      <c r="A66" s="10">
        <v>6</v>
      </c>
      <c r="B66" s="51" t="s">
        <v>404</v>
      </c>
      <c r="C66" s="72">
        <v>6921000</v>
      </c>
      <c r="D66" s="72">
        <v>11326000</v>
      </c>
      <c r="E66" s="72">
        <v>7427000</v>
      </c>
      <c r="F66" s="72">
        <v>13973000</v>
      </c>
      <c r="G66" s="72">
        <v>13744000</v>
      </c>
      <c r="H66" s="72">
        <v>8440000</v>
      </c>
      <c r="I66" s="72">
        <v>9706000</v>
      </c>
      <c r="J66" s="72">
        <v>16985000</v>
      </c>
      <c r="K66" s="72">
        <v>18369000</v>
      </c>
      <c r="L66" s="72">
        <v>10541000</v>
      </c>
      <c r="M66" s="72">
        <v>9605000</v>
      </c>
      <c r="N66" s="72">
        <v>9605000</v>
      </c>
      <c r="O66" s="72">
        <v>17214000</v>
      </c>
      <c r="P66" s="72">
        <v>19569000</v>
      </c>
      <c r="Q66" s="72">
        <v>5563000</v>
      </c>
      <c r="R66" s="72">
        <v>9968000</v>
      </c>
      <c r="S66" s="72">
        <v>6069000</v>
      </c>
      <c r="T66" s="72">
        <v>12615000</v>
      </c>
      <c r="U66" s="72">
        <v>12386000</v>
      </c>
      <c r="V66" s="72">
        <v>7082000</v>
      </c>
      <c r="W66" s="72">
        <v>8348000</v>
      </c>
      <c r="X66" s="72">
        <v>15627000</v>
      </c>
      <c r="Y66" s="72">
        <v>17011000</v>
      </c>
      <c r="Z66" s="72">
        <v>9183000</v>
      </c>
      <c r="AA66" s="72">
        <v>8247000</v>
      </c>
      <c r="AB66" s="72">
        <v>8247000</v>
      </c>
      <c r="AC66" s="72">
        <v>15857000</v>
      </c>
      <c r="AD66" s="72">
        <v>18211000</v>
      </c>
    </row>
    <row r="67" spans="1:30" ht="12.75" x14ac:dyDescent="0.2">
      <c r="A67" s="10">
        <v>7</v>
      </c>
      <c r="B67" s="51" t="s">
        <v>405</v>
      </c>
      <c r="C67" s="72">
        <v>7339000</v>
      </c>
      <c r="D67" s="72">
        <v>12144000</v>
      </c>
      <c r="E67" s="72">
        <v>7891000</v>
      </c>
      <c r="F67" s="72">
        <v>15032000</v>
      </c>
      <c r="G67" s="72">
        <v>14781000</v>
      </c>
      <c r="H67" s="72">
        <v>8996000</v>
      </c>
      <c r="I67" s="72">
        <v>10376000</v>
      </c>
      <c r="J67" s="72">
        <v>18317000</v>
      </c>
      <c r="K67" s="72">
        <v>19827000</v>
      </c>
      <c r="L67" s="72">
        <v>11287000</v>
      </c>
      <c r="M67" s="72">
        <v>10266000</v>
      </c>
      <c r="N67" s="72">
        <v>10266000</v>
      </c>
      <c r="O67" s="72">
        <v>18568000</v>
      </c>
      <c r="P67" s="72">
        <v>21136000</v>
      </c>
      <c r="Q67" s="72">
        <v>5910000</v>
      </c>
      <c r="R67" s="72">
        <v>10716000</v>
      </c>
      <c r="S67" s="72">
        <v>6463000</v>
      </c>
      <c r="T67" s="72">
        <v>13604000</v>
      </c>
      <c r="U67" s="72">
        <v>13353000</v>
      </c>
      <c r="V67" s="72">
        <v>7567000</v>
      </c>
      <c r="W67" s="72">
        <v>8948000</v>
      </c>
      <c r="X67" s="72">
        <v>16889000</v>
      </c>
      <c r="Y67" s="72">
        <v>18399000</v>
      </c>
      <c r="Z67" s="72">
        <v>9859000</v>
      </c>
      <c r="AA67" s="72">
        <v>8838000</v>
      </c>
      <c r="AB67" s="72">
        <v>8838000</v>
      </c>
      <c r="AC67" s="72">
        <v>17139000</v>
      </c>
      <c r="AD67" s="72">
        <v>19708000</v>
      </c>
    </row>
    <row r="68" spans="1:30" ht="12.75" x14ac:dyDescent="0.2">
      <c r="A68" s="10">
        <v>8</v>
      </c>
      <c r="B68" s="51" t="s">
        <v>406</v>
      </c>
      <c r="C68" s="72">
        <v>7756000</v>
      </c>
      <c r="D68" s="72">
        <v>12962000</v>
      </c>
      <c r="E68" s="72">
        <v>8354000</v>
      </c>
      <c r="F68" s="72">
        <v>16090000</v>
      </c>
      <c r="G68" s="72">
        <v>15819000</v>
      </c>
      <c r="H68" s="72">
        <v>9551000</v>
      </c>
      <c r="I68" s="72">
        <v>11047000</v>
      </c>
      <c r="J68" s="72">
        <v>19649000</v>
      </c>
      <c r="K68" s="72">
        <v>21285000</v>
      </c>
      <c r="L68" s="72">
        <v>12034000</v>
      </c>
      <c r="M68" s="72">
        <v>10927000</v>
      </c>
      <c r="N68" s="72">
        <v>10927000</v>
      </c>
      <c r="O68" s="72">
        <v>19921000</v>
      </c>
      <c r="P68" s="72">
        <v>22703000</v>
      </c>
      <c r="Q68" s="72">
        <v>6258000</v>
      </c>
      <c r="R68" s="72">
        <v>11463000</v>
      </c>
      <c r="S68" s="72">
        <v>6856000</v>
      </c>
      <c r="T68" s="72">
        <v>14592000</v>
      </c>
      <c r="U68" s="72">
        <v>14321000</v>
      </c>
      <c r="V68" s="72">
        <v>8053000</v>
      </c>
      <c r="W68" s="72">
        <v>9549000</v>
      </c>
      <c r="X68" s="72">
        <v>18151000</v>
      </c>
      <c r="Y68" s="72">
        <v>19787000</v>
      </c>
      <c r="Z68" s="72">
        <v>10536000</v>
      </c>
      <c r="AA68" s="72">
        <v>9429000</v>
      </c>
      <c r="AB68" s="72">
        <v>9429000</v>
      </c>
      <c r="AC68" s="72">
        <v>18422000</v>
      </c>
      <c r="AD68" s="72">
        <v>21205000</v>
      </c>
    </row>
    <row r="69" spans="1:30" ht="12.75" x14ac:dyDescent="0.2">
      <c r="A69" s="10">
        <v>9</v>
      </c>
      <c r="B69" s="51" t="s">
        <v>407</v>
      </c>
      <c r="C69" s="72">
        <v>8173000</v>
      </c>
      <c r="D69" s="72">
        <v>13780000</v>
      </c>
      <c r="E69" s="72">
        <v>8818000</v>
      </c>
      <c r="F69" s="72">
        <v>17149000</v>
      </c>
      <c r="G69" s="72">
        <v>16857000</v>
      </c>
      <c r="H69" s="72">
        <v>10106000</v>
      </c>
      <c r="I69" s="72">
        <v>11717000</v>
      </c>
      <c r="J69" s="72">
        <v>20982000</v>
      </c>
      <c r="K69" s="72">
        <v>22744000</v>
      </c>
      <c r="L69" s="72">
        <v>12780000</v>
      </c>
      <c r="M69" s="72">
        <v>11589000</v>
      </c>
      <c r="N69" s="72">
        <v>11589000</v>
      </c>
      <c r="O69" s="72">
        <v>21274000</v>
      </c>
      <c r="P69" s="72">
        <v>24270000</v>
      </c>
      <c r="Q69" s="72">
        <v>6605000</v>
      </c>
      <c r="R69" s="72">
        <v>12211000</v>
      </c>
      <c r="S69" s="72">
        <v>7249000</v>
      </c>
      <c r="T69" s="72">
        <v>15580000</v>
      </c>
      <c r="U69" s="72">
        <v>15288000</v>
      </c>
      <c r="V69" s="72">
        <v>8538000</v>
      </c>
      <c r="W69" s="72">
        <v>10149000</v>
      </c>
      <c r="X69" s="72">
        <v>19413000</v>
      </c>
      <c r="Y69" s="72">
        <v>21175000</v>
      </c>
      <c r="Z69" s="72">
        <v>11212000</v>
      </c>
      <c r="AA69" s="72">
        <v>10020000</v>
      </c>
      <c r="AB69" s="72">
        <v>10020000</v>
      </c>
      <c r="AC69" s="72">
        <v>19705000</v>
      </c>
      <c r="AD69" s="72">
        <v>22702000</v>
      </c>
    </row>
    <row r="70" spans="1:30" ht="12.75" x14ac:dyDescent="0.2">
      <c r="A70" s="10">
        <v>10</v>
      </c>
      <c r="B70" s="51" t="s">
        <v>408</v>
      </c>
      <c r="C70" s="72">
        <v>8591000</v>
      </c>
      <c r="D70" s="72">
        <v>14597000</v>
      </c>
      <c r="E70" s="72">
        <v>9281000</v>
      </c>
      <c r="F70" s="72">
        <v>18207000</v>
      </c>
      <c r="G70" s="72">
        <v>17894000</v>
      </c>
      <c r="H70" s="72">
        <v>10662000</v>
      </c>
      <c r="I70" s="72">
        <v>12388000</v>
      </c>
      <c r="J70" s="72">
        <v>22314000</v>
      </c>
      <c r="K70" s="72">
        <v>24202000</v>
      </c>
      <c r="L70" s="72">
        <v>13527000</v>
      </c>
      <c r="M70" s="72">
        <v>12250000</v>
      </c>
      <c r="N70" s="72">
        <v>12250000</v>
      </c>
      <c r="O70" s="72">
        <v>22627000</v>
      </c>
      <c r="P70" s="72">
        <v>25837000</v>
      </c>
      <c r="Q70" s="72">
        <v>6952000</v>
      </c>
      <c r="R70" s="72">
        <v>12959000</v>
      </c>
      <c r="S70" s="72">
        <v>7642000</v>
      </c>
      <c r="T70" s="72">
        <v>16569000</v>
      </c>
      <c r="U70" s="72">
        <v>16256000</v>
      </c>
      <c r="V70" s="72">
        <v>9023000</v>
      </c>
      <c r="W70" s="72">
        <v>10749000</v>
      </c>
      <c r="X70" s="72">
        <v>20675000</v>
      </c>
      <c r="Y70" s="72">
        <v>22563000</v>
      </c>
      <c r="Z70" s="72">
        <v>11888000</v>
      </c>
      <c r="AA70" s="72">
        <v>10611000</v>
      </c>
      <c r="AB70" s="72">
        <v>10611000</v>
      </c>
      <c r="AC70" s="72">
        <v>20988000</v>
      </c>
      <c r="AD70" s="72">
        <v>24199000</v>
      </c>
    </row>
  </sheetData>
  <mergeCells count="32"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1:B1"/>
    <mergeCell ref="C1:P1"/>
    <mergeCell ref="Q1:AD1"/>
    <mergeCell ref="A2:B2"/>
    <mergeCell ref="C2:C4"/>
    <mergeCell ref="D2:D4"/>
    <mergeCell ref="E2:E4"/>
    <mergeCell ref="AD2:AD4"/>
    <mergeCell ref="F2:F4"/>
    <mergeCell ref="G2:G4"/>
    <mergeCell ref="H2:H4"/>
    <mergeCell ref="I2:I4"/>
    <mergeCell ref="J2:J4"/>
    <mergeCell ref="K2:K4"/>
    <mergeCell ref="L2:L4"/>
    <mergeCell ref="M2:M4"/>
    <mergeCell ref="S2:S4"/>
    <mergeCell ref="N2:N4"/>
    <mergeCell ref="O2:O4"/>
    <mergeCell ref="P2:P4"/>
    <mergeCell ref="Q2:Q4"/>
    <mergeCell ref="R2:R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D7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" sqref="A3:B3"/>
    </sheetView>
  </sheetViews>
  <sheetFormatPr defaultColWidth="12.5703125" defaultRowHeight="15.75" customHeight="1" x14ac:dyDescent="0.2"/>
  <cols>
    <col min="1" max="1" width="5.7109375" customWidth="1"/>
    <col min="2" max="2" width="37.42578125" customWidth="1"/>
  </cols>
  <sheetData>
    <row r="1" spans="1:82" ht="15.75" customHeight="1" x14ac:dyDescent="0.4">
      <c r="A1" s="273" t="s">
        <v>409</v>
      </c>
      <c r="B1" s="271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</row>
    <row r="2" spans="1:82" ht="15.75" customHeight="1" x14ac:dyDescent="0.3">
      <c r="A2" s="306" t="s">
        <v>410</v>
      </c>
      <c r="B2" s="271"/>
      <c r="C2" s="274" t="s">
        <v>1</v>
      </c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</row>
    <row r="3" spans="1:82" ht="15.75" customHeight="1" x14ac:dyDescent="0.25">
      <c r="A3" s="307" t="s">
        <v>411</v>
      </c>
      <c r="B3" s="271"/>
      <c r="C3" s="298" t="s">
        <v>412</v>
      </c>
      <c r="D3" s="299"/>
      <c r="E3" s="298" t="s">
        <v>4</v>
      </c>
      <c r="F3" s="299"/>
      <c r="G3" s="298" t="s">
        <v>5</v>
      </c>
      <c r="H3" s="299"/>
      <c r="I3" s="298" t="s">
        <v>6</v>
      </c>
      <c r="J3" s="299"/>
      <c r="K3" s="298" t="s">
        <v>7</v>
      </c>
      <c r="L3" s="299"/>
      <c r="M3" s="298" t="s">
        <v>8</v>
      </c>
      <c r="N3" s="299"/>
      <c r="O3" s="298" t="s">
        <v>9</v>
      </c>
      <c r="P3" s="299"/>
      <c r="Q3" s="298" t="s">
        <v>10</v>
      </c>
      <c r="R3" s="299"/>
      <c r="S3" s="298" t="s">
        <v>11</v>
      </c>
      <c r="T3" s="299"/>
      <c r="U3" s="304" t="s">
        <v>12</v>
      </c>
      <c r="V3" s="305"/>
      <c r="W3" s="304" t="s">
        <v>13</v>
      </c>
      <c r="X3" s="305"/>
      <c r="Y3" s="304" t="s">
        <v>14</v>
      </c>
      <c r="Z3" s="305"/>
      <c r="AA3" s="304" t="s">
        <v>15</v>
      </c>
      <c r="AB3" s="305"/>
      <c r="AC3" s="304" t="s">
        <v>16</v>
      </c>
      <c r="AD3" s="305"/>
      <c r="AE3" s="304" t="s">
        <v>17</v>
      </c>
      <c r="AF3" s="305"/>
      <c r="AG3" s="304" t="s">
        <v>18</v>
      </c>
      <c r="AH3" s="305"/>
      <c r="AI3" s="304" t="s">
        <v>19</v>
      </c>
      <c r="AJ3" s="305"/>
      <c r="AK3" s="304" t="s">
        <v>20</v>
      </c>
      <c r="AL3" s="305"/>
      <c r="AM3" s="304" t="s">
        <v>21</v>
      </c>
      <c r="AN3" s="305"/>
      <c r="AO3" s="304" t="s">
        <v>22</v>
      </c>
      <c r="AP3" s="305"/>
      <c r="AQ3" s="304" t="s">
        <v>23</v>
      </c>
      <c r="AR3" s="305"/>
      <c r="AS3" s="304" t="s">
        <v>24</v>
      </c>
      <c r="AT3" s="305"/>
      <c r="AU3" s="304" t="s">
        <v>25</v>
      </c>
      <c r="AV3" s="305"/>
      <c r="AW3" s="304" t="s">
        <v>26</v>
      </c>
      <c r="AX3" s="305"/>
      <c r="AY3" s="304" t="s">
        <v>27</v>
      </c>
      <c r="AZ3" s="305"/>
      <c r="BA3" s="304" t="s">
        <v>28</v>
      </c>
      <c r="BB3" s="305"/>
      <c r="BC3" s="304" t="s">
        <v>29</v>
      </c>
      <c r="BD3" s="305"/>
      <c r="BE3" s="304" t="s">
        <v>30</v>
      </c>
      <c r="BF3" s="305"/>
      <c r="BG3" s="304" t="s">
        <v>31</v>
      </c>
      <c r="BH3" s="305"/>
      <c r="BI3" s="304" t="s">
        <v>32</v>
      </c>
      <c r="BJ3" s="305"/>
      <c r="BK3" s="304" t="s">
        <v>33</v>
      </c>
      <c r="BL3" s="305"/>
      <c r="BM3" s="304" t="s">
        <v>34</v>
      </c>
      <c r="BN3" s="305"/>
      <c r="BO3" s="304" t="s">
        <v>182</v>
      </c>
      <c r="BP3" s="305"/>
      <c r="BQ3" s="304" t="s">
        <v>183</v>
      </c>
      <c r="BR3" s="305"/>
      <c r="BS3" s="304" t="s">
        <v>184</v>
      </c>
      <c r="BT3" s="305"/>
      <c r="BU3" s="304" t="s">
        <v>38</v>
      </c>
      <c r="BV3" s="305"/>
      <c r="BW3" s="304" t="s">
        <v>39</v>
      </c>
      <c r="BX3" s="305"/>
      <c r="BY3" s="304" t="s">
        <v>40</v>
      </c>
      <c r="BZ3" s="305"/>
      <c r="CA3" s="304" t="s">
        <v>41</v>
      </c>
      <c r="CB3" s="305"/>
      <c r="CC3" s="304" t="s">
        <v>42</v>
      </c>
      <c r="CD3" s="305"/>
    </row>
    <row r="4" spans="1:82" ht="12.75" x14ac:dyDescent="0.2">
      <c r="A4" s="300" t="s">
        <v>413</v>
      </c>
      <c r="B4" s="301" t="s">
        <v>266</v>
      </c>
      <c r="C4" s="303" t="s">
        <v>414</v>
      </c>
      <c r="D4" s="297" t="s">
        <v>415</v>
      </c>
      <c r="E4" s="296" t="s">
        <v>414</v>
      </c>
      <c r="F4" s="297" t="s">
        <v>415</v>
      </c>
      <c r="G4" s="296" t="s">
        <v>414</v>
      </c>
      <c r="H4" s="297" t="s">
        <v>415</v>
      </c>
      <c r="I4" s="296" t="s">
        <v>414</v>
      </c>
      <c r="J4" s="297" t="s">
        <v>415</v>
      </c>
      <c r="K4" s="296" t="s">
        <v>414</v>
      </c>
      <c r="L4" s="297" t="s">
        <v>415</v>
      </c>
      <c r="M4" s="296" t="s">
        <v>414</v>
      </c>
      <c r="N4" s="297" t="s">
        <v>415</v>
      </c>
      <c r="O4" s="296" t="s">
        <v>414</v>
      </c>
      <c r="P4" s="297" t="s">
        <v>415</v>
      </c>
      <c r="Q4" s="296" t="s">
        <v>414</v>
      </c>
      <c r="R4" s="297" t="s">
        <v>415</v>
      </c>
      <c r="S4" s="296" t="s">
        <v>414</v>
      </c>
      <c r="T4" s="297" t="s">
        <v>415</v>
      </c>
      <c r="U4" s="296" t="s">
        <v>414</v>
      </c>
      <c r="V4" s="297" t="s">
        <v>415</v>
      </c>
      <c r="W4" s="296" t="s">
        <v>414</v>
      </c>
      <c r="X4" s="297" t="s">
        <v>415</v>
      </c>
      <c r="Y4" s="296" t="s">
        <v>414</v>
      </c>
      <c r="Z4" s="297" t="s">
        <v>415</v>
      </c>
      <c r="AA4" s="296" t="s">
        <v>414</v>
      </c>
      <c r="AB4" s="297" t="s">
        <v>415</v>
      </c>
      <c r="AC4" s="296" t="s">
        <v>414</v>
      </c>
      <c r="AD4" s="297" t="s">
        <v>415</v>
      </c>
      <c r="AE4" s="296" t="s">
        <v>414</v>
      </c>
      <c r="AF4" s="297" t="s">
        <v>415</v>
      </c>
      <c r="AG4" s="296" t="s">
        <v>414</v>
      </c>
      <c r="AH4" s="297" t="s">
        <v>415</v>
      </c>
      <c r="AI4" s="296" t="s">
        <v>414</v>
      </c>
      <c r="AJ4" s="297" t="s">
        <v>415</v>
      </c>
      <c r="AK4" s="296" t="s">
        <v>414</v>
      </c>
      <c r="AL4" s="297" t="s">
        <v>415</v>
      </c>
      <c r="AM4" s="296" t="s">
        <v>414</v>
      </c>
      <c r="AN4" s="297" t="s">
        <v>415</v>
      </c>
      <c r="AO4" s="296" t="s">
        <v>414</v>
      </c>
      <c r="AP4" s="297" t="s">
        <v>415</v>
      </c>
      <c r="AQ4" s="296" t="s">
        <v>414</v>
      </c>
      <c r="AR4" s="297" t="s">
        <v>415</v>
      </c>
      <c r="AS4" s="296" t="s">
        <v>414</v>
      </c>
      <c r="AT4" s="297" t="s">
        <v>415</v>
      </c>
      <c r="AU4" s="296" t="s">
        <v>414</v>
      </c>
      <c r="AV4" s="297" t="s">
        <v>415</v>
      </c>
      <c r="AW4" s="296" t="s">
        <v>414</v>
      </c>
      <c r="AX4" s="297" t="s">
        <v>415</v>
      </c>
      <c r="AY4" s="296" t="s">
        <v>414</v>
      </c>
      <c r="AZ4" s="297" t="s">
        <v>415</v>
      </c>
      <c r="BA4" s="296" t="s">
        <v>414</v>
      </c>
      <c r="BB4" s="297" t="s">
        <v>415</v>
      </c>
      <c r="BC4" s="296" t="s">
        <v>414</v>
      </c>
      <c r="BD4" s="297" t="s">
        <v>415</v>
      </c>
      <c r="BE4" s="296" t="s">
        <v>414</v>
      </c>
      <c r="BF4" s="297" t="s">
        <v>415</v>
      </c>
      <c r="BG4" s="296" t="s">
        <v>414</v>
      </c>
      <c r="BH4" s="297" t="s">
        <v>415</v>
      </c>
      <c r="BI4" s="296" t="s">
        <v>414</v>
      </c>
      <c r="BJ4" s="297" t="s">
        <v>415</v>
      </c>
      <c r="BK4" s="296" t="s">
        <v>414</v>
      </c>
      <c r="BL4" s="297" t="s">
        <v>415</v>
      </c>
      <c r="BM4" s="296" t="s">
        <v>414</v>
      </c>
      <c r="BN4" s="297" t="s">
        <v>415</v>
      </c>
      <c r="BO4" s="296" t="s">
        <v>414</v>
      </c>
      <c r="BP4" s="297" t="s">
        <v>415</v>
      </c>
      <c r="BQ4" s="296" t="s">
        <v>414</v>
      </c>
      <c r="BR4" s="297" t="s">
        <v>415</v>
      </c>
      <c r="BS4" s="296" t="s">
        <v>414</v>
      </c>
      <c r="BT4" s="297" t="s">
        <v>415</v>
      </c>
      <c r="BU4" s="296" t="s">
        <v>414</v>
      </c>
      <c r="BV4" s="297" t="s">
        <v>415</v>
      </c>
      <c r="BW4" s="296" t="s">
        <v>414</v>
      </c>
      <c r="BX4" s="297" t="s">
        <v>415</v>
      </c>
      <c r="BY4" s="296" t="s">
        <v>414</v>
      </c>
      <c r="BZ4" s="297" t="s">
        <v>415</v>
      </c>
      <c r="CA4" s="296" t="s">
        <v>414</v>
      </c>
      <c r="CB4" s="297" t="s">
        <v>415</v>
      </c>
      <c r="CC4" s="296" t="s">
        <v>414</v>
      </c>
      <c r="CD4" s="297" t="s">
        <v>415</v>
      </c>
    </row>
    <row r="5" spans="1:82" ht="12.75" x14ac:dyDescent="0.2">
      <c r="A5" s="269"/>
      <c r="B5" s="302"/>
      <c r="C5" s="269"/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  <c r="AA5" s="277"/>
      <c r="AB5" s="277"/>
      <c r="AC5" s="277"/>
      <c r="AD5" s="277"/>
      <c r="AE5" s="277"/>
      <c r="AF5" s="277"/>
      <c r="AG5" s="277"/>
      <c r="AH5" s="277"/>
      <c r="AI5" s="277"/>
      <c r="AJ5" s="277"/>
      <c r="AK5" s="277"/>
      <c r="AL5" s="277"/>
      <c r="AM5" s="277"/>
      <c r="AN5" s="277"/>
      <c r="AO5" s="277"/>
      <c r="AP5" s="277"/>
      <c r="AQ5" s="277"/>
      <c r="AR5" s="277"/>
      <c r="AS5" s="277"/>
      <c r="AT5" s="277"/>
      <c r="AU5" s="277"/>
      <c r="AV5" s="277"/>
      <c r="AW5" s="277"/>
      <c r="AX5" s="277"/>
      <c r="AY5" s="277"/>
      <c r="AZ5" s="277"/>
      <c r="BA5" s="277"/>
      <c r="BB5" s="277"/>
      <c r="BC5" s="277"/>
      <c r="BD5" s="277"/>
      <c r="BE5" s="277"/>
      <c r="BF5" s="277"/>
      <c r="BG5" s="277"/>
      <c r="BH5" s="277"/>
      <c r="BI5" s="277"/>
      <c r="BJ5" s="277"/>
      <c r="BK5" s="277"/>
      <c r="BL5" s="277"/>
      <c r="BM5" s="277"/>
      <c r="BN5" s="277"/>
      <c r="BO5" s="277"/>
      <c r="BP5" s="277"/>
      <c r="BQ5" s="277"/>
      <c r="BR5" s="277"/>
      <c r="BS5" s="277"/>
      <c r="BT5" s="277"/>
      <c r="BU5" s="277"/>
      <c r="BV5" s="277"/>
      <c r="BW5" s="277"/>
      <c r="BX5" s="277"/>
      <c r="BY5" s="277"/>
      <c r="BZ5" s="277"/>
      <c r="CA5" s="277"/>
      <c r="CB5" s="277"/>
      <c r="CC5" s="277"/>
      <c r="CD5" s="277"/>
    </row>
    <row r="6" spans="1:82" ht="15.75" customHeight="1" x14ac:dyDescent="0.3">
      <c r="A6" s="74"/>
      <c r="B6" s="75" t="s">
        <v>416</v>
      </c>
      <c r="C6" s="76"/>
      <c r="D6" s="77"/>
      <c r="E6" s="78"/>
      <c r="F6" s="77"/>
      <c r="G6" s="78"/>
      <c r="H6" s="77"/>
      <c r="I6" s="78"/>
      <c r="J6" s="77"/>
      <c r="K6" s="78"/>
      <c r="L6" s="77"/>
      <c r="M6" s="78"/>
      <c r="N6" s="77"/>
      <c r="O6" s="78"/>
      <c r="P6" s="77"/>
      <c r="Q6" s="78"/>
      <c r="R6" s="77"/>
      <c r="S6" s="78"/>
      <c r="T6" s="77"/>
      <c r="U6" s="78"/>
      <c r="V6" s="77"/>
      <c r="W6" s="78"/>
      <c r="X6" s="77"/>
      <c r="Y6" s="78"/>
      <c r="Z6" s="77"/>
      <c r="AA6" s="78"/>
      <c r="AB6" s="77"/>
      <c r="AC6" s="78"/>
      <c r="AD6" s="77"/>
      <c r="AE6" s="78"/>
      <c r="AF6" s="77"/>
      <c r="AG6" s="78"/>
      <c r="AH6" s="77"/>
      <c r="AI6" s="78"/>
      <c r="AJ6" s="77"/>
      <c r="AK6" s="78"/>
      <c r="AL6" s="77"/>
      <c r="AM6" s="78"/>
      <c r="AN6" s="77"/>
      <c r="AO6" s="78"/>
      <c r="AP6" s="77"/>
      <c r="AQ6" s="78"/>
      <c r="AR6" s="77"/>
      <c r="AS6" s="78"/>
      <c r="AT6" s="77"/>
      <c r="AU6" s="78"/>
      <c r="AV6" s="77"/>
      <c r="AW6" s="78"/>
      <c r="AX6" s="77"/>
      <c r="AY6" s="78"/>
      <c r="AZ6" s="77"/>
      <c r="BA6" s="78"/>
      <c r="BB6" s="77"/>
      <c r="BC6" s="78"/>
      <c r="BD6" s="77"/>
      <c r="BE6" s="78"/>
      <c r="BF6" s="77"/>
      <c r="BG6" s="78"/>
      <c r="BH6" s="77"/>
      <c r="BI6" s="78"/>
      <c r="BJ6" s="77"/>
      <c r="BK6" s="78"/>
      <c r="BL6" s="77"/>
      <c r="BM6" s="78"/>
      <c r="BN6" s="77"/>
      <c r="BO6" s="78"/>
      <c r="BP6" s="77"/>
      <c r="BQ6" s="78"/>
      <c r="BR6" s="77"/>
      <c r="BS6" s="78"/>
      <c r="BT6" s="77"/>
      <c r="BU6" s="78"/>
      <c r="BV6" s="77"/>
      <c r="BW6" s="78"/>
      <c r="BX6" s="77"/>
      <c r="BY6" s="78"/>
      <c r="BZ6" s="77"/>
      <c r="CA6" s="78"/>
      <c r="CB6" s="77"/>
      <c r="CC6" s="78"/>
      <c r="CD6" s="77"/>
    </row>
    <row r="7" spans="1:82" ht="15.75" customHeight="1" x14ac:dyDescent="0.25">
      <c r="A7" s="79">
        <v>1</v>
      </c>
      <c r="B7" s="80" t="s">
        <v>417</v>
      </c>
      <c r="C7" s="81">
        <v>2697000</v>
      </c>
      <c r="D7" s="82">
        <v>2423000</v>
      </c>
      <c r="E7" s="81">
        <v>2292000</v>
      </c>
      <c r="F7" s="82">
        <v>2018000</v>
      </c>
      <c r="G7" s="81">
        <v>3099000</v>
      </c>
      <c r="H7" s="82">
        <v>2825000</v>
      </c>
      <c r="I7" s="81">
        <v>2734000</v>
      </c>
      <c r="J7" s="82">
        <v>2460000</v>
      </c>
      <c r="K7" s="81">
        <v>3730000</v>
      </c>
      <c r="L7" s="82">
        <v>3456000</v>
      </c>
      <c r="M7" s="81">
        <v>2314000</v>
      </c>
      <c r="N7" s="82">
        <v>2040000</v>
      </c>
      <c r="O7" s="81">
        <v>2862000</v>
      </c>
      <c r="P7" s="82">
        <v>2588000</v>
      </c>
      <c r="Q7" s="81">
        <v>1911000</v>
      </c>
      <c r="R7" s="82">
        <v>1637000</v>
      </c>
      <c r="S7" s="81">
        <v>1837000</v>
      </c>
      <c r="T7" s="82">
        <v>1563000</v>
      </c>
      <c r="U7" s="81">
        <v>2009000</v>
      </c>
      <c r="V7" s="82">
        <v>1735000</v>
      </c>
      <c r="W7" s="81">
        <v>2049000</v>
      </c>
      <c r="X7" s="82">
        <v>1775000</v>
      </c>
      <c r="Y7" s="81">
        <v>2066000</v>
      </c>
      <c r="Z7" s="82">
        <v>1792000</v>
      </c>
      <c r="AA7" s="81">
        <v>2136000</v>
      </c>
      <c r="AB7" s="82">
        <v>1862000</v>
      </c>
      <c r="AC7" s="81">
        <v>2136000</v>
      </c>
      <c r="AD7" s="82">
        <v>1862000</v>
      </c>
      <c r="AE7" s="81">
        <v>2044000</v>
      </c>
      <c r="AF7" s="82">
        <v>1770000</v>
      </c>
      <c r="AG7" s="81">
        <v>2173000</v>
      </c>
      <c r="AH7" s="82">
        <v>1899000</v>
      </c>
      <c r="AI7" s="81">
        <v>1924000</v>
      </c>
      <c r="AJ7" s="82">
        <v>1650000</v>
      </c>
      <c r="AK7" s="81">
        <v>2128000</v>
      </c>
      <c r="AL7" s="82">
        <v>1854000</v>
      </c>
      <c r="AM7" s="81">
        <v>2179000</v>
      </c>
      <c r="AN7" s="82">
        <v>1905000</v>
      </c>
      <c r="AO7" s="81">
        <v>2128000</v>
      </c>
      <c r="AP7" s="82">
        <v>1854000</v>
      </c>
      <c r="AQ7" s="81">
        <v>2144000</v>
      </c>
      <c r="AR7" s="82">
        <v>1870000</v>
      </c>
      <c r="AS7" s="81">
        <v>2131000</v>
      </c>
      <c r="AT7" s="82">
        <v>1857000</v>
      </c>
      <c r="AU7" s="81">
        <v>2160000</v>
      </c>
      <c r="AV7" s="82">
        <v>1886000</v>
      </c>
      <c r="AW7" s="81">
        <v>1965000</v>
      </c>
      <c r="AX7" s="82">
        <v>1691000</v>
      </c>
      <c r="AY7" s="81">
        <v>1965000</v>
      </c>
      <c r="AZ7" s="82">
        <v>1691000</v>
      </c>
      <c r="BA7" s="81">
        <v>1965000</v>
      </c>
      <c r="BB7" s="82">
        <v>1691000</v>
      </c>
      <c r="BC7" s="81">
        <v>1965000</v>
      </c>
      <c r="BD7" s="82">
        <v>1691000</v>
      </c>
      <c r="BE7" s="81">
        <v>1961000</v>
      </c>
      <c r="BF7" s="82">
        <v>1687000</v>
      </c>
      <c r="BG7" s="81">
        <v>1983000</v>
      </c>
      <c r="BH7" s="82">
        <v>1709000</v>
      </c>
      <c r="BI7" s="81">
        <v>1983000</v>
      </c>
      <c r="BJ7" s="82">
        <v>1709000</v>
      </c>
      <c r="BK7" s="81">
        <v>1979000</v>
      </c>
      <c r="BL7" s="82">
        <v>1705000</v>
      </c>
      <c r="BM7" s="81">
        <v>1965000</v>
      </c>
      <c r="BN7" s="82">
        <v>1691000</v>
      </c>
      <c r="BO7" s="81">
        <v>1960000</v>
      </c>
      <c r="BP7" s="82">
        <v>1686000</v>
      </c>
      <c r="BQ7" s="81">
        <v>1960000</v>
      </c>
      <c r="BR7" s="82">
        <v>1686000</v>
      </c>
      <c r="BS7" s="81">
        <v>1960000</v>
      </c>
      <c r="BT7" s="82">
        <v>1686000</v>
      </c>
      <c r="BU7" s="81">
        <v>1962000</v>
      </c>
      <c r="BV7" s="82">
        <v>1688000</v>
      </c>
      <c r="BW7" s="81">
        <v>1940000</v>
      </c>
      <c r="BX7" s="82">
        <v>1666000</v>
      </c>
      <c r="BY7" s="81">
        <v>1940000</v>
      </c>
      <c r="BZ7" s="82">
        <v>1666000</v>
      </c>
      <c r="CA7" s="81">
        <v>1962000</v>
      </c>
      <c r="CB7" s="82">
        <v>1688000</v>
      </c>
      <c r="CC7" s="81">
        <v>2093000</v>
      </c>
      <c r="CD7" s="82">
        <v>1819000</v>
      </c>
    </row>
    <row r="8" spans="1:82" ht="15.75" customHeight="1" x14ac:dyDescent="0.25">
      <c r="A8" s="83">
        <v>2</v>
      </c>
      <c r="B8" s="84" t="s">
        <v>418</v>
      </c>
      <c r="C8" s="81">
        <v>3042000</v>
      </c>
      <c r="D8" s="82">
        <v>2740000</v>
      </c>
      <c r="E8" s="81">
        <v>2556000</v>
      </c>
      <c r="F8" s="82">
        <v>2254000</v>
      </c>
      <c r="G8" s="81">
        <v>3525000</v>
      </c>
      <c r="H8" s="82">
        <v>3223000</v>
      </c>
      <c r="I8" s="81">
        <v>3086000</v>
      </c>
      <c r="J8" s="82">
        <v>2784000</v>
      </c>
      <c r="K8" s="81">
        <v>4281000</v>
      </c>
      <c r="L8" s="82">
        <v>3979000</v>
      </c>
      <c r="M8" s="81">
        <v>2551000</v>
      </c>
      <c r="N8" s="82">
        <v>2249000</v>
      </c>
      <c r="O8" s="81">
        <v>3274000</v>
      </c>
      <c r="P8" s="82">
        <v>2972000</v>
      </c>
      <c r="Q8" s="81">
        <v>2097000</v>
      </c>
      <c r="R8" s="82">
        <v>1795000</v>
      </c>
      <c r="S8" s="81">
        <v>2007000</v>
      </c>
      <c r="T8" s="82">
        <v>1705000</v>
      </c>
      <c r="U8" s="81">
        <v>2211000</v>
      </c>
      <c r="V8" s="82">
        <v>1909000</v>
      </c>
      <c r="W8" s="81">
        <v>2257000</v>
      </c>
      <c r="X8" s="82">
        <v>1955000</v>
      </c>
      <c r="Y8" s="81">
        <v>2276000</v>
      </c>
      <c r="Z8" s="82">
        <v>1974000</v>
      </c>
      <c r="AA8" s="81">
        <v>2358000</v>
      </c>
      <c r="AB8" s="82">
        <v>2056000</v>
      </c>
      <c r="AC8" s="81">
        <v>2358000</v>
      </c>
      <c r="AD8" s="82">
        <v>2056000</v>
      </c>
      <c r="AE8" s="81">
        <v>2253000</v>
      </c>
      <c r="AF8" s="82">
        <v>1951000</v>
      </c>
      <c r="AG8" s="81">
        <v>2406000</v>
      </c>
      <c r="AH8" s="82">
        <v>2104000</v>
      </c>
      <c r="AI8" s="81">
        <v>2109000</v>
      </c>
      <c r="AJ8" s="82">
        <v>1807000</v>
      </c>
      <c r="AK8" s="81">
        <v>2352000</v>
      </c>
      <c r="AL8" s="82">
        <v>2050000</v>
      </c>
      <c r="AM8" s="81">
        <v>2413000</v>
      </c>
      <c r="AN8" s="82">
        <v>2111000</v>
      </c>
      <c r="AO8" s="81">
        <v>2352000</v>
      </c>
      <c r="AP8" s="82">
        <v>2050000</v>
      </c>
      <c r="AQ8" s="81">
        <v>2372000</v>
      </c>
      <c r="AR8" s="82">
        <v>2070000</v>
      </c>
      <c r="AS8" s="81">
        <v>2356000</v>
      </c>
      <c r="AT8" s="82">
        <v>2054000</v>
      </c>
      <c r="AU8" s="81">
        <v>2391000</v>
      </c>
      <c r="AV8" s="82">
        <v>2089000</v>
      </c>
      <c r="AW8" s="81">
        <v>2161000</v>
      </c>
      <c r="AX8" s="82">
        <v>1859000</v>
      </c>
      <c r="AY8" s="81">
        <v>2161000</v>
      </c>
      <c r="AZ8" s="82">
        <v>1859000</v>
      </c>
      <c r="BA8" s="81">
        <v>2161000</v>
      </c>
      <c r="BB8" s="82">
        <v>1859000</v>
      </c>
      <c r="BC8" s="81">
        <v>2161000</v>
      </c>
      <c r="BD8" s="82">
        <v>1859000</v>
      </c>
      <c r="BE8" s="81">
        <v>2157000</v>
      </c>
      <c r="BF8" s="82">
        <v>1855000</v>
      </c>
      <c r="BG8" s="81">
        <v>2183000</v>
      </c>
      <c r="BH8" s="82">
        <v>1881000</v>
      </c>
      <c r="BI8" s="81">
        <v>2183000</v>
      </c>
      <c r="BJ8" s="82">
        <v>1881000</v>
      </c>
      <c r="BK8" s="81">
        <v>2177000</v>
      </c>
      <c r="BL8" s="82">
        <v>1875000</v>
      </c>
      <c r="BM8" s="81">
        <v>2161000</v>
      </c>
      <c r="BN8" s="82">
        <v>1859000</v>
      </c>
      <c r="BO8" s="81">
        <v>2155000</v>
      </c>
      <c r="BP8" s="82">
        <v>1853000</v>
      </c>
      <c r="BQ8" s="81">
        <v>2155000</v>
      </c>
      <c r="BR8" s="82">
        <v>1853000</v>
      </c>
      <c r="BS8" s="81">
        <v>2155000</v>
      </c>
      <c r="BT8" s="82">
        <v>1853000</v>
      </c>
      <c r="BU8" s="81">
        <v>2150000</v>
      </c>
      <c r="BV8" s="82">
        <v>1848000</v>
      </c>
      <c r="BW8" s="81">
        <v>2123000</v>
      </c>
      <c r="BX8" s="82">
        <v>1821000</v>
      </c>
      <c r="BY8" s="81">
        <v>2123000</v>
      </c>
      <c r="BZ8" s="82">
        <v>1821000</v>
      </c>
      <c r="CA8" s="81">
        <v>2150000</v>
      </c>
      <c r="CB8" s="82">
        <v>1848000</v>
      </c>
      <c r="CC8" s="81">
        <v>2309000</v>
      </c>
      <c r="CD8" s="82">
        <v>2007000</v>
      </c>
    </row>
    <row r="9" spans="1:82" ht="15.75" customHeight="1" x14ac:dyDescent="0.25">
      <c r="A9" s="83">
        <v>3</v>
      </c>
      <c r="B9" s="84" t="s">
        <v>419</v>
      </c>
      <c r="C9" s="81">
        <v>3129000</v>
      </c>
      <c r="D9" s="82">
        <v>2819000</v>
      </c>
      <c r="E9" s="81">
        <v>2623000</v>
      </c>
      <c r="F9" s="82">
        <v>2313000</v>
      </c>
      <c r="G9" s="81">
        <v>3632000</v>
      </c>
      <c r="H9" s="82">
        <v>3322000</v>
      </c>
      <c r="I9" s="81">
        <v>3175000</v>
      </c>
      <c r="J9" s="82">
        <v>2865000</v>
      </c>
      <c r="K9" s="81">
        <v>4420000</v>
      </c>
      <c r="L9" s="82">
        <v>4110000</v>
      </c>
      <c r="M9" s="81">
        <v>2611000</v>
      </c>
      <c r="N9" s="82">
        <v>2301000</v>
      </c>
      <c r="O9" s="81">
        <v>3378000</v>
      </c>
      <c r="P9" s="82">
        <v>3068000</v>
      </c>
      <c r="Q9" s="81">
        <v>2144000</v>
      </c>
      <c r="R9" s="82">
        <v>1834000</v>
      </c>
      <c r="S9" s="81">
        <v>2051000</v>
      </c>
      <c r="T9" s="82">
        <v>1741000</v>
      </c>
      <c r="U9" s="81">
        <v>2262000</v>
      </c>
      <c r="V9" s="82">
        <v>1952000</v>
      </c>
      <c r="W9" s="81">
        <v>2310000</v>
      </c>
      <c r="X9" s="82">
        <v>2000000</v>
      </c>
      <c r="Y9" s="81">
        <v>2329000</v>
      </c>
      <c r="Z9" s="82">
        <v>2019000</v>
      </c>
      <c r="AA9" s="81">
        <v>2414000</v>
      </c>
      <c r="AB9" s="82">
        <v>2104000</v>
      </c>
      <c r="AC9" s="81">
        <v>2414000</v>
      </c>
      <c r="AD9" s="82">
        <v>2104000</v>
      </c>
      <c r="AE9" s="81">
        <v>2305000</v>
      </c>
      <c r="AF9" s="82">
        <v>1995000</v>
      </c>
      <c r="AG9" s="81">
        <v>2466000</v>
      </c>
      <c r="AH9" s="82">
        <v>2156000</v>
      </c>
      <c r="AI9" s="81">
        <v>2155000</v>
      </c>
      <c r="AJ9" s="82">
        <v>1845000</v>
      </c>
      <c r="AK9" s="81">
        <v>2409000</v>
      </c>
      <c r="AL9" s="82">
        <v>2099000</v>
      </c>
      <c r="AM9" s="81">
        <v>2473000</v>
      </c>
      <c r="AN9" s="82">
        <v>2163000</v>
      </c>
      <c r="AO9" s="81">
        <v>2409000</v>
      </c>
      <c r="AP9" s="82">
        <v>2099000</v>
      </c>
      <c r="AQ9" s="81">
        <v>2429000</v>
      </c>
      <c r="AR9" s="82">
        <v>2119000</v>
      </c>
      <c r="AS9" s="81">
        <v>2413000</v>
      </c>
      <c r="AT9" s="82">
        <v>2103000</v>
      </c>
      <c r="AU9" s="81">
        <v>2450000</v>
      </c>
      <c r="AV9" s="82">
        <v>2140000</v>
      </c>
      <c r="AW9" s="81">
        <v>2211000</v>
      </c>
      <c r="AX9" s="82">
        <v>1901000</v>
      </c>
      <c r="AY9" s="81">
        <v>2211000</v>
      </c>
      <c r="AZ9" s="82">
        <v>1901000</v>
      </c>
      <c r="BA9" s="81">
        <v>2211000</v>
      </c>
      <c r="BB9" s="82">
        <v>1901000</v>
      </c>
      <c r="BC9" s="81">
        <v>2211000</v>
      </c>
      <c r="BD9" s="82">
        <v>1901000</v>
      </c>
      <c r="BE9" s="81">
        <v>2206000</v>
      </c>
      <c r="BF9" s="82">
        <v>1896000</v>
      </c>
      <c r="BG9" s="81">
        <v>2234000</v>
      </c>
      <c r="BH9" s="82">
        <v>1924000</v>
      </c>
      <c r="BI9" s="81">
        <v>2234000</v>
      </c>
      <c r="BJ9" s="82">
        <v>1924000</v>
      </c>
      <c r="BK9" s="81">
        <v>2228000</v>
      </c>
      <c r="BL9" s="82">
        <v>1918000</v>
      </c>
      <c r="BM9" s="81">
        <v>2211000</v>
      </c>
      <c r="BN9" s="82">
        <v>1901000</v>
      </c>
      <c r="BO9" s="81">
        <v>2205000</v>
      </c>
      <c r="BP9" s="82">
        <v>1895000</v>
      </c>
      <c r="BQ9" s="81">
        <v>2205000</v>
      </c>
      <c r="BR9" s="82">
        <v>1895000</v>
      </c>
      <c r="BS9" s="81">
        <v>2205000</v>
      </c>
      <c r="BT9" s="82">
        <v>1895000</v>
      </c>
      <c r="BU9" s="81">
        <v>2198000</v>
      </c>
      <c r="BV9" s="82">
        <v>1888000</v>
      </c>
      <c r="BW9" s="81">
        <v>2170000</v>
      </c>
      <c r="BX9" s="82">
        <v>1860000</v>
      </c>
      <c r="BY9" s="81">
        <v>2170000</v>
      </c>
      <c r="BZ9" s="82">
        <v>1860000</v>
      </c>
      <c r="CA9" s="81">
        <v>2198000</v>
      </c>
      <c r="CB9" s="82">
        <v>1888000</v>
      </c>
      <c r="CC9" s="81">
        <v>2364000</v>
      </c>
      <c r="CD9" s="82">
        <v>2054000</v>
      </c>
    </row>
    <row r="10" spans="1:82" ht="15.75" customHeight="1" x14ac:dyDescent="0.25">
      <c r="A10" s="83">
        <v>4</v>
      </c>
      <c r="B10" s="84" t="s">
        <v>420</v>
      </c>
      <c r="C10" s="81">
        <v>3344000</v>
      </c>
      <c r="D10" s="82">
        <v>3017000</v>
      </c>
      <c r="E10" s="81">
        <v>2788000</v>
      </c>
      <c r="F10" s="82">
        <v>2461000</v>
      </c>
      <c r="G10" s="81">
        <v>3898000</v>
      </c>
      <c r="H10" s="82">
        <v>3571000</v>
      </c>
      <c r="I10" s="81">
        <v>3395000</v>
      </c>
      <c r="J10" s="82">
        <v>3068000</v>
      </c>
      <c r="K10" s="81">
        <v>4765000</v>
      </c>
      <c r="L10" s="82">
        <v>4438000</v>
      </c>
      <c r="M10" s="81">
        <v>2758000</v>
      </c>
      <c r="N10" s="82">
        <v>2431000</v>
      </c>
      <c r="O10" s="81">
        <v>3635000</v>
      </c>
      <c r="P10" s="82">
        <v>3308000</v>
      </c>
      <c r="Q10" s="81">
        <v>2260000</v>
      </c>
      <c r="R10" s="82">
        <v>1933000</v>
      </c>
      <c r="S10" s="81">
        <v>2157000</v>
      </c>
      <c r="T10" s="82">
        <v>1830000</v>
      </c>
      <c r="U10" s="81">
        <v>2388000</v>
      </c>
      <c r="V10" s="82">
        <v>2061000</v>
      </c>
      <c r="W10" s="81">
        <v>2440000</v>
      </c>
      <c r="X10" s="82">
        <v>2113000</v>
      </c>
      <c r="Y10" s="81">
        <v>2460000</v>
      </c>
      <c r="Z10" s="82">
        <v>2133000</v>
      </c>
      <c r="AA10" s="81">
        <v>2553000</v>
      </c>
      <c r="AB10" s="82">
        <v>2226000</v>
      </c>
      <c r="AC10" s="81">
        <v>2553000</v>
      </c>
      <c r="AD10" s="82">
        <v>2226000</v>
      </c>
      <c r="AE10" s="81">
        <v>2436000</v>
      </c>
      <c r="AF10" s="82">
        <v>2109000</v>
      </c>
      <c r="AG10" s="81">
        <v>2611000</v>
      </c>
      <c r="AH10" s="82">
        <v>2284000</v>
      </c>
      <c r="AI10" s="81">
        <v>2271000</v>
      </c>
      <c r="AJ10" s="82">
        <v>1944000</v>
      </c>
      <c r="AK10" s="81">
        <v>2549000</v>
      </c>
      <c r="AL10" s="82">
        <v>2222000</v>
      </c>
      <c r="AM10" s="81">
        <v>2619000</v>
      </c>
      <c r="AN10" s="82">
        <v>2292000</v>
      </c>
      <c r="AO10" s="81">
        <v>2549000</v>
      </c>
      <c r="AP10" s="82">
        <v>2222000</v>
      </c>
      <c r="AQ10" s="81">
        <v>2572000</v>
      </c>
      <c r="AR10" s="82">
        <v>2245000</v>
      </c>
      <c r="AS10" s="81">
        <v>2554000</v>
      </c>
      <c r="AT10" s="82">
        <v>2227000</v>
      </c>
      <c r="AU10" s="81">
        <v>2594000</v>
      </c>
      <c r="AV10" s="82">
        <v>2267000</v>
      </c>
      <c r="AW10" s="81">
        <v>2333000</v>
      </c>
      <c r="AX10" s="82">
        <v>2006000</v>
      </c>
      <c r="AY10" s="81">
        <v>2333000</v>
      </c>
      <c r="AZ10" s="82">
        <v>2006000</v>
      </c>
      <c r="BA10" s="81">
        <v>2333000</v>
      </c>
      <c r="BB10" s="82">
        <v>2006000</v>
      </c>
      <c r="BC10" s="81">
        <v>2333000</v>
      </c>
      <c r="BD10" s="82">
        <v>2006000</v>
      </c>
      <c r="BE10" s="81">
        <v>2328000</v>
      </c>
      <c r="BF10" s="82">
        <v>2001000</v>
      </c>
      <c r="BG10" s="81">
        <v>2358000</v>
      </c>
      <c r="BH10" s="82">
        <v>2031000</v>
      </c>
      <c r="BI10" s="81">
        <v>2358000</v>
      </c>
      <c r="BJ10" s="82">
        <v>2031000</v>
      </c>
      <c r="BK10" s="81">
        <v>2352000</v>
      </c>
      <c r="BL10" s="82">
        <v>2025000</v>
      </c>
      <c r="BM10" s="81">
        <v>2333000</v>
      </c>
      <c r="BN10" s="82">
        <v>2006000</v>
      </c>
      <c r="BO10" s="81">
        <v>2327000</v>
      </c>
      <c r="BP10" s="82">
        <v>2000000</v>
      </c>
      <c r="BQ10" s="81">
        <v>2327000</v>
      </c>
      <c r="BR10" s="82">
        <v>2000000</v>
      </c>
      <c r="BS10" s="81">
        <v>2327000</v>
      </c>
      <c r="BT10" s="82">
        <v>2000000</v>
      </c>
      <c r="BU10" s="81">
        <v>2315000</v>
      </c>
      <c r="BV10" s="82">
        <v>1988000</v>
      </c>
      <c r="BW10" s="81">
        <v>2285000</v>
      </c>
      <c r="BX10" s="82">
        <v>1958000</v>
      </c>
      <c r="BY10" s="81">
        <v>2285000</v>
      </c>
      <c r="BZ10" s="82">
        <v>1958000</v>
      </c>
      <c r="CA10" s="81">
        <v>2315000</v>
      </c>
      <c r="CB10" s="82">
        <v>1988000</v>
      </c>
      <c r="CC10" s="81">
        <v>2499000</v>
      </c>
      <c r="CD10" s="82">
        <v>2172000</v>
      </c>
    </row>
    <row r="11" spans="1:82" ht="15.75" customHeight="1" x14ac:dyDescent="0.25">
      <c r="A11" s="83">
        <v>5</v>
      </c>
      <c r="B11" s="84" t="s">
        <v>421</v>
      </c>
      <c r="C11" s="81">
        <v>3560000</v>
      </c>
      <c r="D11" s="82">
        <v>3215000</v>
      </c>
      <c r="E11" s="81">
        <v>2953000</v>
      </c>
      <c r="F11" s="82">
        <v>2608000</v>
      </c>
      <c r="G11" s="81">
        <v>4164000</v>
      </c>
      <c r="H11" s="82">
        <v>3819000</v>
      </c>
      <c r="I11" s="81">
        <v>3616000</v>
      </c>
      <c r="J11" s="82">
        <v>3271000</v>
      </c>
      <c r="K11" s="81">
        <v>5110000</v>
      </c>
      <c r="L11" s="82">
        <v>4765000</v>
      </c>
      <c r="M11" s="81">
        <v>2906000</v>
      </c>
      <c r="N11" s="82">
        <v>2561000</v>
      </c>
      <c r="O11" s="81">
        <v>3893000</v>
      </c>
      <c r="P11" s="82">
        <v>3548000</v>
      </c>
      <c r="Q11" s="81">
        <v>2376000</v>
      </c>
      <c r="R11" s="82">
        <v>2031000</v>
      </c>
      <c r="S11" s="81">
        <v>2264000</v>
      </c>
      <c r="T11" s="82">
        <v>1919000</v>
      </c>
      <c r="U11" s="81">
        <v>2514000</v>
      </c>
      <c r="V11" s="82">
        <v>2169000</v>
      </c>
      <c r="W11" s="81">
        <v>2570000</v>
      </c>
      <c r="X11" s="82">
        <v>2225000</v>
      </c>
      <c r="Y11" s="81">
        <v>2591000</v>
      </c>
      <c r="Z11" s="82">
        <v>2246000</v>
      </c>
      <c r="AA11" s="81">
        <v>2691000</v>
      </c>
      <c r="AB11" s="82">
        <v>2346000</v>
      </c>
      <c r="AC11" s="81">
        <v>2691000</v>
      </c>
      <c r="AD11" s="82">
        <v>2346000</v>
      </c>
      <c r="AE11" s="81">
        <v>2566000</v>
      </c>
      <c r="AF11" s="82">
        <v>2221000</v>
      </c>
      <c r="AG11" s="81">
        <v>2757000</v>
      </c>
      <c r="AH11" s="82">
        <v>2412000</v>
      </c>
      <c r="AI11" s="81">
        <v>2386000</v>
      </c>
      <c r="AJ11" s="82">
        <v>2041000</v>
      </c>
      <c r="AK11" s="81">
        <v>2688000</v>
      </c>
      <c r="AL11" s="82">
        <v>2343000</v>
      </c>
      <c r="AM11" s="81">
        <v>2765000</v>
      </c>
      <c r="AN11" s="82">
        <v>2420000</v>
      </c>
      <c r="AO11" s="81">
        <v>2688000</v>
      </c>
      <c r="AP11" s="82">
        <v>2343000</v>
      </c>
      <c r="AQ11" s="81">
        <v>2714000</v>
      </c>
      <c r="AR11" s="82">
        <v>2369000</v>
      </c>
      <c r="AS11" s="81">
        <v>2694000</v>
      </c>
      <c r="AT11" s="82">
        <v>2349000</v>
      </c>
      <c r="AU11" s="81">
        <v>2738000</v>
      </c>
      <c r="AV11" s="82">
        <v>2393000</v>
      </c>
      <c r="AW11" s="81">
        <v>2455000</v>
      </c>
      <c r="AX11" s="82">
        <v>2110000</v>
      </c>
      <c r="AY11" s="81">
        <v>2455000</v>
      </c>
      <c r="AZ11" s="82">
        <v>2110000</v>
      </c>
      <c r="BA11" s="81">
        <v>2455000</v>
      </c>
      <c r="BB11" s="82">
        <v>2110000</v>
      </c>
      <c r="BC11" s="81">
        <v>2455000</v>
      </c>
      <c r="BD11" s="82">
        <v>2110000</v>
      </c>
      <c r="BE11" s="81">
        <v>2450000</v>
      </c>
      <c r="BF11" s="82">
        <v>2105000</v>
      </c>
      <c r="BG11" s="81">
        <v>2483000</v>
      </c>
      <c r="BH11" s="82">
        <v>2138000</v>
      </c>
      <c r="BI11" s="81">
        <v>2483000</v>
      </c>
      <c r="BJ11" s="82">
        <v>2138000</v>
      </c>
      <c r="BK11" s="81">
        <v>2476000</v>
      </c>
      <c r="BL11" s="82">
        <v>2131000</v>
      </c>
      <c r="BM11" s="81">
        <v>2455000</v>
      </c>
      <c r="BN11" s="82">
        <v>2110000</v>
      </c>
      <c r="BO11" s="81">
        <v>2448000</v>
      </c>
      <c r="BP11" s="82">
        <v>2103000</v>
      </c>
      <c r="BQ11" s="81">
        <v>2448000</v>
      </c>
      <c r="BR11" s="82">
        <v>2103000</v>
      </c>
      <c r="BS11" s="81">
        <v>2448000</v>
      </c>
      <c r="BT11" s="82">
        <v>2103000</v>
      </c>
      <c r="BU11" s="81">
        <v>2433000</v>
      </c>
      <c r="BV11" s="82">
        <v>2088000</v>
      </c>
      <c r="BW11" s="81">
        <v>2399000</v>
      </c>
      <c r="BX11" s="82">
        <v>2054000</v>
      </c>
      <c r="BY11" s="81">
        <v>2399000</v>
      </c>
      <c r="BZ11" s="82">
        <v>2054000</v>
      </c>
      <c r="CA11" s="81">
        <v>2433000</v>
      </c>
      <c r="CB11" s="82">
        <v>2088000</v>
      </c>
      <c r="CC11" s="81">
        <v>2634000</v>
      </c>
      <c r="CD11" s="82">
        <v>2289000</v>
      </c>
    </row>
    <row r="12" spans="1:82" ht="15.75" customHeight="1" x14ac:dyDescent="0.25">
      <c r="A12" s="83">
        <v>6</v>
      </c>
      <c r="B12" s="84" t="s">
        <v>422</v>
      </c>
      <c r="C12" s="81">
        <v>4743000</v>
      </c>
      <c r="D12" s="82">
        <v>4326000</v>
      </c>
      <c r="E12" s="81">
        <v>3934000</v>
      </c>
      <c r="F12" s="82">
        <v>3517000</v>
      </c>
      <c r="G12" s="81">
        <v>5548000</v>
      </c>
      <c r="H12" s="82">
        <v>5131000</v>
      </c>
      <c r="I12" s="81">
        <v>4817000</v>
      </c>
      <c r="J12" s="82">
        <v>4400000</v>
      </c>
      <c r="K12" s="81">
        <v>6809000</v>
      </c>
      <c r="L12" s="82">
        <v>6392000</v>
      </c>
      <c r="M12" s="81">
        <v>3818000</v>
      </c>
      <c r="N12" s="82">
        <v>3401000</v>
      </c>
      <c r="O12" s="81">
        <v>5243000</v>
      </c>
      <c r="P12" s="82">
        <v>4826000</v>
      </c>
      <c r="Q12" s="81">
        <v>3159000</v>
      </c>
      <c r="R12" s="82">
        <v>2742000</v>
      </c>
      <c r="S12" s="81">
        <v>3023000</v>
      </c>
      <c r="T12" s="82">
        <v>2606000</v>
      </c>
      <c r="U12" s="81">
        <v>3368000</v>
      </c>
      <c r="V12" s="82">
        <v>2951000</v>
      </c>
      <c r="W12" s="81">
        <v>3447000</v>
      </c>
      <c r="X12" s="82">
        <v>3030000</v>
      </c>
      <c r="Y12" s="81">
        <v>3482000</v>
      </c>
      <c r="Z12" s="82">
        <v>3065000</v>
      </c>
      <c r="AA12" s="81">
        <v>3622000</v>
      </c>
      <c r="AB12" s="82">
        <v>3205000</v>
      </c>
      <c r="AC12" s="81">
        <v>3622000</v>
      </c>
      <c r="AD12" s="82">
        <v>3205000</v>
      </c>
      <c r="AE12" s="81">
        <v>3438000</v>
      </c>
      <c r="AF12" s="82">
        <v>3021000</v>
      </c>
      <c r="AG12" s="81">
        <v>3695000</v>
      </c>
      <c r="AH12" s="82">
        <v>3278000</v>
      </c>
      <c r="AI12" s="81">
        <v>3197000</v>
      </c>
      <c r="AJ12" s="82">
        <v>2780000</v>
      </c>
      <c r="AK12" s="81">
        <v>3606000</v>
      </c>
      <c r="AL12" s="82">
        <v>3189000</v>
      </c>
      <c r="AM12" s="81">
        <v>3708000</v>
      </c>
      <c r="AN12" s="82">
        <v>3291000</v>
      </c>
      <c r="AO12" s="81">
        <v>3606000</v>
      </c>
      <c r="AP12" s="82">
        <v>3189000</v>
      </c>
      <c r="AQ12" s="81">
        <v>3638000</v>
      </c>
      <c r="AR12" s="82">
        <v>3221000</v>
      </c>
      <c r="AS12" s="81">
        <v>3612000</v>
      </c>
      <c r="AT12" s="82">
        <v>3195000</v>
      </c>
      <c r="AU12" s="81">
        <v>3670000</v>
      </c>
      <c r="AV12" s="82">
        <v>3253000</v>
      </c>
      <c r="AW12" s="81">
        <v>3279000</v>
      </c>
      <c r="AX12" s="82">
        <v>2862000</v>
      </c>
      <c r="AY12" s="81">
        <v>3279000</v>
      </c>
      <c r="AZ12" s="82">
        <v>2862000</v>
      </c>
      <c r="BA12" s="81">
        <v>3279000</v>
      </c>
      <c r="BB12" s="82">
        <v>2862000</v>
      </c>
      <c r="BC12" s="81">
        <v>3279000</v>
      </c>
      <c r="BD12" s="82">
        <v>2862000</v>
      </c>
      <c r="BE12" s="81">
        <v>3272000</v>
      </c>
      <c r="BF12" s="82">
        <v>2855000</v>
      </c>
      <c r="BG12" s="81">
        <v>3316000</v>
      </c>
      <c r="BH12" s="82">
        <v>2899000</v>
      </c>
      <c r="BI12" s="81">
        <v>3316000</v>
      </c>
      <c r="BJ12" s="82">
        <v>2899000</v>
      </c>
      <c r="BK12" s="81">
        <v>3307000</v>
      </c>
      <c r="BL12" s="82">
        <v>2890000</v>
      </c>
      <c r="BM12" s="81">
        <v>3279000</v>
      </c>
      <c r="BN12" s="82">
        <v>2862000</v>
      </c>
      <c r="BO12" s="81">
        <v>3270000</v>
      </c>
      <c r="BP12" s="82">
        <v>2853000</v>
      </c>
      <c r="BQ12" s="81">
        <v>3270000</v>
      </c>
      <c r="BR12" s="82">
        <v>2853000</v>
      </c>
      <c r="BS12" s="81">
        <v>3270000</v>
      </c>
      <c r="BT12" s="82">
        <v>2853000</v>
      </c>
      <c r="BU12" s="81">
        <v>3274000</v>
      </c>
      <c r="BV12" s="82">
        <v>2857000</v>
      </c>
      <c r="BW12" s="81">
        <v>3229000</v>
      </c>
      <c r="BX12" s="82">
        <v>2812000</v>
      </c>
      <c r="BY12" s="81">
        <v>3229000</v>
      </c>
      <c r="BZ12" s="82">
        <v>2812000</v>
      </c>
      <c r="CA12" s="81">
        <v>3274000</v>
      </c>
      <c r="CB12" s="82">
        <v>2857000</v>
      </c>
      <c r="CC12" s="81">
        <v>3536000</v>
      </c>
      <c r="CD12" s="82">
        <v>3119000</v>
      </c>
    </row>
    <row r="13" spans="1:82" ht="15.75" customHeight="1" x14ac:dyDescent="0.25">
      <c r="A13" s="83">
        <v>7</v>
      </c>
      <c r="B13" s="84" t="s">
        <v>423</v>
      </c>
      <c r="C13" s="81">
        <v>5433000</v>
      </c>
      <c r="D13" s="82">
        <v>4960000</v>
      </c>
      <c r="E13" s="81">
        <v>4462000</v>
      </c>
      <c r="F13" s="82">
        <v>3989000</v>
      </c>
      <c r="G13" s="81">
        <v>6399000</v>
      </c>
      <c r="H13" s="82">
        <v>5926000</v>
      </c>
      <c r="I13" s="81">
        <v>5522000</v>
      </c>
      <c r="J13" s="82">
        <v>5049000</v>
      </c>
      <c r="K13" s="81">
        <v>7912000</v>
      </c>
      <c r="L13" s="82">
        <v>7439000</v>
      </c>
      <c r="M13" s="81">
        <v>4291000</v>
      </c>
      <c r="N13" s="82">
        <v>3818000</v>
      </c>
      <c r="O13" s="81">
        <v>6067000</v>
      </c>
      <c r="P13" s="82">
        <v>5594000</v>
      </c>
      <c r="Q13" s="81">
        <v>3530000</v>
      </c>
      <c r="R13" s="82">
        <v>3057000</v>
      </c>
      <c r="S13" s="81">
        <v>3364000</v>
      </c>
      <c r="T13" s="82">
        <v>2891000</v>
      </c>
      <c r="U13" s="81">
        <v>3771000</v>
      </c>
      <c r="V13" s="82">
        <v>3298000</v>
      </c>
      <c r="W13" s="81">
        <v>3863000</v>
      </c>
      <c r="X13" s="82">
        <v>3390000</v>
      </c>
      <c r="Y13" s="81">
        <v>3901000</v>
      </c>
      <c r="Z13" s="82">
        <v>3428000</v>
      </c>
      <c r="AA13" s="81">
        <v>4066000</v>
      </c>
      <c r="AB13" s="82">
        <v>3593000</v>
      </c>
      <c r="AC13" s="81">
        <v>4066000</v>
      </c>
      <c r="AD13" s="82">
        <v>3593000</v>
      </c>
      <c r="AE13" s="81">
        <v>3855000</v>
      </c>
      <c r="AF13" s="82">
        <v>3382000</v>
      </c>
      <c r="AG13" s="81">
        <v>4162000</v>
      </c>
      <c r="AH13" s="82">
        <v>3689000</v>
      </c>
      <c r="AI13" s="81">
        <v>3567000</v>
      </c>
      <c r="AJ13" s="82">
        <v>3094000</v>
      </c>
      <c r="AK13" s="81">
        <v>4054000</v>
      </c>
      <c r="AL13" s="82">
        <v>3581000</v>
      </c>
      <c r="AM13" s="81">
        <v>4176000</v>
      </c>
      <c r="AN13" s="82">
        <v>3703000</v>
      </c>
      <c r="AO13" s="81">
        <v>4054000</v>
      </c>
      <c r="AP13" s="82">
        <v>3581000</v>
      </c>
      <c r="AQ13" s="81">
        <v>4093000</v>
      </c>
      <c r="AR13" s="82">
        <v>3620000</v>
      </c>
      <c r="AS13" s="81">
        <v>4062000</v>
      </c>
      <c r="AT13" s="82">
        <v>3589000</v>
      </c>
      <c r="AU13" s="81">
        <v>4132000</v>
      </c>
      <c r="AV13" s="82">
        <v>3659000</v>
      </c>
      <c r="AW13" s="81">
        <v>3671000</v>
      </c>
      <c r="AX13" s="82">
        <v>3198000</v>
      </c>
      <c r="AY13" s="81">
        <v>3671000</v>
      </c>
      <c r="AZ13" s="82">
        <v>3198000</v>
      </c>
      <c r="BA13" s="81">
        <v>3671000</v>
      </c>
      <c r="BB13" s="82">
        <v>3198000</v>
      </c>
      <c r="BC13" s="81">
        <v>3671000</v>
      </c>
      <c r="BD13" s="82">
        <v>3198000</v>
      </c>
      <c r="BE13" s="81">
        <v>3663000</v>
      </c>
      <c r="BF13" s="82">
        <v>3190000</v>
      </c>
      <c r="BG13" s="81">
        <v>3716000</v>
      </c>
      <c r="BH13" s="82">
        <v>3243000</v>
      </c>
      <c r="BI13" s="81">
        <v>3716000</v>
      </c>
      <c r="BJ13" s="82">
        <v>3243000</v>
      </c>
      <c r="BK13" s="81">
        <v>3704000</v>
      </c>
      <c r="BL13" s="82">
        <v>3231000</v>
      </c>
      <c r="BM13" s="81">
        <v>3671000</v>
      </c>
      <c r="BN13" s="82">
        <v>3198000</v>
      </c>
      <c r="BO13" s="81">
        <v>3660000</v>
      </c>
      <c r="BP13" s="82">
        <v>3187000</v>
      </c>
      <c r="BQ13" s="81">
        <v>3660000</v>
      </c>
      <c r="BR13" s="82">
        <v>3187000</v>
      </c>
      <c r="BS13" s="81">
        <v>3660000</v>
      </c>
      <c r="BT13" s="82">
        <v>3187000</v>
      </c>
      <c r="BU13" s="81">
        <v>3650000</v>
      </c>
      <c r="BV13" s="82">
        <v>3177000</v>
      </c>
      <c r="BW13" s="81">
        <v>3596000</v>
      </c>
      <c r="BX13" s="82">
        <v>3123000</v>
      </c>
      <c r="BY13" s="81">
        <v>3596000</v>
      </c>
      <c r="BZ13" s="82">
        <v>3123000</v>
      </c>
      <c r="CA13" s="81">
        <v>3650000</v>
      </c>
      <c r="CB13" s="82">
        <v>3177000</v>
      </c>
      <c r="CC13" s="81">
        <v>3968000</v>
      </c>
      <c r="CD13" s="82">
        <v>3495000</v>
      </c>
    </row>
    <row r="14" spans="1:82" ht="15.75" customHeight="1" x14ac:dyDescent="0.25">
      <c r="A14" s="83">
        <v>8</v>
      </c>
      <c r="B14" s="84" t="s">
        <v>424</v>
      </c>
      <c r="C14" s="81">
        <v>5606000</v>
      </c>
      <c r="D14" s="82">
        <v>5119000</v>
      </c>
      <c r="E14" s="81">
        <v>4595000</v>
      </c>
      <c r="F14" s="82">
        <v>4108000</v>
      </c>
      <c r="G14" s="81">
        <v>6613000</v>
      </c>
      <c r="H14" s="82">
        <v>6126000</v>
      </c>
      <c r="I14" s="81">
        <v>5699000</v>
      </c>
      <c r="J14" s="82">
        <v>5212000</v>
      </c>
      <c r="K14" s="81">
        <v>8189000</v>
      </c>
      <c r="L14" s="82">
        <v>7702000</v>
      </c>
      <c r="M14" s="81">
        <v>4410000</v>
      </c>
      <c r="N14" s="82">
        <v>3923000</v>
      </c>
      <c r="O14" s="81">
        <v>6274000</v>
      </c>
      <c r="P14" s="82">
        <v>5787000</v>
      </c>
      <c r="Q14" s="81">
        <v>3623000</v>
      </c>
      <c r="R14" s="82">
        <v>3136000</v>
      </c>
      <c r="S14" s="81">
        <v>3450000</v>
      </c>
      <c r="T14" s="82">
        <v>2963000</v>
      </c>
      <c r="U14" s="81">
        <v>3873000</v>
      </c>
      <c r="V14" s="82">
        <v>3386000</v>
      </c>
      <c r="W14" s="81">
        <v>3968000</v>
      </c>
      <c r="X14" s="82">
        <v>3481000</v>
      </c>
      <c r="Y14" s="81">
        <v>4006000</v>
      </c>
      <c r="Z14" s="82">
        <v>3519000</v>
      </c>
      <c r="AA14" s="81">
        <v>4177000</v>
      </c>
      <c r="AB14" s="82">
        <v>3690000</v>
      </c>
      <c r="AC14" s="81">
        <v>4177000</v>
      </c>
      <c r="AD14" s="82">
        <v>3690000</v>
      </c>
      <c r="AE14" s="81">
        <v>3959000</v>
      </c>
      <c r="AF14" s="82">
        <v>3472000</v>
      </c>
      <c r="AG14" s="81">
        <v>4280000</v>
      </c>
      <c r="AH14" s="82">
        <v>3793000</v>
      </c>
      <c r="AI14" s="81">
        <v>3659000</v>
      </c>
      <c r="AJ14" s="82">
        <v>3172000</v>
      </c>
      <c r="AK14" s="81">
        <v>4166000</v>
      </c>
      <c r="AL14" s="82">
        <v>3679000</v>
      </c>
      <c r="AM14" s="81">
        <v>4294000</v>
      </c>
      <c r="AN14" s="82">
        <v>3807000</v>
      </c>
      <c r="AO14" s="81">
        <v>4166000</v>
      </c>
      <c r="AP14" s="82">
        <v>3679000</v>
      </c>
      <c r="AQ14" s="81">
        <v>4207000</v>
      </c>
      <c r="AR14" s="82">
        <v>3720000</v>
      </c>
      <c r="AS14" s="81">
        <v>4175000</v>
      </c>
      <c r="AT14" s="82">
        <v>3688000</v>
      </c>
      <c r="AU14" s="81">
        <v>4248000</v>
      </c>
      <c r="AV14" s="82">
        <v>3761000</v>
      </c>
      <c r="AW14" s="81">
        <v>3770000</v>
      </c>
      <c r="AX14" s="82">
        <v>3283000</v>
      </c>
      <c r="AY14" s="81">
        <v>3770000</v>
      </c>
      <c r="AZ14" s="82">
        <v>3283000</v>
      </c>
      <c r="BA14" s="81">
        <v>3770000</v>
      </c>
      <c r="BB14" s="82">
        <v>3283000</v>
      </c>
      <c r="BC14" s="81">
        <v>3770000</v>
      </c>
      <c r="BD14" s="82">
        <v>3283000</v>
      </c>
      <c r="BE14" s="81">
        <v>3761000</v>
      </c>
      <c r="BF14" s="82">
        <v>3274000</v>
      </c>
      <c r="BG14" s="81">
        <v>3816000</v>
      </c>
      <c r="BH14" s="82">
        <v>3329000</v>
      </c>
      <c r="BI14" s="81">
        <v>3816000</v>
      </c>
      <c r="BJ14" s="82">
        <v>3329000</v>
      </c>
      <c r="BK14" s="81">
        <v>3804000</v>
      </c>
      <c r="BL14" s="82">
        <v>3317000</v>
      </c>
      <c r="BM14" s="81">
        <v>3770000</v>
      </c>
      <c r="BN14" s="82">
        <v>3283000</v>
      </c>
      <c r="BO14" s="81">
        <v>3758000</v>
      </c>
      <c r="BP14" s="82">
        <v>3271000</v>
      </c>
      <c r="BQ14" s="81">
        <v>3758000</v>
      </c>
      <c r="BR14" s="82">
        <v>3271000</v>
      </c>
      <c r="BS14" s="81">
        <v>3758000</v>
      </c>
      <c r="BT14" s="82">
        <v>3271000</v>
      </c>
      <c r="BU14" s="81">
        <v>3744000</v>
      </c>
      <c r="BV14" s="82">
        <v>3257000</v>
      </c>
      <c r="BW14" s="81">
        <v>3689000</v>
      </c>
      <c r="BX14" s="82">
        <v>3202000</v>
      </c>
      <c r="BY14" s="81">
        <v>3689000</v>
      </c>
      <c r="BZ14" s="82">
        <v>3202000</v>
      </c>
      <c r="CA14" s="81">
        <v>3744000</v>
      </c>
      <c r="CB14" s="82">
        <v>3257000</v>
      </c>
      <c r="CC14" s="81">
        <v>4077000</v>
      </c>
      <c r="CD14" s="82">
        <v>3590000</v>
      </c>
    </row>
    <row r="15" spans="1:82" ht="15.75" customHeight="1" x14ac:dyDescent="0.25">
      <c r="A15" s="83">
        <v>9</v>
      </c>
      <c r="B15" s="84" t="s">
        <v>425</v>
      </c>
      <c r="C15" s="81">
        <v>6037000</v>
      </c>
      <c r="D15" s="82">
        <v>5515000</v>
      </c>
      <c r="E15" s="81">
        <v>4925000</v>
      </c>
      <c r="F15" s="82">
        <v>4403000</v>
      </c>
      <c r="G15" s="81">
        <v>7145000</v>
      </c>
      <c r="H15" s="82">
        <v>6623000</v>
      </c>
      <c r="I15" s="81">
        <v>6139000</v>
      </c>
      <c r="J15" s="82">
        <v>5617000</v>
      </c>
      <c r="K15" s="81">
        <v>8878000</v>
      </c>
      <c r="L15" s="82">
        <v>8356000</v>
      </c>
      <c r="M15" s="81">
        <v>4706000</v>
      </c>
      <c r="N15" s="82">
        <v>4184000</v>
      </c>
      <c r="O15" s="81">
        <v>6789000</v>
      </c>
      <c r="P15" s="82">
        <v>6267000</v>
      </c>
      <c r="Q15" s="81">
        <v>3855000</v>
      </c>
      <c r="R15" s="82">
        <v>3333000</v>
      </c>
      <c r="S15" s="81">
        <v>3663000</v>
      </c>
      <c r="T15" s="82">
        <v>3141000</v>
      </c>
      <c r="U15" s="81">
        <v>4125000</v>
      </c>
      <c r="V15" s="82">
        <v>3603000</v>
      </c>
      <c r="W15" s="81">
        <v>4228000</v>
      </c>
      <c r="X15" s="82">
        <v>3706000</v>
      </c>
      <c r="Y15" s="81">
        <v>4268000</v>
      </c>
      <c r="Z15" s="82">
        <v>3746000</v>
      </c>
      <c r="AA15" s="81">
        <v>4454000</v>
      </c>
      <c r="AB15" s="82">
        <v>3932000</v>
      </c>
      <c r="AC15" s="81">
        <v>4454000</v>
      </c>
      <c r="AD15" s="82">
        <v>3932000</v>
      </c>
      <c r="AE15" s="81">
        <v>4220000</v>
      </c>
      <c r="AF15" s="82">
        <v>3698000</v>
      </c>
      <c r="AG15" s="81">
        <v>4571000</v>
      </c>
      <c r="AH15" s="82">
        <v>4049000</v>
      </c>
      <c r="AI15" s="81">
        <v>3890000</v>
      </c>
      <c r="AJ15" s="82">
        <v>3368000</v>
      </c>
      <c r="AK15" s="81">
        <v>4446000</v>
      </c>
      <c r="AL15" s="82">
        <v>3924000</v>
      </c>
      <c r="AM15" s="81">
        <v>4586000</v>
      </c>
      <c r="AN15" s="82">
        <v>4064000</v>
      </c>
      <c r="AO15" s="81">
        <v>4446000</v>
      </c>
      <c r="AP15" s="82">
        <v>3924000</v>
      </c>
      <c r="AQ15" s="81">
        <v>4492000</v>
      </c>
      <c r="AR15" s="82">
        <v>3970000</v>
      </c>
      <c r="AS15" s="81">
        <v>4456000</v>
      </c>
      <c r="AT15" s="82">
        <v>3934000</v>
      </c>
      <c r="AU15" s="81">
        <v>4536000</v>
      </c>
      <c r="AV15" s="82">
        <v>4014000</v>
      </c>
      <c r="AW15" s="81">
        <v>4014000</v>
      </c>
      <c r="AX15" s="82">
        <v>3492000</v>
      </c>
      <c r="AY15" s="81">
        <v>4014000</v>
      </c>
      <c r="AZ15" s="82">
        <v>3492000</v>
      </c>
      <c r="BA15" s="81">
        <v>4014000</v>
      </c>
      <c r="BB15" s="82">
        <v>3492000</v>
      </c>
      <c r="BC15" s="81">
        <v>4014000</v>
      </c>
      <c r="BD15" s="82">
        <v>3492000</v>
      </c>
      <c r="BE15" s="81">
        <v>4005000</v>
      </c>
      <c r="BF15" s="82">
        <v>3483000</v>
      </c>
      <c r="BG15" s="81">
        <v>4065000</v>
      </c>
      <c r="BH15" s="82">
        <v>3543000</v>
      </c>
      <c r="BI15" s="81">
        <v>4065000</v>
      </c>
      <c r="BJ15" s="82">
        <v>3543000</v>
      </c>
      <c r="BK15" s="81">
        <v>4053000</v>
      </c>
      <c r="BL15" s="82">
        <v>3531000</v>
      </c>
      <c r="BM15" s="81">
        <v>4014000</v>
      </c>
      <c r="BN15" s="82">
        <v>3492000</v>
      </c>
      <c r="BO15" s="81">
        <v>4002000</v>
      </c>
      <c r="BP15" s="82">
        <v>3480000</v>
      </c>
      <c r="BQ15" s="81">
        <v>4002000</v>
      </c>
      <c r="BR15" s="82">
        <v>3480000</v>
      </c>
      <c r="BS15" s="81">
        <v>4002000</v>
      </c>
      <c r="BT15" s="82">
        <v>3480000</v>
      </c>
      <c r="BU15" s="81">
        <v>3979000</v>
      </c>
      <c r="BV15" s="82">
        <v>3457000</v>
      </c>
      <c r="BW15" s="81">
        <v>3918000</v>
      </c>
      <c r="BX15" s="82">
        <v>3396000</v>
      </c>
      <c r="BY15" s="81">
        <v>3918000</v>
      </c>
      <c r="BZ15" s="82">
        <v>3396000</v>
      </c>
      <c r="CA15" s="81">
        <v>3979000</v>
      </c>
      <c r="CB15" s="82">
        <v>3457000</v>
      </c>
      <c r="CC15" s="81">
        <v>4347000</v>
      </c>
      <c r="CD15" s="82">
        <v>3825000</v>
      </c>
    </row>
    <row r="16" spans="1:82" ht="15.75" customHeight="1" x14ac:dyDescent="0.25">
      <c r="A16" s="83">
        <v>10</v>
      </c>
      <c r="B16" s="84" t="s">
        <v>426</v>
      </c>
      <c r="C16" s="81">
        <v>6470000</v>
      </c>
      <c r="D16" s="82">
        <v>5912000</v>
      </c>
      <c r="E16" s="81">
        <v>5256000</v>
      </c>
      <c r="F16" s="82">
        <v>4698000</v>
      </c>
      <c r="G16" s="81">
        <v>7678000</v>
      </c>
      <c r="H16" s="82">
        <v>7120000</v>
      </c>
      <c r="I16" s="81">
        <v>6581000</v>
      </c>
      <c r="J16" s="82">
        <v>6023000</v>
      </c>
      <c r="K16" s="81">
        <v>9569000</v>
      </c>
      <c r="L16" s="82">
        <v>9011000</v>
      </c>
      <c r="M16" s="81">
        <v>5002000</v>
      </c>
      <c r="N16" s="82">
        <v>4444000</v>
      </c>
      <c r="O16" s="81">
        <v>7304000</v>
      </c>
      <c r="P16" s="82">
        <v>6746000</v>
      </c>
      <c r="Q16" s="81">
        <v>4087000</v>
      </c>
      <c r="R16" s="82">
        <v>3529000</v>
      </c>
      <c r="S16" s="81">
        <v>3877000</v>
      </c>
      <c r="T16" s="82">
        <v>3319000</v>
      </c>
      <c r="U16" s="81">
        <v>4378000</v>
      </c>
      <c r="V16" s="82">
        <v>3820000</v>
      </c>
      <c r="W16" s="81">
        <v>4489000</v>
      </c>
      <c r="X16" s="82">
        <v>3931000</v>
      </c>
      <c r="Y16" s="81">
        <v>4531000</v>
      </c>
      <c r="Z16" s="82">
        <v>3973000</v>
      </c>
      <c r="AA16" s="81">
        <v>4731000</v>
      </c>
      <c r="AB16" s="82">
        <v>4173000</v>
      </c>
      <c r="AC16" s="81">
        <v>4731000</v>
      </c>
      <c r="AD16" s="82">
        <v>4173000</v>
      </c>
      <c r="AE16" s="81">
        <v>4481000</v>
      </c>
      <c r="AF16" s="82">
        <v>3923000</v>
      </c>
      <c r="AG16" s="81">
        <v>4864000</v>
      </c>
      <c r="AH16" s="82">
        <v>4306000</v>
      </c>
      <c r="AI16" s="81">
        <v>4122000</v>
      </c>
      <c r="AJ16" s="82">
        <v>3564000</v>
      </c>
      <c r="AK16" s="81">
        <v>4726000</v>
      </c>
      <c r="AL16" s="82">
        <v>4168000</v>
      </c>
      <c r="AM16" s="81">
        <v>4880000</v>
      </c>
      <c r="AN16" s="82">
        <v>4322000</v>
      </c>
      <c r="AO16" s="81">
        <v>4726000</v>
      </c>
      <c r="AP16" s="82">
        <v>4168000</v>
      </c>
      <c r="AQ16" s="81">
        <v>4777000</v>
      </c>
      <c r="AR16" s="82">
        <v>4219000</v>
      </c>
      <c r="AS16" s="81">
        <v>4738000</v>
      </c>
      <c r="AT16" s="82">
        <v>4180000</v>
      </c>
      <c r="AU16" s="81">
        <v>4826000</v>
      </c>
      <c r="AV16" s="82">
        <v>4268000</v>
      </c>
      <c r="AW16" s="81">
        <v>4260000</v>
      </c>
      <c r="AX16" s="82">
        <v>3702000</v>
      </c>
      <c r="AY16" s="81">
        <v>4260000</v>
      </c>
      <c r="AZ16" s="82">
        <v>3702000</v>
      </c>
      <c r="BA16" s="81">
        <v>4260000</v>
      </c>
      <c r="BB16" s="82">
        <v>3702000</v>
      </c>
      <c r="BC16" s="81">
        <v>4260000</v>
      </c>
      <c r="BD16" s="82">
        <v>3702000</v>
      </c>
      <c r="BE16" s="81">
        <v>4250000</v>
      </c>
      <c r="BF16" s="82">
        <v>3692000</v>
      </c>
      <c r="BG16" s="81">
        <v>4316000</v>
      </c>
      <c r="BH16" s="82">
        <v>3758000</v>
      </c>
      <c r="BI16" s="81">
        <v>4316000</v>
      </c>
      <c r="BJ16" s="82">
        <v>3758000</v>
      </c>
      <c r="BK16" s="81">
        <v>4302000</v>
      </c>
      <c r="BL16" s="82">
        <v>3744000</v>
      </c>
      <c r="BM16" s="81">
        <v>4260000</v>
      </c>
      <c r="BN16" s="82">
        <v>3702000</v>
      </c>
      <c r="BO16" s="81">
        <v>4246000</v>
      </c>
      <c r="BP16" s="82">
        <v>3688000</v>
      </c>
      <c r="BQ16" s="81">
        <v>4246000</v>
      </c>
      <c r="BR16" s="82">
        <v>3688000</v>
      </c>
      <c r="BS16" s="81">
        <v>4246000</v>
      </c>
      <c r="BT16" s="82">
        <v>3688000</v>
      </c>
      <c r="BU16" s="81">
        <v>4215000</v>
      </c>
      <c r="BV16" s="82">
        <v>3657000</v>
      </c>
      <c r="BW16" s="81">
        <v>4148000</v>
      </c>
      <c r="BX16" s="82">
        <v>3590000</v>
      </c>
      <c r="BY16" s="81">
        <v>4148000</v>
      </c>
      <c r="BZ16" s="82">
        <v>3590000</v>
      </c>
      <c r="CA16" s="81">
        <v>4215000</v>
      </c>
      <c r="CB16" s="82">
        <v>3657000</v>
      </c>
      <c r="CC16" s="81">
        <v>4618000</v>
      </c>
      <c r="CD16" s="82">
        <v>4060000</v>
      </c>
    </row>
    <row r="17" spans="1:82" ht="15.75" customHeight="1" x14ac:dyDescent="0.3">
      <c r="A17" s="74"/>
      <c r="B17" s="85" t="s">
        <v>427</v>
      </c>
      <c r="C17" s="86"/>
      <c r="D17" s="87"/>
      <c r="E17" s="86"/>
      <c r="F17" s="87"/>
      <c r="G17" s="86"/>
      <c r="H17" s="87"/>
      <c r="I17" s="86"/>
      <c r="J17" s="87"/>
      <c r="K17" s="86"/>
      <c r="L17" s="87"/>
      <c r="M17" s="88"/>
      <c r="N17" s="87"/>
      <c r="O17" s="88"/>
      <c r="P17" s="87"/>
      <c r="Q17" s="88"/>
      <c r="R17" s="87"/>
      <c r="S17" s="88"/>
      <c r="T17" s="87"/>
      <c r="U17" s="88"/>
      <c r="V17" s="87"/>
      <c r="W17" s="88"/>
      <c r="X17" s="87"/>
      <c r="Y17" s="88"/>
      <c r="Z17" s="87"/>
      <c r="AA17" s="88"/>
      <c r="AB17" s="87"/>
      <c r="AC17" s="88"/>
      <c r="AD17" s="87"/>
      <c r="AE17" s="88"/>
      <c r="AF17" s="87"/>
      <c r="AG17" s="88"/>
      <c r="AH17" s="87"/>
      <c r="AI17" s="88"/>
      <c r="AJ17" s="87"/>
      <c r="AK17" s="88"/>
      <c r="AL17" s="87"/>
      <c r="AM17" s="88"/>
      <c r="AN17" s="87"/>
      <c r="AO17" s="88"/>
      <c r="AP17" s="87"/>
      <c r="AQ17" s="88"/>
      <c r="AR17" s="87"/>
      <c r="AS17" s="88"/>
      <c r="AT17" s="87"/>
      <c r="AU17" s="88"/>
      <c r="AV17" s="87"/>
      <c r="AW17" s="88"/>
      <c r="AX17" s="87"/>
      <c r="AY17" s="88"/>
      <c r="AZ17" s="87"/>
      <c r="BA17" s="88"/>
      <c r="BB17" s="87"/>
      <c r="BC17" s="88"/>
      <c r="BD17" s="87"/>
      <c r="BE17" s="88"/>
      <c r="BF17" s="87"/>
      <c r="BG17" s="88"/>
      <c r="BH17" s="87"/>
      <c r="BI17" s="88"/>
      <c r="BJ17" s="87"/>
      <c r="BK17" s="88"/>
      <c r="BL17" s="87"/>
      <c r="BM17" s="88"/>
      <c r="BN17" s="87"/>
      <c r="BO17" s="88"/>
      <c r="BP17" s="87"/>
      <c r="BQ17" s="88"/>
      <c r="BR17" s="87"/>
      <c r="BS17" s="88"/>
      <c r="BT17" s="87"/>
      <c r="BU17" s="88"/>
      <c r="BV17" s="87"/>
      <c r="BW17" s="88"/>
      <c r="BX17" s="87"/>
      <c r="BY17" s="88"/>
      <c r="BZ17" s="87"/>
      <c r="CA17" s="88"/>
      <c r="CB17" s="87"/>
      <c r="CC17" s="88"/>
      <c r="CD17" s="87"/>
    </row>
    <row r="18" spans="1:82" ht="15.75" customHeight="1" x14ac:dyDescent="0.25">
      <c r="A18" s="79">
        <v>1</v>
      </c>
      <c r="B18" s="80" t="s">
        <v>428</v>
      </c>
      <c r="C18" s="81">
        <v>3406000</v>
      </c>
      <c r="D18" s="82">
        <v>3031000</v>
      </c>
      <c r="E18" s="81">
        <v>2900000</v>
      </c>
      <c r="F18" s="82">
        <v>2525000</v>
      </c>
      <c r="G18" s="81">
        <v>3909000</v>
      </c>
      <c r="H18" s="82">
        <v>3534000</v>
      </c>
      <c r="I18" s="81">
        <v>3452000</v>
      </c>
      <c r="J18" s="82">
        <v>3077000</v>
      </c>
      <c r="K18" s="81">
        <v>4697000</v>
      </c>
      <c r="L18" s="82">
        <v>4322000</v>
      </c>
      <c r="M18" s="81">
        <v>2870000</v>
      </c>
      <c r="N18" s="82">
        <v>2495000</v>
      </c>
      <c r="O18" s="81">
        <v>3617000</v>
      </c>
      <c r="P18" s="82">
        <v>3242000</v>
      </c>
      <c r="Q18" s="81">
        <v>2421000</v>
      </c>
      <c r="R18" s="82">
        <v>2046000</v>
      </c>
      <c r="S18" s="81">
        <v>2328000</v>
      </c>
      <c r="T18" s="82">
        <v>1953000</v>
      </c>
      <c r="U18" s="81">
        <v>2540000</v>
      </c>
      <c r="V18" s="82">
        <v>2165000</v>
      </c>
      <c r="W18" s="81">
        <v>2588000</v>
      </c>
      <c r="X18" s="82">
        <v>2213000</v>
      </c>
      <c r="Y18" s="81">
        <v>2608000</v>
      </c>
      <c r="Z18" s="82">
        <v>2233000</v>
      </c>
      <c r="AA18" s="81">
        <v>2694000</v>
      </c>
      <c r="AB18" s="82">
        <v>2319000</v>
      </c>
      <c r="AC18" s="81">
        <v>2694000</v>
      </c>
      <c r="AD18" s="82">
        <v>2319000</v>
      </c>
      <c r="AE18" s="81">
        <v>2584000</v>
      </c>
      <c r="AF18" s="82">
        <v>2209000</v>
      </c>
      <c r="AG18" s="81">
        <v>2744000</v>
      </c>
      <c r="AH18" s="82">
        <v>2369000</v>
      </c>
      <c r="AI18" s="81">
        <v>2434000</v>
      </c>
      <c r="AJ18" s="82">
        <v>2059000</v>
      </c>
      <c r="AK18" s="81">
        <v>2687000</v>
      </c>
      <c r="AL18" s="82">
        <v>2312000</v>
      </c>
      <c r="AM18" s="81">
        <v>2751000</v>
      </c>
      <c r="AN18" s="82">
        <v>2376000</v>
      </c>
      <c r="AO18" s="81">
        <v>2687000</v>
      </c>
      <c r="AP18" s="82">
        <v>2312000</v>
      </c>
      <c r="AQ18" s="81">
        <v>2708000</v>
      </c>
      <c r="AR18" s="82">
        <v>2333000</v>
      </c>
      <c r="AS18" s="81">
        <v>2692000</v>
      </c>
      <c r="AT18" s="82">
        <v>2317000</v>
      </c>
      <c r="AU18" s="81">
        <v>2728000</v>
      </c>
      <c r="AV18" s="82">
        <v>2353000</v>
      </c>
      <c r="AW18" s="81">
        <v>2488000</v>
      </c>
      <c r="AX18" s="82">
        <v>2113000</v>
      </c>
      <c r="AY18" s="81">
        <v>2488000</v>
      </c>
      <c r="AZ18" s="82">
        <v>2113000</v>
      </c>
      <c r="BA18" s="81">
        <v>2488000</v>
      </c>
      <c r="BB18" s="82">
        <v>2113000</v>
      </c>
      <c r="BC18" s="81">
        <v>2488000</v>
      </c>
      <c r="BD18" s="82">
        <v>2113000</v>
      </c>
      <c r="BE18" s="81">
        <v>2484000</v>
      </c>
      <c r="BF18" s="82">
        <v>2109000</v>
      </c>
      <c r="BG18" s="81">
        <v>2511000</v>
      </c>
      <c r="BH18" s="82">
        <v>2136000</v>
      </c>
      <c r="BI18" s="81">
        <v>2511000</v>
      </c>
      <c r="BJ18" s="82">
        <v>2136000</v>
      </c>
      <c r="BK18" s="81">
        <v>2506000</v>
      </c>
      <c r="BL18" s="82">
        <v>2131000</v>
      </c>
      <c r="BM18" s="81">
        <v>2488000</v>
      </c>
      <c r="BN18" s="82">
        <v>2113000</v>
      </c>
      <c r="BO18" s="81">
        <v>2482000</v>
      </c>
      <c r="BP18" s="82">
        <v>2107000</v>
      </c>
      <c r="BQ18" s="81">
        <v>2482000</v>
      </c>
      <c r="BR18" s="82">
        <v>2107000</v>
      </c>
      <c r="BS18" s="81">
        <v>2482000</v>
      </c>
      <c r="BT18" s="82">
        <v>2107000</v>
      </c>
      <c r="BU18" s="81">
        <v>2477000</v>
      </c>
      <c r="BV18" s="82">
        <v>2102000</v>
      </c>
      <c r="BW18" s="81">
        <v>2449000</v>
      </c>
      <c r="BX18" s="82">
        <v>2074000</v>
      </c>
      <c r="BY18" s="81">
        <v>2449000</v>
      </c>
      <c r="BZ18" s="82">
        <v>2074000</v>
      </c>
      <c r="CA18" s="81">
        <v>2477000</v>
      </c>
      <c r="CB18" s="82">
        <v>2102000</v>
      </c>
      <c r="CC18" s="81">
        <v>2643000</v>
      </c>
      <c r="CD18" s="82">
        <v>2268000</v>
      </c>
    </row>
    <row r="19" spans="1:82" ht="15.75" customHeight="1" x14ac:dyDescent="0.25">
      <c r="A19" s="83">
        <v>2</v>
      </c>
      <c r="B19" s="84" t="s">
        <v>429</v>
      </c>
      <c r="C19" s="81">
        <v>3863000</v>
      </c>
      <c r="D19" s="82">
        <v>3446000</v>
      </c>
      <c r="E19" s="81">
        <v>3256000</v>
      </c>
      <c r="F19" s="82">
        <v>2839000</v>
      </c>
      <c r="G19" s="81">
        <v>4467000</v>
      </c>
      <c r="H19" s="82">
        <v>4050000</v>
      </c>
      <c r="I19" s="81">
        <v>3919000</v>
      </c>
      <c r="J19" s="82">
        <v>3502000</v>
      </c>
      <c r="K19" s="81">
        <v>5413000</v>
      </c>
      <c r="L19" s="82">
        <v>4996000</v>
      </c>
      <c r="M19" s="81">
        <v>3182000</v>
      </c>
      <c r="N19" s="82">
        <v>2765000</v>
      </c>
      <c r="O19" s="81">
        <v>4168000</v>
      </c>
      <c r="P19" s="82">
        <v>3751000</v>
      </c>
      <c r="Q19" s="81">
        <v>2679000</v>
      </c>
      <c r="R19" s="82">
        <v>2262000</v>
      </c>
      <c r="S19" s="81">
        <v>2567000</v>
      </c>
      <c r="T19" s="82">
        <v>2150000</v>
      </c>
      <c r="U19" s="81">
        <v>2817000</v>
      </c>
      <c r="V19" s="82">
        <v>2400000</v>
      </c>
      <c r="W19" s="81">
        <v>2873000</v>
      </c>
      <c r="X19" s="82">
        <v>2456000</v>
      </c>
      <c r="Y19" s="81">
        <v>2894000</v>
      </c>
      <c r="Z19" s="82">
        <v>2477000</v>
      </c>
      <c r="AA19" s="81">
        <v>2994000</v>
      </c>
      <c r="AB19" s="82">
        <v>2577000</v>
      </c>
      <c r="AC19" s="81">
        <v>2994000</v>
      </c>
      <c r="AD19" s="82">
        <v>2577000</v>
      </c>
      <c r="AE19" s="81">
        <v>2869000</v>
      </c>
      <c r="AF19" s="82">
        <v>2452000</v>
      </c>
      <c r="AG19" s="81">
        <v>3060000</v>
      </c>
      <c r="AH19" s="82">
        <v>2643000</v>
      </c>
      <c r="AI19" s="81">
        <v>2689000</v>
      </c>
      <c r="AJ19" s="82">
        <v>2272000</v>
      </c>
      <c r="AK19" s="81">
        <v>2991000</v>
      </c>
      <c r="AL19" s="82">
        <v>2574000</v>
      </c>
      <c r="AM19" s="81">
        <v>3068000</v>
      </c>
      <c r="AN19" s="82">
        <v>2651000</v>
      </c>
      <c r="AO19" s="81">
        <v>2991000</v>
      </c>
      <c r="AP19" s="82">
        <v>2574000</v>
      </c>
      <c r="AQ19" s="81">
        <v>3017000</v>
      </c>
      <c r="AR19" s="82">
        <v>2600000</v>
      </c>
      <c r="AS19" s="81">
        <v>2997000</v>
      </c>
      <c r="AT19" s="82">
        <v>2580000</v>
      </c>
      <c r="AU19" s="81">
        <v>3041000</v>
      </c>
      <c r="AV19" s="82">
        <v>2624000</v>
      </c>
      <c r="AW19" s="81">
        <v>2758000</v>
      </c>
      <c r="AX19" s="82">
        <v>2341000</v>
      </c>
      <c r="AY19" s="81">
        <v>2758000</v>
      </c>
      <c r="AZ19" s="82">
        <v>2341000</v>
      </c>
      <c r="BA19" s="81">
        <v>2758000</v>
      </c>
      <c r="BB19" s="82">
        <v>2341000</v>
      </c>
      <c r="BC19" s="81">
        <v>2758000</v>
      </c>
      <c r="BD19" s="82">
        <v>2341000</v>
      </c>
      <c r="BE19" s="81">
        <v>2753000</v>
      </c>
      <c r="BF19" s="82">
        <v>2336000</v>
      </c>
      <c r="BG19" s="81">
        <v>2786000</v>
      </c>
      <c r="BH19" s="82">
        <v>2369000</v>
      </c>
      <c r="BI19" s="81">
        <v>2786000</v>
      </c>
      <c r="BJ19" s="82">
        <v>2369000</v>
      </c>
      <c r="BK19" s="81">
        <v>2779000</v>
      </c>
      <c r="BL19" s="82">
        <v>2362000</v>
      </c>
      <c r="BM19" s="81">
        <v>2758000</v>
      </c>
      <c r="BN19" s="82">
        <v>2341000</v>
      </c>
      <c r="BO19" s="81">
        <v>2751000</v>
      </c>
      <c r="BP19" s="82">
        <v>2334000</v>
      </c>
      <c r="BQ19" s="81">
        <v>2751000</v>
      </c>
      <c r="BR19" s="82">
        <v>2334000</v>
      </c>
      <c r="BS19" s="81">
        <v>2751000</v>
      </c>
      <c r="BT19" s="82">
        <v>2334000</v>
      </c>
      <c r="BU19" s="81">
        <v>2736000</v>
      </c>
      <c r="BV19" s="82">
        <v>2319000</v>
      </c>
      <c r="BW19" s="81">
        <v>2702000</v>
      </c>
      <c r="BX19" s="82">
        <v>2285000</v>
      </c>
      <c r="BY19" s="81">
        <v>2702000</v>
      </c>
      <c r="BZ19" s="82">
        <v>2285000</v>
      </c>
      <c r="CA19" s="81">
        <v>2736000</v>
      </c>
      <c r="CB19" s="82">
        <v>2319000</v>
      </c>
      <c r="CC19" s="81">
        <v>2937000</v>
      </c>
      <c r="CD19" s="82">
        <v>2520000</v>
      </c>
    </row>
    <row r="20" spans="1:82" ht="15.75" customHeight="1" x14ac:dyDescent="0.25">
      <c r="A20" s="83">
        <v>3</v>
      </c>
      <c r="B20" s="84" t="s">
        <v>430</v>
      </c>
      <c r="C20" s="81">
        <v>3978000</v>
      </c>
      <c r="D20" s="82">
        <v>3549000</v>
      </c>
      <c r="E20" s="81">
        <v>3346000</v>
      </c>
      <c r="F20" s="82">
        <v>2917000</v>
      </c>
      <c r="G20" s="81">
        <v>4608000</v>
      </c>
      <c r="H20" s="82">
        <v>4179000</v>
      </c>
      <c r="I20" s="81">
        <v>4036000</v>
      </c>
      <c r="J20" s="82">
        <v>3607000</v>
      </c>
      <c r="K20" s="81">
        <v>5592000</v>
      </c>
      <c r="L20" s="82">
        <v>5163000</v>
      </c>
      <c r="M20" s="81">
        <v>3261000</v>
      </c>
      <c r="N20" s="82">
        <v>2832000</v>
      </c>
      <c r="O20" s="81">
        <v>4307000</v>
      </c>
      <c r="P20" s="82">
        <v>3878000</v>
      </c>
      <c r="Q20" s="81">
        <v>2744000</v>
      </c>
      <c r="R20" s="82">
        <v>2315000</v>
      </c>
      <c r="S20" s="81">
        <v>2627000</v>
      </c>
      <c r="T20" s="82">
        <v>2198000</v>
      </c>
      <c r="U20" s="81">
        <v>2887000</v>
      </c>
      <c r="V20" s="82">
        <v>2458000</v>
      </c>
      <c r="W20" s="81">
        <v>2945000</v>
      </c>
      <c r="X20" s="82">
        <v>2516000</v>
      </c>
      <c r="Y20" s="81">
        <v>2966000</v>
      </c>
      <c r="Z20" s="82">
        <v>2537000</v>
      </c>
      <c r="AA20" s="81">
        <v>3070000</v>
      </c>
      <c r="AB20" s="82">
        <v>2641000</v>
      </c>
      <c r="AC20" s="81">
        <v>3070000</v>
      </c>
      <c r="AD20" s="82">
        <v>2641000</v>
      </c>
      <c r="AE20" s="81">
        <v>2941000</v>
      </c>
      <c r="AF20" s="82">
        <v>2512000</v>
      </c>
      <c r="AG20" s="81">
        <v>3140000</v>
      </c>
      <c r="AH20" s="82">
        <v>2711000</v>
      </c>
      <c r="AI20" s="81">
        <v>2754000</v>
      </c>
      <c r="AJ20" s="82">
        <v>2325000</v>
      </c>
      <c r="AK20" s="81">
        <v>3068000</v>
      </c>
      <c r="AL20" s="82">
        <v>2639000</v>
      </c>
      <c r="AM20" s="81">
        <v>3148000</v>
      </c>
      <c r="AN20" s="82">
        <v>2719000</v>
      </c>
      <c r="AO20" s="81">
        <v>3068000</v>
      </c>
      <c r="AP20" s="82">
        <v>2639000</v>
      </c>
      <c r="AQ20" s="81">
        <v>3095000</v>
      </c>
      <c r="AR20" s="82">
        <v>2666000</v>
      </c>
      <c r="AS20" s="81">
        <v>3075000</v>
      </c>
      <c r="AT20" s="82">
        <v>2646000</v>
      </c>
      <c r="AU20" s="81">
        <v>3120000</v>
      </c>
      <c r="AV20" s="82">
        <v>2691000</v>
      </c>
      <c r="AW20" s="81">
        <v>2827000</v>
      </c>
      <c r="AX20" s="82">
        <v>2398000</v>
      </c>
      <c r="AY20" s="81">
        <v>2827000</v>
      </c>
      <c r="AZ20" s="82">
        <v>2398000</v>
      </c>
      <c r="BA20" s="81">
        <v>2827000</v>
      </c>
      <c r="BB20" s="82">
        <v>2398000</v>
      </c>
      <c r="BC20" s="81">
        <v>2827000</v>
      </c>
      <c r="BD20" s="82">
        <v>2398000</v>
      </c>
      <c r="BE20" s="81">
        <v>2821000</v>
      </c>
      <c r="BF20" s="82">
        <v>2392000</v>
      </c>
      <c r="BG20" s="81">
        <v>2856000</v>
      </c>
      <c r="BH20" s="82">
        <v>2427000</v>
      </c>
      <c r="BI20" s="81">
        <v>2856000</v>
      </c>
      <c r="BJ20" s="82">
        <v>2427000</v>
      </c>
      <c r="BK20" s="81">
        <v>2848000</v>
      </c>
      <c r="BL20" s="82">
        <v>2419000</v>
      </c>
      <c r="BM20" s="81">
        <v>2827000</v>
      </c>
      <c r="BN20" s="82">
        <v>2398000</v>
      </c>
      <c r="BO20" s="81">
        <v>2820000</v>
      </c>
      <c r="BP20" s="82">
        <v>2391000</v>
      </c>
      <c r="BQ20" s="81">
        <v>2820000</v>
      </c>
      <c r="BR20" s="82">
        <v>2391000</v>
      </c>
      <c r="BS20" s="81">
        <v>2820000</v>
      </c>
      <c r="BT20" s="82">
        <v>2391000</v>
      </c>
      <c r="BU20" s="81">
        <v>2801000</v>
      </c>
      <c r="BV20" s="82">
        <v>2372000</v>
      </c>
      <c r="BW20" s="81">
        <v>2766000</v>
      </c>
      <c r="BX20" s="82">
        <v>2337000</v>
      </c>
      <c r="BY20" s="81">
        <v>2766000</v>
      </c>
      <c r="BZ20" s="82">
        <v>2337000</v>
      </c>
      <c r="CA20" s="81">
        <v>2801000</v>
      </c>
      <c r="CB20" s="82">
        <v>2372000</v>
      </c>
      <c r="CC20" s="81">
        <v>3012000</v>
      </c>
      <c r="CD20" s="82">
        <v>2583000</v>
      </c>
    </row>
    <row r="21" spans="1:82" ht="15.75" customHeight="1" x14ac:dyDescent="0.25">
      <c r="A21" s="83">
        <v>4</v>
      </c>
      <c r="B21" s="84" t="s">
        <v>431</v>
      </c>
      <c r="C21" s="81">
        <v>4264000</v>
      </c>
      <c r="D21" s="82">
        <v>3809000</v>
      </c>
      <c r="E21" s="81">
        <v>3568000</v>
      </c>
      <c r="F21" s="82">
        <v>3113000</v>
      </c>
      <c r="G21" s="81">
        <v>4956000</v>
      </c>
      <c r="H21" s="82">
        <v>4501000</v>
      </c>
      <c r="I21" s="81">
        <v>4327000</v>
      </c>
      <c r="J21" s="82">
        <v>3872000</v>
      </c>
      <c r="K21" s="81">
        <v>6039000</v>
      </c>
      <c r="L21" s="82">
        <v>5584000</v>
      </c>
      <c r="M21" s="81">
        <v>3455000</v>
      </c>
      <c r="N21" s="82">
        <v>3000000</v>
      </c>
      <c r="O21" s="81">
        <v>4651000</v>
      </c>
      <c r="P21" s="82">
        <v>4196000</v>
      </c>
      <c r="Q21" s="81">
        <v>2904000</v>
      </c>
      <c r="R21" s="82">
        <v>2449000</v>
      </c>
      <c r="S21" s="81">
        <v>2776000</v>
      </c>
      <c r="T21" s="82">
        <v>2321000</v>
      </c>
      <c r="U21" s="81">
        <v>3060000</v>
      </c>
      <c r="V21" s="82">
        <v>2605000</v>
      </c>
      <c r="W21" s="81">
        <v>3122000</v>
      </c>
      <c r="X21" s="82">
        <v>2667000</v>
      </c>
      <c r="Y21" s="81">
        <v>3144000</v>
      </c>
      <c r="Z21" s="82">
        <v>2689000</v>
      </c>
      <c r="AA21" s="81">
        <v>3257000</v>
      </c>
      <c r="AB21" s="82">
        <v>2802000</v>
      </c>
      <c r="AC21" s="81">
        <v>3257000</v>
      </c>
      <c r="AD21" s="82">
        <v>2802000</v>
      </c>
      <c r="AE21" s="81">
        <v>3118000</v>
      </c>
      <c r="AF21" s="82">
        <v>2663000</v>
      </c>
      <c r="AG21" s="81">
        <v>3337000</v>
      </c>
      <c r="AH21" s="82">
        <v>2882000</v>
      </c>
      <c r="AI21" s="81">
        <v>2913000</v>
      </c>
      <c r="AJ21" s="82">
        <v>2458000</v>
      </c>
      <c r="AK21" s="81">
        <v>3258000</v>
      </c>
      <c r="AL21" s="82">
        <v>2803000</v>
      </c>
      <c r="AM21" s="81">
        <v>3346000</v>
      </c>
      <c r="AN21" s="82">
        <v>2891000</v>
      </c>
      <c r="AO21" s="81">
        <v>3258000</v>
      </c>
      <c r="AP21" s="82">
        <v>2803000</v>
      </c>
      <c r="AQ21" s="81">
        <v>3287000</v>
      </c>
      <c r="AR21" s="82">
        <v>2832000</v>
      </c>
      <c r="AS21" s="81">
        <v>3265000</v>
      </c>
      <c r="AT21" s="82">
        <v>2810000</v>
      </c>
      <c r="AU21" s="81">
        <v>3315000</v>
      </c>
      <c r="AV21" s="82">
        <v>2860000</v>
      </c>
      <c r="AW21" s="81">
        <v>2995000</v>
      </c>
      <c r="AX21" s="82">
        <v>2540000</v>
      </c>
      <c r="AY21" s="81">
        <v>2995000</v>
      </c>
      <c r="AZ21" s="82">
        <v>2540000</v>
      </c>
      <c r="BA21" s="81">
        <v>2995000</v>
      </c>
      <c r="BB21" s="82">
        <v>2540000</v>
      </c>
      <c r="BC21" s="81">
        <v>2995000</v>
      </c>
      <c r="BD21" s="82">
        <v>2540000</v>
      </c>
      <c r="BE21" s="81">
        <v>2989000</v>
      </c>
      <c r="BF21" s="82">
        <v>2534000</v>
      </c>
      <c r="BG21" s="81">
        <v>3027000</v>
      </c>
      <c r="BH21" s="82">
        <v>2572000</v>
      </c>
      <c r="BI21" s="81">
        <v>3027000</v>
      </c>
      <c r="BJ21" s="82">
        <v>2572000</v>
      </c>
      <c r="BK21" s="81">
        <v>3019000</v>
      </c>
      <c r="BL21" s="82">
        <v>2564000</v>
      </c>
      <c r="BM21" s="81">
        <v>2995000</v>
      </c>
      <c r="BN21" s="82">
        <v>2540000</v>
      </c>
      <c r="BO21" s="81">
        <v>2987000</v>
      </c>
      <c r="BP21" s="82">
        <v>2532000</v>
      </c>
      <c r="BQ21" s="81">
        <v>2987000</v>
      </c>
      <c r="BR21" s="82">
        <v>2532000</v>
      </c>
      <c r="BS21" s="81">
        <v>2987000</v>
      </c>
      <c r="BT21" s="82">
        <v>2532000</v>
      </c>
      <c r="BU21" s="81">
        <v>2962000</v>
      </c>
      <c r="BV21" s="82">
        <v>2507000</v>
      </c>
      <c r="BW21" s="81">
        <v>2924000</v>
      </c>
      <c r="BX21" s="82">
        <v>2469000</v>
      </c>
      <c r="BY21" s="81">
        <v>2924000</v>
      </c>
      <c r="BZ21" s="82">
        <v>2469000</v>
      </c>
      <c r="CA21" s="81">
        <v>2962000</v>
      </c>
      <c r="CB21" s="82">
        <v>2507000</v>
      </c>
      <c r="CC21" s="81">
        <v>3195000</v>
      </c>
      <c r="CD21" s="82">
        <v>2740000</v>
      </c>
    </row>
    <row r="22" spans="1:82" ht="15.75" customHeight="1" x14ac:dyDescent="0.25">
      <c r="A22" s="83">
        <v>5</v>
      </c>
      <c r="B22" s="84" t="s">
        <v>432</v>
      </c>
      <c r="C22" s="81">
        <v>4550000</v>
      </c>
      <c r="D22" s="82">
        <v>4068000</v>
      </c>
      <c r="E22" s="81">
        <v>3792000</v>
      </c>
      <c r="F22" s="82">
        <v>3310000</v>
      </c>
      <c r="G22" s="81">
        <v>5305000</v>
      </c>
      <c r="H22" s="82">
        <v>4823000</v>
      </c>
      <c r="I22" s="81">
        <v>4620000</v>
      </c>
      <c r="J22" s="82">
        <v>4138000</v>
      </c>
      <c r="K22" s="81">
        <v>6487000</v>
      </c>
      <c r="L22" s="82">
        <v>6005000</v>
      </c>
      <c r="M22" s="81">
        <v>3650000</v>
      </c>
      <c r="N22" s="82">
        <v>3168000</v>
      </c>
      <c r="O22" s="81">
        <v>4995000</v>
      </c>
      <c r="P22" s="82">
        <v>4513000</v>
      </c>
      <c r="Q22" s="81">
        <v>3065000</v>
      </c>
      <c r="R22" s="82">
        <v>2583000</v>
      </c>
      <c r="S22" s="81">
        <v>2925000</v>
      </c>
      <c r="T22" s="82">
        <v>2443000</v>
      </c>
      <c r="U22" s="81">
        <v>3233000</v>
      </c>
      <c r="V22" s="82">
        <v>2751000</v>
      </c>
      <c r="W22" s="81">
        <v>3301000</v>
      </c>
      <c r="X22" s="82">
        <v>2819000</v>
      </c>
      <c r="Y22" s="81">
        <v>3323000</v>
      </c>
      <c r="Z22" s="82">
        <v>2841000</v>
      </c>
      <c r="AA22" s="81">
        <v>3446000</v>
      </c>
      <c r="AB22" s="82">
        <v>2964000</v>
      </c>
      <c r="AC22" s="81">
        <v>3446000</v>
      </c>
      <c r="AD22" s="82">
        <v>2964000</v>
      </c>
      <c r="AE22" s="81">
        <v>3297000</v>
      </c>
      <c r="AF22" s="82">
        <v>2815000</v>
      </c>
      <c r="AG22" s="81">
        <v>3535000</v>
      </c>
      <c r="AH22" s="82">
        <v>3053000</v>
      </c>
      <c r="AI22" s="81">
        <v>3074000</v>
      </c>
      <c r="AJ22" s="82">
        <v>2592000</v>
      </c>
      <c r="AK22" s="81">
        <v>3448000</v>
      </c>
      <c r="AL22" s="82">
        <v>2966000</v>
      </c>
      <c r="AM22" s="81">
        <v>3544000</v>
      </c>
      <c r="AN22" s="82">
        <v>3062000</v>
      </c>
      <c r="AO22" s="81">
        <v>3448000</v>
      </c>
      <c r="AP22" s="82">
        <v>2966000</v>
      </c>
      <c r="AQ22" s="81">
        <v>3481000</v>
      </c>
      <c r="AR22" s="82">
        <v>2999000</v>
      </c>
      <c r="AS22" s="81">
        <v>3457000</v>
      </c>
      <c r="AT22" s="82">
        <v>2975000</v>
      </c>
      <c r="AU22" s="81">
        <v>3511000</v>
      </c>
      <c r="AV22" s="82">
        <v>3029000</v>
      </c>
      <c r="AW22" s="81">
        <v>3164000</v>
      </c>
      <c r="AX22" s="82">
        <v>2682000</v>
      </c>
      <c r="AY22" s="81">
        <v>3164000</v>
      </c>
      <c r="AZ22" s="82">
        <v>2682000</v>
      </c>
      <c r="BA22" s="81">
        <v>3164000</v>
      </c>
      <c r="BB22" s="82">
        <v>2682000</v>
      </c>
      <c r="BC22" s="81">
        <v>3164000</v>
      </c>
      <c r="BD22" s="82">
        <v>2682000</v>
      </c>
      <c r="BE22" s="81">
        <v>3158000</v>
      </c>
      <c r="BF22" s="82">
        <v>2676000</v>
      </c>
      <c r="BG22" s="81">
        <v>3199000</v>
      </c>
      <c r="BH22" s="82">
        <v>2717000</v>
      </c>
      <c r="BI22" s="81">
        <v>3199000</v>
      </c>
      <c r="BJ22" s="82">
        <v>2717000</v>
      </c>
      <c r="BK22" s="81">
        <v>3190000</v>
      </c>
      <c r="BL22" s="82">
        <v>2708000</v>
      </c>
      <c r="BM22" s="81">
        <v>3164000</v>
      </c>
      <c r="BN22" s="82">
        <v>2682000</v>
      </c>
      <c r="BO22" s="81">
        <v>3156000</v>
      </c>
      <c r="BP22" s="82">
        <v>2674000</v>
      </c>
      <c r="BQ22" s="81">
        <v>3156000</v>
      </c>
      <c r="BR22" s="82">
        <v>2674000</v>
      </c>
      <c r="BS22" s="81">
        <v>3156000</v>
      </c>
      <c r="BT22" s="82">
        <v>2674000</v>
      </c>
      <c r="BU22" s="81">
        <v>3124000</v>
      </c>
      <c r="BV22" s="82">
        <v>2642000</v>
      </c>
      <c r="BW22" s="81">
        <v>3082000</v>
      </c>
      <c r="BX22" s="82">
        <v>2600000</v>
      </c>
      <c r="BY22" s="81">
        <v>3082000</v>
      </c>
      <c r="BZ22" s="82">
        <v>2600000</v>
      </c>
      <c r="CA22" s="81">
        <v>3124000</v>
      </c>
      <c r="CB22" s="82">
        <v>2642000</v>
      </c>
      <c r="CC22" s="81">
        <v>3379000</v>
      </c>
      <c r="CD22" s="82">
        <v>2897000</v>
      </c>
    </row>
    <row r="23" spans="1:82" ht="15.75" customHeight="1" x14ac:dyDescent="0.25">
      <c r="A23" s="83">
        <v>6</v>
      </c>
      <c r="B23" s="84" t="s">
        <v>433</v>
      </c>
      <c r="C23" s="81">
        <v>6011000</v>
      </c>
      <c r="D23" s="82">
        <v>5423000</v>
      </c>
      <c r="E23" s="81">
        <v>5000000</v>
      </c>
      <c r="F23" s="82">
        <v>4412000</v>
      </c>
      <c r="G23" s="81">
        <v>7018000</v>
      </c>
      <c r="H23" s="82">
        <v>6430000</v>
      </c>
      <c r="I23" s="81">
        <v>6104000</v>
      </c>
      <c r="J23" s="82">
        <v>5516000</v>
      </c>
      <c r="K23" s="81">
        <v>8594000</v>
      </c>
      <c r="L23" s="82">
        <v>8006000</v>
      </c>
      <c r="M23" s="81">
        <v>4747000</v>
      </c>
      <c r="N23" s="82">
        <v>4159000</v>
      </c>
      <c r="O23" s="81">
        <v>6690000</v>
      </c>
      <c r="P23" s="82">
        <v>6102000</v>
      </c>
      <c r="Q23" s="81">
        <v>4026000</v>
      </c>
      <c r="R23" s="82">
        <v>3438000</v>
      </c>
      <c r="S23" s="81">
        <v>3856000</v>
      </c>
      <c r="T23" s="82">
        <v>3268000</v>
      </c>
      <c r="U23" s="81">
        <v>4280000</v>
      </c>
      <c r="V23" s="82">
        <v>3692000</v>
      </c>
      <c r="W23" s="81">
        <v>4376000</v>
      </c>
      <c r="X23" s="82">
        <v>3788000</v>
      </c>
      <c r="Y23" s="81">
        <v>4415000</v>
      </c>
      <c r="Z23" s="82">
        <v>3827000</v>
      </c>
      <c r="AA23" s="81">
        <v>4587000</v>
      </c>
      <c r="AB23" s="82">
        <v>3999000</v>
      </c>
      <c r="AC23" s="81">
        <v>4587000</v>
      </c>
      <c r="AD23" s="82">
        <v>3999000</v>
      </c>
      <c r="AE23" s="81">
        <v>4367000</v>
      </c>
      <c r="AF23" s="82">
        <v>3779000</v>
      </c>
      <c r="AG23" s="81">
        <v>4688000</v>
      </c>
      <c r="AH23" s="82">
        <v>4100000</v>
      </c>
      <c r="AI23" s="81">
        <v>4067000</v>
      </c>
      <c r="AJ23" s="82">
        <v>3479000</v>
      </c>
      <c r="AK23" s="81">
        <v>4574000</v>
      </c>
      <c r="AL23" s="82">
        <v>3986000</v>
      </c>
      <c r="AM23" s="81">
        <v>4702000</v>
      </c>
      <c r="AN23" s="82">
        <v>4114000</v>
      </c>
      <c r="AO23" s="81">
        <v>4574000</v>
      </c>
      <c r="AP23" s="82">
        <v>3986000</v>
      </c>
      <c r="AQ23" s="81">
        <v>4615000</v>
      </c>
      <c r="AR23" s="82">
        <v>4027000</v>
      </c>
      <c r="AS23" s="81">
        <v>4583000</v>
      </c>
      <c r="AT23" s="82">
        <v>3995000</v>
      </c>
      <c r="AU23" s="81">
        <v>4656000</v>
      </c>
      <c r="AV23" s="82">
        <v>4068000</v>
      </c>
      <c r="AW23" s="81">
        <v>4176000</v>
      </c>
      <c r="AX23" s="82">
        <v>3588000</v>
      </c>
      <c r="AY23" s="81">
        <v>4176000</v>
      </c>
      <c r="AZ23" s="82">
        <v>3588000</v>
      </c>
      <c r="BA23" s="81">
        <v>4176000</v>
      </c>
      <c r="BB23" s="82">
        <v>3588000</v>
      </c>
      <c r="BC23" s="81">
        <v>4176000</v>
      </c>
      <c r="BD23" s="82">
        <v>3588000</v>
      </c>
      <c r="BE23" s="81">
        <v>4167000</v>
      </c>
      <c r="BF23" s="82">
        <v>3579000</v>
      </c>
      <c r="BG23" s="81">
        <v>4222000</v>
      </c>
      <c r="BH23" s="82">
        <v>3634000</v>
      </c>
      <c r="BI23" s="81">
        <v>4222000</v>
      </c>
      <c r="BJ23" s="82">
        <v>3634000</v>
      </c>
      <c r="BK23" s="81">
        <v>4211000</v>
      </c>
      <c r="BL23" s="82">
        <v>3623000</v>
      </c>
      <c r="BM23" s="81">
        <v>4176000</v>
      </c>
      <c r="BN23" s="82">
        <v>3588000</v>
      </c>
      <c r="BO23" s="81">
        <v>4164000</v>
      </c>
      <c r="BP23" s="82">
        <v>3576000</v>
      </c>
      <c r="BQ23" s="81">
        <v>4164000</v>
      </c>
      <c r="BR23" s="82">
        <v>3576000</v>
      </c>
      <c r="BS23" s="81">
        <v>4164000</v>
      </c>
      <c r="BT23" s="82">
        <v>3576000</v>
      </c>
      <c r="BU23" s="81">
        <v>4154000</v>
      </c>
      <c r="BV23" s="82">
        <v>3566000</v>
      </c>
      <c r="BW23" s="81">
        <v>4098000</v>
      </c>
      <c r="BX23" s="82">
        <v>3510000</v>
      </c>
      <c r="BY23" s="81">
        <v>4098000</v>
      </c>
      <c r="BZ23" s="82">
        <v>3510000</v>
      </c>
      <c r="CA23" s="81">
        <v>4154000</v>
      </c>
      <c r="CB23" s="82">
        <v>3566000</v>
      </c>
      <c r="CC23" s="81">
        <v>4485000</v>
      </c>
      <c r="CD23" s="82">
        <v>3897000</v>
      </c>
    </row>
    <row r="24" spans="1:82" ht="15.75" customHeight="1" x14ac:dyDescent="0.25">
      <c r="A24" s="83">
        <v>7</v>
      </c>
      <c r="B24" s="84" t="s">
        <v>434</v>
      </c>
      <c r="C24" s="81">
        <v>6927000</v>
      </c>
      <c r="D24" s="82">
        <v>6254000</v>
      </c>
      <c r="E24" s="81">
        <v>5713000</v>
      </c>
      <c r="F24" s="82">
        <v>5040000</v>
      </c>
      <c r="G24" s="81">
        <v>8135000</v>
      </c>
      <c r="H24" s="82">
        <v>7462000</v>
      </c>
      <c r="I24" s="81">
        <v>7038000</v>
      </c>
      <c r="J24" s="82">
        <v>6365000</v>
      </c>
      <c r="K24" s="81">
        <v>10026000</v>
      </c>
      <c r="L24" s="82">
        <v>9353000</v>
      </c>
      <c r="M24" s="81">
        <v>5371000</v>
      </c>
      <c r="N24" s="82">
        <v>4698000</v>
      </c>
      <c r="O24" s="81">
        <v>7793000</v>
      </c>
      <c r="P24" s="82">
        <v>7120000</v>
      </c>
      <c r="Q24" s="81">
        <v>4541000</v>
      </c>
      <c r="R24" s="82">
        <v>3868000</v>
      </c>
      <c r="S24" s="81">
        <v>4334000</v>
      </c>
      <c r="T24" s="82">
        <v>3661000</v>
      </c>
      <c r="U24" s="81">
        <v>4835000</v>
      </c>
      <c r="V24" s="82">
        <v>4162000</v>
      </c>
      <c r="W24" s="81">
        <v>4946000</v>
      </c>
      <c r="X24" s="82">
        <v>4273000</v>
      </c>
      <c r="Y24" s="81">
        <v>4988000</v>
      </c>
      <c r="Z24" s="82">
        <v>4315000</v>
      </c>
      <c r="AA24" s="81">
        <v>5188000</v>
      </c>
      <c r="AB24" s="82">
        <v>4515000</v>
      </c>
      <c r="AC24" s="81">
        <v>5188000</v>
      </c>
      <c r="AD24" s="82">
        <v>4515000</v>
      </c>
      <c r="AE24" s="81">
        <v>4938000</v>
      </c>
      <c r="AF24" s="82">
        <v>4265000</v>
      </c>
      <c r="AG24" s="81">
        <v>5321000</v>
      </c>
      <c r="AH24" s="82">
        <v>4648000</v>
      </c>
      <c r="AI24" s="81">
        <v>4579000</v>
      </c>
      <c r="AJ24" s="82">
        <v>3906000</v>
      </c>
      <c r="AK24" s="81">
        <v>5183000</v>
      </c>
      <c r="AL24" s="82">
        <v>4510000</v>
      </c>
      <c r="AM24" s="81">
        <v>5337000</v>
      </c>
      <c r="AN24" s="82">
        <v>4664000</v>
      </c>
      <c r="AO24" s="81">
        <v>5183000</v>
      </c>
      <c r="AP24" s="82">
        <v>4510000</v>
      </c>
      <c r="AQ24" s="81">
        <v>5234000</v>
      </c>
      <c r="AR24" s="82">
        <v>4561000</v>
      </c>
      <c r="AS24" s="81">
        <v>5195000</v>
      </c>
      <c r="AT24" s="82">
        <v>4522000</v>
      </c>
      <c r="AU24" s="81">
        <v>5283000</v>
      </c>
      <c r="AV24" s="82">
        <v>4610000</v>
      </c>
      <c r="AW24" s="81">
        <v>4717000</v>
      </c>
      <c r="AX24" s="82">
        <v>4044000</v>
      </c>
      <c r="AY24" s="81">
        <v>4717000</v>
      </c>
      <c r="AZ24" s="82">
        <v>4044000</v>
      </c>
      <c r="BA24" s="81">
        <v>4717000</v>
      </c>
      <c r="BB24" s="82">
        <v>4044000</v>
      </c>
      <c r="BC24" s="81">
        <v>4717000</v>
      </c>
      <c r="BD24" s="82">
        <v>4044000</v>
      </c>
      <c r="BE24" s="81">
        <v>4707000</v>
      </c>
      <c r="BF24" s="82">
        <v>4034000</v>
      </c>
      <c r="BG24" s="81">
        <v>4773000</v>
      </c>
      <c r="BH24" s="82">
        <v>4100000</v>
      </c>
      <c r="BI24" s="81">
        <v>4773000</v>
      </c>
      <c r="BJ24" s="82">
        <v>4100000</v>
      </c>
      <c r="BK24" s="81">
        <v>4759000</v>
      </c>
      <c r="BL24" s="82">
        <v>4086000</v>
      </c>
      <c r="BM24" s="81">
        <v>4717000</v>
      </c>
      <c r="BN24" s="82">
        <v>4044000</v>
      </c>
      <c r="BO24" s="81">
        <v>4703000</v>
      </c>
      <c r="BP24" s="82">
        <v>4030000</v>
      </c>
      <c r="BQ24" s="81">
        <v>4703000</v>
      </c>
      <c r="BR24" s="82">
        <v>4030000</v>
      </c>
      <c r="BS24" s="81">
        <v>4703000</v>
      </c>
      <c r="BT24" s="82">
        <v>4030000</v>
      </c>
      <c r="BU24" s="81">
        <v>4672000</v>
      </c>
      <c r="BV24" s="82">
        <v>3999000</v>
      </c>
      <c r="BW24" s="81">
        <v>4605000</v>
      </c>
      <c r="BX24" s="82">
        <v>3932000</v>
      </c>
      <c r="BY24" s="81">
        <v>4605000</v>
      </c>
      <c r="BZ24" s="82">
        <v>3932000</v>
      </c>
      <c r="CA24" s="81">
        <v>4672000</v>
      </c>
      <c r="CB24" s="82">
        <v>3999000</v>
      </c>
      <c r="CC24" s="81">
        <v>5075000</v>
      </c>
      <c r="CD24" s="82">
        <v>4402000</v>
      </c>
    </row>
    <row r="25" spans="1:82" ht="15.75" customHeight="1" x14ac:dyDescent="0.25">
      <c r="A25" s="83">
        <v>8</v>
      </c>
      <c r="B25" s="84" t="s">
        <v>435</v>
      </c>
      <c r="C25" s="81">
        <v>7155000</v>
      </c>
      <c r="D25" s="82">
        <v>6461000</v>
      </c>
      <c r="E25" s="81">
        <v>5891000</v>
      </c>
      <c r="F25" s="82">
        <v>5197000</v>
      </c>
      <c r="G25" s="81">
        <v>8414000</v>
      </c>
      <c r="H25" s="82">
        <v>7720000</v>
      </c>
      <c r="I25" s="81">
        <v>7271000</v>
      </c>
      <c r="J25" s="82">
        <v>6577000</v>
      </c>
      <c r="K25" s="81">
        <v>10383000</v>
      </c>
      <c r="L25" s="82">
        <v>9689000</v>
      </c>
      <c r="M25" s="81">
        <v>5527000</v>
      </c>
      <c r="N25" s="82">
        <v>4833000</v>
      </c>
      <c r="O25" s="81">
        <v>8068000</v>
      </c>
      <c r="P25" s="82">
        <v>7374000</v>
      </c>
      <c r="Q25" s="81">
        <v>4670000</v>
      </c>
      <c r="R25" s="82">
        <v>3976000</v>
      </c>
      <c r="S25" s="81">
        <v>4453000</v>
      </c>
      <c r="T25" s="82">
        <v>3759000</v>
      </c>
      <c r="U25" s="81">
        <v>4973000</v>
      </c>
      <c r="V25" s="82">
        <v>4279000</v>
      </c>
      <c r="W25" s="81">
        <v>5088000</v>
      </c>
      <c r="X25" s="82">
        <v>4394000</v>
      </c>
      <c r="Y25" s="81">
        <v>5130000</v>
      </c>
      <c r="Z25" s="82">
        <v>4436000</v>
      </c>
      <c r="AA25" s="81">
        <v>5339000</v>
      </c>
      <c r="AB25" s="82">
        <v>4645000</v>
      </c>
      <c r="AC25" s="81">
        <v>5339000</v>
      </c>
      <c r="AD25" s="82">
        <v>4645000</v>
      </c>
      <c r="AE25" s="81">
        <v>5080000</v>
      </c>
      <c r="AF25" s="82">
        <v>4386000</v>
      </c>
      <c r="AG25" s="81">
        <v>5479000</v>
      </c>
      <c r="AH25" s="82">
        <v>4785000</v>
      </c>
      <c r="AI25" s="81">
        <v>4707000</v>
      </c>
      <c r="AJ25" s="82">
        <v>4013000</v>
      </c>
      <c r="AK25" s="81">
        <v>5335000</v>
      </c>
      <c r="AL25" s="82">
        <v>4641000</v>
      </c>
      <c r="AM25" s="81">
        <v>5495000</v>
      </c>
      <c r="AN25" s="82">
        <v>4801000</v>
      </c>
      <c r="AO25" s="81">
        <v>5335000</v>
      </c>
      <c r="AP25" s="82">
        <v>4641000</v>
      </c>
      <c r="AQ25" s="81">
        <v>5388000</v>
      </c>
      <c r="AR25" s="82">
        <v>4694000</v>
      </c>
      <c r="AS25" s="81">
        <v>5348000</v>
      </c>
      <c r="AT25" s="82">
        <v>4654000</v>
      </c>
      <c r="AU25" s="81">
        <v>5439000</v>
      </c>
      <c r="AV25" s="82">
        <v>4745000</v>
      </c>
      <c r="AW25" s="81">
        <v>4852000</v>
      </c>
      <c r="AX25" s="82">
        <v>4158000</v>
      </c>
      <c r="AY25" s="81">
        <v>4852000</v>
      </c>
      <c r="AZ25" s="82">
        <v>4158000</v>
      </c>
      <c r="BA25" s="81">
        <v>4852000</v>
      </c>
      <c r="BB25" s="82">
        <v>4158000</v>
      </c>
      <c r="BC25" s="81">
        <v>4852000</v>
      </c>
      <c r="BD25" s="82">
        <v>4158000</v>
      </c>
      <c r="BE25" s="81">
        <v>4841000</v>
      </c>
      <c r="BF25" s="82">
        <v>4147000</v>
      </c>
      <c r="BG25" s="81">
        <v>4910000</v>
      </c>
      <c r="BH25" s="82">
        <v>4216000</v>
      </c>
      <c r="BI25" s="81">
        <v>4910000</v>
      </c>
      <c r="BJ25" s="82">
        <v>4216000</v>
      </c>
      <c r="BK25" s="81">
        <v>4895000</v>
      </c>
      <c r="BL25" s="82">
        <v>4201000</v>
      </c>
      <c r="BM25" s="81">
        <v>4852000</v>
      </c>
      <c r="BN25" s="82">
        <v>4158000</v>
      </c>
      <c r="BO25" s="81">
        <v>4838000</v>
      </c>
      <c r="BP25" s="82">
        <v>4144000</v>
      </c>
      <c r="BQ25" s="81">
        <v>4838000</v>
      </c>
      <c r="BR25" s="82">
        <v>4144000</v>
      </c>
      <c r="BS25" s="81">
        <v>4838000</v>
      </c>
      <c r="BT25" s="82">
        <v>4144000</v>
      </c>
      <c r="BU25" s="81">
        <v>4801000</v>
      </c>
      <c r="BV25" s="82">
        <v>4107000</v>
      </c>
      <c r="BW25" s="81">
        <v>4731000</v>
      </c>
      <c r="BX25" s="82">
        <v>4037000</v>
      </c>
      <c r="BY25" s="81">
        <v>4731000</v>
      </c>
      <c r="BZ25" s="82">
        <v>4037000</v>
      </c>
      <c r="CA25" s="81">
        <v>4801000</v>
      </c>
      <c r="CB25" s="82">
        <v>4107000</v>
      </c>
      <c r="CC25" s="81">
        <v>5222000</v>
      </c>
      <c r="CD25" s="82">
        <v>4528000</v>
      </c>
    </row>
    <row r="26" spans="1:82" ht="15.75" customHeight="1" x14ac:dyDescent="0.25">
      <c r="A26" s="83">
        <v>9</v>
      </c>
      <c r="B26" s="84" t="s">
        <v>436</v>
      </c>
      <c r="C26" s="81">
        <v>7727000</v>
      </c>
      <c r="D26" s="82">
        <v>6980000</v>
      </c>
      <c r="E26" s="81">
        <v>6336000</v>
      </c>
      <c r="F26" s="82">
        <v>5589000</v>
      </c>
      <c r="G26" s="81">
        <v>9111000</v>
      </c>
      <c r="H26" s="82">
        <v>8364000</v>
      </c>
      <c r="I26" s="81">
        <v>7854000</v>
      </c>
      <c r="J26" s="82">
        <v>7107000</v>
      </c>
      <c r="K26" s="81">
        <v>11278000</v>
      </c>
      <c r="L26" s="82">
        <v>10531000</v>
      </c>
      <c r="M26" s="81">
        <v>5917000</v>
      </c>
      <c r="N26" s="82">
        <v>5170000</v>
      </c>
      <c r="O26" s="81">
        <v>8757000</v>
      </c>
      <c r="P26" s="82">
        <v>8010000</v>
      </c>
      <c r="Q26" s="81">
        <v>4991000</v>
      </c>
      <c r="R26" s="82">
        <v>4244000</v>
      </c>
      <c r="S26" s="81">
        <v>4751000</v>
      </c>
      <c r="T26" s="82">
        <v>4004000</v>
      </c>
      <c r="U26" s="81">
        <v>5319000</v>
      </c>
      <c r="V26" s="82">
        <v>4572000</v>
      </c>
      <c r="W26" s="81">
        <v>5444000</v>
      </c>
      <c r="X26" s="82">
        <v>4697000</v>
      </c>
      <c r="Y26" s="81">
        <v>5487000</v>
      </c>
      <c r="Z26" s="82">
        <v>4740000</v>
      </c>
      <c r="AA26" s="81">
        <v>5714000</v>
      </c>
      <c r="AB26" s="82">
        <v>4967000</v>
      </c>
      <c r="AC26" s="81">
        <v>5714000</v>
      </c>
      <c r="AD26" s="82">
        <v>4967000</v>
      </c>
      <c r="AE26" s="81">
        <v>5436000</v>
      </c>
      <c r="AF26" s="82">
        <v>4689000</v>
      </c>
      <c r="AG26" s="81">
        <v>5874000</v>
      </c>
      <c r="AH26" s="82">
        <v>5127000</v>
      </c>
      <c r="AI26" s="81">
        <v>5026000</v>
      </c>
      <c r="AJ26" s="82">
        <v>4279000</v>
      </c>
      <c r="AK26" s="81">
        <v>5715000</v>
      </c>
      <c r="AL26" s="82">
        <v>4968000</v>
      </c>
      <c r="AM26" s="81">
        <v>5891000</v>
      </c>
      <c r="AN26" s="82">
        <v>5144000</v>
      </c>
      <c r="AO26" s="81">
        <v>5715000</v>
      </c>
      <c r="AP26" s="82">
        <v>4968000</v>
      </c>
      <c r="AQ26" s="81">
        <v>5774000</v>
      </c>
      <c r="AR26" s="82">
        <v>5027000</v>
      </c>
      <c r="AS26" s="81">
        <v>5730000</v>
      </c>
      <c r="AT26" s="82">
        <v>4983000</v>
      </c>
      <c r="AU26" s="81">
        <v>5830000</v>
      </c>
      <c r="AV26" s="82">
        <v>5083000</v>
      </c>
      <c r="AW26" s="81">
        <v>5190000</v>
      </c>
      <c r="AX26" s="82">
        <v>4443000</v>
      </c>
      <c r="AY26" s="81">
        <v>5190000</v>
      </c>
      <c r="AZ26" s="82">
        <v>4443000</v>
      </c>
      <c r="BA26" s="81">
        <v>5190000</v>
      </c>
      <c r="BB26" s="82">
        <v>4443000</v>
      </c>
      <c r="BC26" s="81">
        <v>5190000</v>
      </c>
      <c r="BD26" s="82">
        <v>4443000</v>
      </c>
      <c r="BE26" s="81">
        <v>5178000</v>
      </c>
      <c r="BF26" s="82">
        <v>4431000</v>
      </c>
      <c r="BG26" s="81">
        <v>5253000</v>
      </c>
      <c r="BH26" s="82">
        <v>4506000</v>
      </c>
      <c r="BI26" s="81">
        <v>5253000</v>
      </c>
      <c r="BJ26" s="82">
        <v>4506000</v>
      </c>
      <c r="BK26" s="81">
        <v>5237000</v>
      </c>
      <c r="BL26" s="82">
        <v>4490000</v>
      </c>
      <c r="BM26" s="81">
        <v>5190000</v>
      </c>
      <c r="BN26" s="82">
        <v>4443000</v>
      </c>
      <c r="BO26" s="81">
        <v>5174000</v>
      </c>
      <c r="BP26" s="82">
        <v>4427000</v>
      </c>
      <c r="BQ26" s="81">
        <v>5174000</v>
      </c>
      <c r="BR26" s="82">
        <v>4427000</v>
      </c>
      <c r="BS26" s="81">
        <v>5174000</v>
      </c>
      <c r="BT26" s="82">
        <v>4427000</v>
      </c>
      <c r="BU26" s="81">
        <v>5124000</v>
      </c>
      <c r="BV26" s="82">
        <v>4377000</v>
      </c>
      <c r="BW26" s="81">
        <v>5047000</v>
      </c>
      <c r="BX26" s="82">
        <v>4300000</v>
      </c>
      <c r="BY26" s="81">
        <v>5047000</v>
      </c>
      <c r="BZ26" s="82">
        <v>4300000</v>
      </c>
      <c r="CA26" s="81">
        <v>5124000</v>
      </c>
      <c r="CB26" s="82">
        <v>4377000</v>
      </c>
      <c r="CC26" s="81">
        <v>5589000</v>
      </c>
      <c r="CD26" s="82">
        <v>4842000</v>
      </c>
    </row>
    <row r="27" spans="1:82" ht="15.75" customHeight="1" x14ac:dyDescent="0.25">
      <c r="A27" s="83">
        <v>10</v>
      </c>
      <c r="B27" s="84" t="s">
        <v>437</v>
      </c>
      <c r="C27" s="81">
        <v>8298000</v>
      </c>
      <c r="D27" s="82">
        <v>7498000</v>
      </c>
      <c r="E27" s="81">
        <v>6782000</v>
      </c>
      <c r="F27" s="82">
        <v>5982000</v>
      </c>
      <c r="G27" s="81">
        <v>9809000</v>
      </c>
      <c r="H27" s="82">
        <v>9009000</v>
      </c>
      <c r="I27" s="81">
        <v>8438000</v>
      </c>
      <c r="J27" s="82">
        <v>7638000</v>
      </c>
      <c r="K27" s="81">
        <v>12172000</v>
      </c>
      <c r="L27" s="82">
        <v>11372000</v>
      </c>
      <c r="M27" s="81">
        <v>6306000</v>
      </c>
      <c r="N27" s="82">
        <v>5506000</v>
      </c>
      <c r="O27" s="81">
        <v>9445000</v>
      </c>
      <c r="P27" s="82">
        <v>8645000</v>
      </c>
      <c r="Q27" s="81">
        <v>5312000</v>
      </c>
      <c r="R27" s="82">
        <v>4512000</v>
      </c>
      <c r="S27" s="81">
        <v>5049000</v>
      </c>
      <c r="T27" s="82">
        <v>4249000</v>
      </c>
      <c r="U27" s="81">
        <v>5665000</v>
      </c>
      <c r="V27" s="82">
        <v>4865000</v>
      </c>
      <c r="W27" s="81">
        <v>5800000</v>
      </c>
      <c r="X27" s="82">
        <v>5000000</v>
      </c>
      <c r="Y27" s="81">
        <v>5844000</v>
      </c>
      <c r="Z27" s="82">
        <v>5044000</v>
      </c>
      <c r="AA27" s="81">
        <v>6090000</v>
      </c>
      <c r="AB27" s="82">
        <v>5290000</v>
      </c>
      <c r="AC27" s="81">
        <v>6090000</v>
      </c>
      <c r="AD27" s="82">
        <v>5290000</v>
      </c>
      <c r="AE27" s="81">
        <v>5792000</v>
      </c>
      <c r="AF27" s="82">
        <v>4992000</v>
      </c>
      <c r="AG27" s="81">
        <v>6269000</v>
      </c>
      <c r="AH27" s="82">
        <v>5469000</v>
      </c>
      <c r="AI27" s="81">
        <v>5346000</v>
      </c>
      <c r="AJ27" s="82">
        <v>4546000</v>
      </c>
      <c r="AK27" s="81">
        <v>6095000</v>
      </c>
      <c r="AL27" s="82">
        <v>5295000</v>
      </c>
      <c r="AM27" s="81">
        <v>6287000</v>
      </c>
      <c r="AN27" s="82">
        <v>5487000</v>
      </c>
      <c r="AO27" s="81">
        <v>6095000</v>
      </c>
      <c r="AP27" s="82">
        <v>5295000</v>
      </c>
      <c r="AQ27" s="81">
        <v>6160000</v>
      </c>
      <c r="AR27" s="82">
        <v>5360000</v>
      </c>
      <c r="AS27" s="81">
        <v>6112000</v>
      </c>
      <c r="AT27" s="82">
        <v>5312000</v>
      </c>
      <c r="AU27" s="81">
        <v>6221000</v>
      </c>
      <c r="AV27" s="82">
        <v>5421000</v>
      </c>
      <c r="AW27" s="81">
        <v>5527000</v>
      </c>
      <c r="AX27" s="82">
        <v>4727000</v>
      </c>
      <c r="AY27" s="81">
        <v>5527000</v>
      </c>
      <c r="AZ27" s="82">
        <v>4727000</v>
      </c>
      <c r="BA27" s="81">
        <v>5527000</v>
      </c>
      <c r="BB27" s="82">
        <v>4727000</v>
      </c>
      <c r="BC27" s="81">
        <v>5527000</v>
      </c>
      <c r="BD27" s="82">
        <v>4727000</v>
      </c>
      <c r="BE27" s="81">
        <v>5514000</v>
      </c>
      <c r="BF27" s="82">
        <v>4714000</v>
      </c>
      <c r="BG27" s="81">
        <v>5597000</v>
      </c>
      <c r="BH27" s="82">
        <v>4797000</v>
      </c>
      <c r="BI27" s="81">
        <v>5597000</v>
      </c>
      <c r="BJ27" s="82">
        <v>4797000</v>
      </c>
      <c r="BK27" s="81">
        <v>5579000</v>
      </c>
      <c r="BL27" s="82">
        <v>4779000</v>
      </c>
      <c r="BM27" s="81">
        <v>5527000</v>
      </c>
      <c r="BN27" s="82">
        <v>4727000</v>
      </c>
      <c r="BO27" s="81">
        <v>5510000</v>
      </c>
      <c r="BP27" s="82">
        <v>4710000</v>
      </c>
      <c r="BQ27" s="81">
        <v>5510000</v>
      </c>
      <c r="BR27" s="82">
        <v>4710000</v>
      </c>
      <c r="BS27" s="81">
        <v>5510000</v>
      </c>
      <c r="BT27" s="82">
        <v>4710000</v>
      </c>
      <c r="BU27" s="81">
        <v>5447000</v>
      </c>
      <c r="BV27" s="82">
        <v>4647000</v>
      </c>
      <c r="BW27" s="81">
        <v>5363000</v>
      </c>
      <c r="BX27" s="82">
        <v>4563000</v>
      </c>
      <c r="BY27" s="81">
        <v>5363000</v>
      </c>
      <c r="BZ27" s="82">
        <v>4563000</v>
      </c>
      <c r="CA27" s="81">
        <v>5447000</v>
      </c>
      <c r="CB27" s="82">
        <v>4647000</v>
      </c>
      <c r="CC27" s="81">
        <v>5957000</v>
      </c>
      <c r="CD27" s="82">
        <v>5157000</v>
      </c>
    </row>
    <row r="28" spans="1:82" ht="15.75" customHeight="1" x14ac:dyDescent="0.3">
      <c r="A28" s="74"/>
      <c r="B28" s="89" t="s">
        <v>438</v>
      </c>
      <c r="C28" s="86"/>
      <c r="D28" s="87"/>
      <c r="E28" s="86"/>
      <c r="F28" s="87"/>
      <c r="G28" s="86"/>
      <c r="H28" s="87"/>
      <c r="I28" s="86"/>
      <c r="J28" s="87"/>
      <c r="K28" s="86"/>
      <c r="L28" s="87"/>
      <c r="M28" s="88"/>
      <c r="N28" s="87"/>
      <c r="O28" s="88"/>
      <c r="P28" s="87"/>
      <c r="Q28" s="88"/>
      <c r="R28" s="87"/>
      <c r="S28" s="88"/>
      <c r="T28" s="87"/>
      <c r="U28" s="88"/>
      <c r="V28" s="87"/>
      <c r="W28" s="88"/>
      <c r="X28" s="87"/>
      <c r="Y28" s="88"/>
      <c r="Z28" s="87"/>
      <c r="AA28" s="88"/>
      <c r="AB28" s="87"/>
      <c r="AC28" s="88"/>
      <c r="AD28" s="87"/>
      <c r="AE28" s="88"/>
      <c r="AF28" s="87"/>
      <c r="AG28" s="88"/>
      <c r="AH28" s="87"/>
      <c r="AI28" s="88"/>
      <c r="AJ28" s="87"/>
      <c r="AK28" s="88"/>
      <c r="AL28" s="87"/>
      <c r="AM28" s="88"/>
      <c r="AN28" s="87"/>
      <c r="AO28" s="88"/>
      <c r="AP28" s="87"/>
      <c r="AQ28" s="88"/>
      <c r="AR28" s="87"/>
      <c r="AS28" s="88"/>
      <c r="AT28" s="87"/>
      <c r="AU28" s="88"/>
      <c r="AV28" s="87"/>
      <c r="AW28" s="88"/>
      <c r="AX28" s="87"/>
      <c r="AY28" s="88"/>
      <c r="AZ28" s="87"/>
      <c r="BA28" s="88"/>
      <c r="BB28" s="87"/>
      <c r="BC28" s="88"/>
      <c r="BD28" s="87"/>
      <c r="BE28" s="88"/>
      <c r="BF28" s="87"/>
      <c r="BG28" s="88"/>
      <c r="BH28" s="87"/>
      <c r="BI28" s="88"/>
      <c r="BJ28" s="87"/>
      <c r="BK28" s="88"/>
      <c r="BL28" s="87"/>
      <c r="BM28" s="88"/>
      <c r="BN28" s="87"/>
      <c r="BO28" s="88"/>
      <c r="BP28" s="87"/>
      <c r="BQ28" s="88"/>
      <c r="BR28" s="87"/>
      <c r="BS28" s="88"/>
      <c r="BT28" s="87"/>
      <c r="BU28" s="88"/>
      <c r="BV28" s="87"/>
      <c r="BW28" s="88"/>
      <c r="BX28" s="87"/>
      <c r="BY28" s="88"/>
      <c r="BZ28" s="87"/>
      <c r="CA28" s="88"/>
      <c r="CB28" s="87"/>
      <c r="CC28" s="88"/>
      <c r="CD28" s="87"/>
    </row>
    <row r="29" spans="1:82" ht="15.75" customHeight="1" x14ac:dyDescent="0.25">
      <c r="A29" s="79">
        <v>1</v>
      </c>
      <c r="B29" s="80" t="s">
        <v>428</v>
      </c>
      <c r="C29" s="81">
        <v>4271000</v>
      </c>
      <c r="D29" s="82">
        <v>3842000</v>
      </c>
      <c r="E29" s="81">
        <v>3596000</v>
      </c>
      <c r="F29" s="82">
        <v>3167000</v>
      </c>
      <c r="G29" s="81">
        <v>4942000</v>
      </c>
      <c r="H29" s="82">
        <v>4513000</v>
      </c>
      <c r="I29" s="81">
        <v>4332000</v>
      </c>
      <c r="J29" s="82">
        <v>3903000</v>
      </c>
      <c r="K29" s="81">
        <v>5992000</v>
      </c>
      <c r="L29" s="82">
        <v>5563000</v>
      </c>
      <c r="M29" s="81">
        <v>3480000</v>
      </c>
      <c r="N29" s="82">
        <v>3051000</v>
      </c>
      <c r="O29" s="81">
        <v>4559000</v>
      </c>
      <c r="P29" s="82">
        <v>4130000</v>
      </c>
      <c r="Q29" s="81">
        <v>2954000</v>
      </c>
      <c r="R29" s="82">
        <v>2525000</v>
      </c>
      <c r="S29" s="81">
        <v>2830000</v>
      </c>
      <c r="T29" s="82">
        <v>2401000</v>
      </c>
      <c r="U29" s="81">
        <v>3108000</v>
      </c>
      <c r="V29" s="82">
        <v>2679000</v>
      </c>
      <c r="W29" s="81">
        <v>3170000</v>
      </c>
      <c r="X29" s="82">
        <v>2741000</v>
      </c>
      <c r="Y29" s="81">
        <v>3193000</v>
      </c>
      <c r="Z29" s="82">
        <v>2764000</v>
      </c>
      <c r="AA29" s="81">
        <v>3305000</v>
      </c>
      <c r="AB29" s="82">
        <v>2876000</v>
      </c>
      <c r="AC29" s="81">
        <v>3305000</v>
      </c>
      <c r="AD29" s="82">
        <v>2876000</v>
      </c>
      <c r="AE29" s="81">
        <v>3166000</v>
      </c>
      <c r="AF29" s="82">
        <v>2737000</v>
      </c>
      <c r="AG29" s="81">
        <v>3378000</v>
      </c>
      <c r="AH29" s="82">
        <v>2949000</v>
      </c>
      <c r="AI29" s="81">
        <v>2966000</v>
      </c>
      <c r="AJ29" s="82">
        <v>2537000</v>
      </c>
      <c r="AK29" s="81">
        <v>3302000</v>
      </c>
      <c r="AL29" s="82">
        <v>2873000</v>
      </c>
      <c r="AM29" s="81">
        <v>3387000</v>
      </c>
      <c r="AN29" s="82">
        <v>2958000</v>
      </c>
      <c r="AO29" s="81">
        <v>3302000</v>
      </c>
      <c r="AP29" s="82">
        <v>2873000</v>
      </c>
      <c r="AQ29" s="81">
        <v>3330000</v>
      </c>
      <c r="AR29" s="82">
        <v>2901000</v>
      </c>
      <c r="AS29" s="81">
        <v>3309000</v>
      </c>
      <c r="AT29" s="82">
        <v>2880000</v>
      </c>
      <c r="AU29" s="81">
        <v>3357000</v>
      </c>
      <c r="AV29" s="82">
        <v>2928000</v>
      </c>
      <c r="AW29" s="81">
        <v>3043000</v>
      </c>
      <c r="AX29" s="82">
        <v>2614000</v>
      </c>
      <c r="AY29" s="81">
        <v>3043000</v>
      </c>
      <c r="AZ29" s="82">
        <v>2614000</v>
      </c>
      <c r="BA29" s="81">
        <v>3043000</v>
      </c>
      <c r="BB29" s="82">
        <v>2614000</v>
      </c>
      <c r="BC29" s="81">
        <v>3043000</v>
      </c>
      <c r="BD29" s="82">
        <v>2614000</v>
      </c>
      <c r="BE29" s="81">
        <v>3037000</v>
      </c>
      <c r="BF29" s="82">
        <v>2608000</v>
      </c>
      <c r="BG29" s="81">
        <v>3074000</v>
      </c>
      <c r="BH29" s="82">
        <v>2645000</v>
      </c>
      <c r="BI29" s="81">
        <v>3074000</v>
      </c>
      <c r="BJ29" s="82">
        <v>2645000</v>
      </c>
      <c r="BK29" s="81">
        <v>3066000</v>
      </c>
      <c r="BL29" s="82">
        <v>2637000</v>
      </c>
      <c r="BM29" s="81">
        <v>3043000</v>
      </c>
      <c r="BN29" s="82">
        <v>2614000</v>
      </c>
      <c r="BO29" s="81">
        <v>3035000</v>
      </c>
      <c r="BP29" s="82">
        <v>2606000</v>
      </c>
      <c r="BQ29" s="81">
        <v>3035000</v>
      </c>
      <c r="BR29" s="82">
        <v>2606000</v>
      </c>
      <c r="BS29" s="81">
        <v>3035000</v>
      </c>
      <c r="BT29" s="82">
        <v>2606000</v>
      </c>
      <c r="BU29" s="81">
        <v>3018000</v>
      </c>
      <c r="BV29" s="82">
        <v>2589000</v>
      </c>
      <c r="BW29" s="81">
        <v>2981000</v>
      </c>
      <c r="BX29" s="82">
        <v>2552000</v>
      </c>
      <c r="BY29" s="81">
        <v>2981000</v>
      </c>
      <c r="BZ29" s="82">
        <v>2552000</v>
      </c>
      <c r="CA29" s="81">
        <v>3018000</v>
      </c>
      <c r="CB29" s="82">
        <v>2589000</v>
      </c>
      <c r="CC29" s="81">
        <v>3242000</v>
      </c>
      <c r="CD29" s="82">
        <v>2813000</v>
      </c>
    </row>
    <row r="30" spans="1:82" ht="15.75" customHeight="1" x14ac:dyDescent="0.25">
      <c r="A30" s="83">
        <v>2</v>
      </c>
      <c r="B30" s="84" t="s">
        <v>429</v>
      </c>
      <c r="C30" s="81">
        <v>4817000</v>
      </c>
      <c r="D30" s="82">
        <v>4346000</v>
      </c>
      <c r="E30" s="81">
        <v>4008000</v>
      </c>
      <c r="F30" s="82">
        <v>3537000</v>
      </c>
      <c r="G30" s="81">
        <v>5622000</v>
      </c>
      <c r="H30" s="82">
        <v>5151000</v>
      </c>
      <c r="I30" s="81">
        <v>4891000</v>
      </c>
      <c r="J30" s="82">
        <v>4420000</v>
      </c>
      <c r="K30" s="81">
        <v>6883000</v>
      </c>
      <c r="L30" s="82">
        <v>6412000</v>
      </c>
      <c r="M30" s="81">
        <v>3818000</v>
      </c>
      <c r="N30" s="82">
        <v>3347000</v>
      </c>
      <c r="O30" s="81">
        <v>5243000</v>
      </c>
      <c r="P30" s="82">
        <v>4772000</v>
      </c>
      <c r="Q30" s="81">
        <v>3233000</v>
      </c>
      <c r="R30" s="82">
        <v>2762000</v>
      </c>
      <c r="S30" s="81">
        <v>3084000</v>
      </c>
      <c r="T30" s="82">
        <v>2613000</v>
      </c>
      <c r="U30" s="81">
        <v>3412000</v>
      </c>
      <c r="V30" s="82">
        <v>2941000</v>
      </c>
      <c r="W30" s="81">
        <v>3484000</v>
      </c>
      <c r="X30" s="82">
        <v>3013000</v>
      </c>
      <c r="Y30" s="81">
        <v>3508000</v>
      </c>
      <c r="Z30" s="82">
        <v>3037000</v>
      </c>
      <c r="AA30" s="81">
        <v>3639000</v>
      </c>
      <c r="AB30" s="82">
        <v>3168000</v>
      </c>
      <c r="AC30" s="81">
        <v>3639000</v>
      </c>
      <c r="AD30" s="82">
        <v>3168000</v>
      </c>
      <c r="AE30" s="81">
        <v>3480000</v>
      </c>
      <c r="AF30" s="82">
        <v>3009000</v>
      </c>
      <c r="AG30" s="81">
        <v>3734000</v>
      </c>
      <c r="AH30" s="82">
        <v>3263000</v>
      </c>
      <c r="AI30" s="81">
        <v>3242000</v>
      </c>
      <c r="AJ30" s="82">
        <v>2771000</v>
      </c>
      <c r="AK30" s="81">
        <v>3641000</v>
      </c>
      <c r="AL30" s="82">
        <v>3170000</v>
      </c>
      <c r="AM30" s="81">
        <v>3744000</v>
      </c>
      <c r="AN30" s="82">
        <v>3273000</v>
      </c>
      <c r="AO30" s="81">
        <v>3641000</v>
      </c>
      <c r="AP30" s="82">
        <v>3170000</v>
      </c>
      <c r="AQ30" s="81">
        <v>3676000</v>
      </c>
      <c r="AR30" s="82">
        <v>3205000</v>
      </c>
      <c r="AS30" s="81">
        <v>3650000</v>
      </c>
      <c r="AT30" s="82">
        <v>3179000</v>
      </c>
      <c r="AU30" s="81">
        <v>3709000</v>
      </c>
      <c r="AV30" s="82">
        <v>3238000</v>
      </c>
      <c r="AW30" s="81">
        <v>3339000</v>
      </c>
      <c r="AX30" s="82">
        <v>2868000</v>
      </c>
      <c r="AY30" s="81">
        <v>3339000</v>
      </c>
      <c r="AZ30" s="82">
        <v>2868000</v>
      </c>
      <c r="BA30" s="81">
        <v>3339000</v>
      </c>
      <c r="BB30" s="82">
        <v>2868000</v>
      </c>
      <c r="BC30" s="81">
        <v>3339000</v>
      </c>
      <c r="BD30" s="82">
        <v>2868000</v>
      </c>
      <c r="BE30" s="81">
        <v>3332000</v>
      </c>
      <c r="BF30" s="82">
        <v>2861000</v>
      </c>
      <c r="BG30" s="81">
        <v>3376000</v>
      </c>
      <c r="BH30" s="82">
        <v>2905000</v>
      </c>
      <c r="BI30" s="81">
        <v>3376000</v>
      </c>
      <c r="BJ30" s="82">
        <v>2905000</v>
      </c>
      <c r="BK30" s="81">
        <v>3366000</v>
      </c>
      <c r="BL30" s="82">
        <v>2895000</v>
      </c>
      <c r="BM30" s="81">
        <v>3339000</v>
      </c>
      <c r="BN30" s="82">
        <v>2868000</v>
      </c>
      <c r="BO30" s="81">
        <v>3329000</v>
      </c>
      <c r="BP30" s="82">
        <v>2858000</v>
      </c>
      <c r="BQ30" s="81">
        <v>3329000</v>
      </c>
      <c r="BR30" s="82">
        <v>2858000</v>
      </c>
      <c r="BS30" s="81">
        <v>3329000</v>
      </c>
      <c r="BT30" s="82">
        <v>2858000</v>
      </c>
      <c r="BU30" s="81">
        <v>3296000</v>
      </c>
      <c r="BV30" s="82">
        <v>2825000</v>
      </c>
      <c r="BW30" s="81">
        <v>3251000</v>
      </c>
      <c r="BX30" s="82">
        <v>2780000</v>
      </c>
      <c r="BY30" s="81">
        <v>3251000</v>
      </c>
      <c r="BZ30" s="82">
        <v>2780000</v>
      </c>
      <c r="CA30" s="81">
        <v>3296000</v>
      </c>
      <c r="CB30" s="82">
        <v>2825000</v>
      </c>
      <c r="CC30" s="81">
        <v>3568000</v>
      </c>
      <c r="CD30" s="82">
        <v>3097000</v>
      </c>
    </row>
    <row r="31" spans="1:82" ht="15.75" customHeight="1" x14ac:dyDescent="0.25">
      <c r="A31" s="83">
        <v>3</v>
      </c>
      <c r="B31" s="84" t="s">
        <v>430</v>
      </c>
      <c r="C31" s="81">
        <v>4952000</v>
      </c>
      <c r="D31" s="82">
        <v>4471000</v>
      </c>
      <c r="E31" s="81">
        <v>4110000</v>
      </c>
      <c r="F31" s="82">
        <v>3629000</v>
      </c>
      <c r="G31" s="81">
        <v>5791000</v>
      </c>
      <c r="H31" s="82">
        <v>5310000</v>
      </c>
      <c r="I31" s="81">
        <v>5030000</v>
      </c>
      <c r="J31" s="82">
        <v>4549000</v>
      </c>
      <c r="K31" s="81">
        <v>7104000</v>
      </c>
      <c r="L31" s="82">
        <v>6623000</v>
      </c>
      <c r="M31" s="81">
        <v>3902000</v>
      </c>
      <c r="N31" s="82">
        <v>3421000</v>
      </c>
      <c r="O31" s="81">
        <v>5413000</v>
      </c>
      <c r="P31" s="82">
        <v>4932000</v>
      </c>
      <c r="Q31" s="81">
        <v>3302000</v>
      </c>
      <c r="R31" s="82">
        <v>2821000</v>
      </c>
      <c r="S31" s="81">
        <v>3146000</v>
      </c>
      <c r="T31" s="82">
        <v>2665000</v>
      </c>
      <c r="U31" s="81">
        <v>3487000</v>
      </c>
      <c r="V31" s="82">
        <v>3006000</v>
      </c>
      <c r="W31" s="81">
        <v>3562000</v>
      </c>
      <c r="X31" s="82">
        <v>3081000</v>
      </c>
      <c r="Y31" s="81">
        <v>3586000</v>
      </c>
      <c r="Z31" s="82">
        <v>3105000</v>
      </c>
      <c r="AA31" s="81">
        <v>3721000</v>
      </c>
      <c r="AB31" s="82">
        <v>3240000</v>
      </c>
      <c r="AC31" s="81">
        <v>3721000</v>
      </c>
      <c r="AD31" s="82">
        <v>3240000</v>
      </c>
      <c r="AE31" s="81">
        <v>3558000</v>
      </c>
      <c r="AF31" s="82">
        <v>3077000</v>
      </c>
      <c r="AG31" s="81">
        <v>3823000</v>
      </c>
      <c r="AH31" s="82">
        <v>3342000</v>
      </c>
      <c r="AI31" s="81">
        <v>3310000</v>
      </c>
      <c r="AJ31" s="82">
        <v>2829000</v>
      </c>
      <c r="AK31" s="81">
        <v>3726000</v>
      </c>
      <c r="AL31" s="82">
        <v>3245000</v>
      </c>
      <c r="AM31" s="81">
        <v>3832000</v>
      </c>
      <c r="AN31" s="82">
        <v>3351000</v>
      </c>
      <c r="AO31" s="81">
        <v>3726000</v>
      </c>
      <c r="AP31" s="82">
        <v>3245000</v>
      </c>
      <c r="AQ31" s="81">
        <v>3762000</v>
      </c>
      <c r="AR31" s="82">
        <v>3281000</v>
      </c>
      <c r="AS31" s="81">
        <v>3735000</v>
      </c>
      <c r="AT31" s="82">
        <v>3254000</v>
      </c>
      <c r="AU31" s="81">
        <v>3796000</v>
      </c>
      <c r="AV31" s="82">
        <v>3315000</v>
      </c>
      <c r="AW31" s="81">
        <v>3412000</v>
      </c>
      <c r="AX31" s="82">
        <v>2931000</v>
      </c>
      <c r="AY31" s="81">
        <v>3412000</v>
      </c>
      <c r="AZ31" s="82">
        <v>2931000</v>
      </c>
      <c r="BA31" s="81">
        <v>3412000</v>
      </c>
      <c r="BB31" s="82">
        <v>2931000</v>
      </c>
      <c r="BC31" s="81">
        <v>3412000</v>
      </c>
      <c r="BD31" s="82">
        <v>2931000</v>
      </c>
      <c r="BE31" s="81">
        <v>3405000</v>
      </c>
      <c r="BF31" s="82">
        <v>2924000</v>
      </c>
      <c r="BG31" s="81">
        <v>3450000</v>
      </c>
      <c r="BH31" s="82">
        <v>2969000</v>
      </c>
      <c r="BI31" s="81">
        <v>3450000</v>
      </c>
      <c r="BJ31" s="82">
        <v>2969000</v>
      </c>
      <c r="BK31" s="81">
        <v>3441000</v>
      </c>
      <c r="BL31" s="82">
        <v>2960000</v>
      </c>
      <c r="BM31" s="81">
        <v>3412000</v>
      </c>
      <c r="BN31" s="82">
        <v>2931000</v>
      </c>
      <c r="BO31" s="81">
        <v>3402000</v>
      </c>
      <c r="BP31" s="82">
        <v>2921000</v>
      </c>
      <c r="BQ31" s="81">
        <v>3402000</v>
      </c>
      <c r="BR31" s="82">
        <v>2921000</v>
      </c>
      <c r="BS31" s="81">
        <v>3402000</v>
      </c>
      <c r="BT31" s="82">
        <v>2921000</v>
      </c>
      <c r="BU31" s="81">
        <v>3365000</v>
      </c>
      <c r="BV31" s="82">
        <v>2884000</v>
      </c>
      <c r="BW31" s="81">
        <v>3318000</v>
      </c>
      <c r="BX31" s="82">
        <v>2837000</v>
      </c>
      <c r="BY31" s="81">
        <v>3318000</v>
      </c>
      <c r="BZ31" s="82">
        <v>2837000</v>
      </c>
      <c r="CA31" s="81">
        <v>3365000</v>
      </c>
      <c r="CB31" s="82">
        <v>2884000</v>
      </c>
      <c r="CC31" s="81">
        <v>3649000</v>
      </c>
      <c r="CD31" s="82">
        <v>3168000</v>
      </c>
    </row>
    <row r="32" spans="1:82" ht="15.75" customHeight="1" x14ac:dyDescent="0.25">
      <c r="A32" s="83">
        <v>4</v>
      </c>
      <c r="B32" s="84" t="s">
        <v>431</v>
      </c>
      <c r="C32" s="81">
        <v>5294000</v>
      </c>
      <c r="D32" s="82">
        <v>4786000</v>
      </c>
      <c r="E32" s="81">
        <v>4367000</v>
      </c>
      <c r="F32" s="82">
        <v>3859000</v>
      </c>
      <c r="G32" s="81">
        <v>6217000</v>
      </c>
      <c r="H32" s="82">
        <v>5709000</v>
      </c>
      <c r="I32" s="81">
        <v>5379000</v>
      </c>
      <c r="J32" s="82">
        <v>4871000</v>
      </c>
      <c r="K32" s="81">
        <v>7661000</v>
      </c>
      <c r="L32" s="82">
        <v>7153000</v>
      </c>
      <c r="M32" s="81">
        <v>4114000</v>
      </c>
      <c r="N32" s="82">
        <v>3606000</v>
      </c>
      <c r="O32" s="81">
        <v>5841000</v>
      </c>
      <c r="P32" s="82">
        <v>5333000</v>
      </c>
      <c r="Q32" s="81">
        <v>3476000</v>
      </c>
      <c r="R32" s="82">
        <v>2968000</v>
      </c>
      <c r="S32" s="81">
        <v>3305000</v>
      </c>
      <c r="T32" s="82">
        <v>2797000</v>
      </c>
      <c r="U32" s="81">
        <v>3677000</v>
      </c>
      <c r="V32" s="82">
        <v>3169000</v>
      </c>
      <c r="W32" s="81">
        <v>3758000</v>
      </c>
      <c r="X32" s="82">
        <v>3250000</v>
      </c>
      <c r="Y32" s="81">
        <v>3782000</v>
      </c>
      <c r="Z32" s="82">
        <v>3274000</v>
      </c>
      <c r="AA32" s="81">
        <v>3930000</v>
      </c>
      <c r="AB32" s="82">
        <v>3422000</v>
      </c>
      <c r="AC32" s="81">
        <v>3930000</v>
      </c>
      <c r="AD32" s="82">
        <v>3422000</v>
      </c>
      <c r="AE32" s="81">
        <v>3754000</v>
      </c>
      <c r="AF32" s="82">
        <v>3246000</v>
      </c>
      <c r="AG32" s="81">
        <v>4045000</v>
      </c>
      <c r="AH32" s="82">
        <v>3537000</v>
      </c>
      <c r="AI32" s="81">
        <v>3482000</v>
      </c>
      <c r="AJ32" s="82">
        <v>2974000</v>
      </c>
      <c r="AK32" s="81">
        <v>3938000</v>
      </c>
      <c r="AL32" s="82">
        <v>3430000</v>
      </c>
      <c r="AM32" s="81">
        <v>4055000</v>
      </c>
      <c r="AN32" s="82">
        <v>3547000</v>
      </c>
      <c r="AO32" s="81">
        <v>3938000</v>
      </c>
      <c r="AP32" s="82">
        <v>3430000</v>
      </c>
      <c r="AQ32" s="81">
        <v>3978000</v>
      </c>
      <c r="AR32" s="82">
        <v>3470000</v>
      </c>
      <c r="AS32" s="81">
        <v>3949000</v>
      </c>
      <c r="AT32" s="82">
        <v>3441000</v>
      </c>
      <c r="AU32" s="81">
        <v>4016000</v>
      </c>
      <c r="AV32" s="82">
        <v>3508000</v>
      </c>
      <c r="AW32" s="81">
        <v>3597000</v>
      </c>
      <c r="AX32" s="82">
        <v>3089000</v>
      </c>
      <c r="AY32" s="81">
        <v>3597000</v>
      </c>
      <c r="AZ32" s="82">
        <v>3089000</v>
      </c>
      <c r="BA32" s="81">
        <v>3597000</v>
      </c>
      <c r="BB32" s="82">
        <v>3089000</v>
      </c>
      <c r="BC32" s="81">
        <v>3597000</v>
      </c>
      <c r="BD32" s="82">
        <v>3089000</v>
      </c>
      <c r="BE32" s="81">
        <v>3589000</v>
      </c>
      <c r="BF32" s="82">
        <v>3081000</v>
      </c>
      <c r="BG32" s="81">
        <v>3639000</v>
      </c>
      <c r="BH32" s="82">
        <v>3131000</v>
      </c>
      <c r="BI32" s="81">
        <v>3639000</v>
      </c>
      <c r="BJ32" s="82">
        <v>3131000</v>
      </c>
      <c r="BK32" s="81">
        <v>3629000</v>
      </c>
      <c r="BL32" s="82">
        <v>3121000</v>
      </c>
      <c r="BM32" s="81">
        <v>3597000</v>
      </c>
      <c r="BN32" s="82">
        <v>3089000</v>
      </c>
      <c r="BO32" s="81">
        <v>3586000</v>
      </c>
      <c r="BP32" s="82">
        <v>3078000</v>
      </c>
      <c r="BQ32" s="81">
        <v>3586000</v>
      </c>
      <c r="BR32" s="82">
        <v>3078000</v>
      </c>
      <c r="BS32" s="81">
        <v>3586000</v>
      </c>
      <c r="BT32" s="82">
        <v>3078000</v>
      </c>
      <c r="BU32" s="81">
        <v>3539000</v>
      </c>
      <c r="BV32" s="82">
        <v>3031000</v>
      </c>
      <c r="BW32" s="81">
        <v>3487000</v>
      </c>
      <c r="BX32" s="82">
        <v>2979000</v>
      </c>
      <c r="BY32" s="81">
        <v>3487000</v>
      </c>
      <c r="BZ32" s="82">
        <v>2979000</v>
      </c>
      <c r="CA32" s="81">
        <v>3539000</v>
      </c>
      <c r="CB32" s="82">
        <v>3031000</v>
      </c>
      <c r="CC32" s="81">
        <v>3853000</v>
      </c>
      <c r="CD32" s="82">
        <v>3345000</v>
      </c>
    </row>
    <row r="33" spans="1:82" ht="15.75" customHeight="1" x14ac:dyDescent="0.25">
      <c r="A33" s="83">
        <v>5</v>
      </c>
      <c r="B33" s="84" t="s">
        <v>432</v>
      </c>
      <c r="C33" s="81">
        <v>5635000</v>
      </c>
      <c r="D33" s="82">
        <v>5100000</v>
      </c>
      <c r="E33" s="81">
        <v>4624000</v>
      </c>
      <c r="F33" s="82">
        <v>4089000</v>
      </c>
      <c r="G33" s="81">
        <v>6642000</v>
      </c>
      <c r="H33" s="82">
        <v>6107000</v>
      </c>
      <c r="I33" s="81">
        <v>5728000</v>
      </c>
      <c r="J33" s="82">
        <v>5193000</v>
      </c>
      <c r="K33" s="81">
        <v>8218000</v>
      </c>
      <c r="L33" s="82">
        <v>7683000</v>
      </c>
      <c r="M33" s="81">
        <v>4325000</v>
      </c>
      <c r="N33" s="82">
        <v>3790000</v>
      </c>
      <c r="O33" s="81">
        <v>6268000</v>
      </c>
      <c r="P33" s="82">
        <v>5733000</v>
      </c>
      <c r="Q33" s="81">
        <v>3650000</v>
      </c>
      <c r="R33" s="82">
        <v>3115000</v>
      </c>
      <c r="S33" s="81">
        <v>3463000</v>
      </c>
      <c r="T33" s="82">
        <v>2928000</v>
      </c>
      <c r="U33" s="81">
        <v>3867000</v>
      </c>
      <c r="V33" s="82">
        <v>3332000</v>
      </c>
      <c r="W33" s="81">
        <v>3954000</v>
      </c>
      <c r="X33" s="82">
        <v>3419000</v>
      </c>
      <c r="Y33" s="81">
        <v>3979000</v>
      </c>
      <c r="Z33" s="82">
        <v>3444000</v>
      </c>
      <c r="AA33" s="81">
        <v>4138000</v>
      </c>
      <c r="AB33" s="82">
        <v>3603000</v>
      </c>
      <c r="AC33" s="81">
        <v>4138000</v>
      </c>
      <c r="AD33" s="82">
        <v>3603000</v>
      </c>
      <c r="AE33" s="81">
        <v>3951000</v>
      </c>
      <c r="AF33" s="82">
        <v>3416000</v>
      </c>
      <c r="AG33" s="81">
        <v>4268000</v>
      </c>
      <c r="AH33" s="82">
        <v>3733000</v>
      </c>
      <c r="AI33" s="81">
        <v>3655000</v>
      </c>
      <c r="AJ33" s="82">
        <v>3120000</v>
      </c>
      <c r="AK33" s="81">
        <v>4150000</v>
      </c>
      <c r="AL33" s="82">
        <v>3615000</v>
      </c>
      <c r="AM33" s="81">
        <v>4278000</v>
      </c>
      <c r="AN33" s="82">
        <v>3743000</v>
      </c>
      <c r="AO33" s="81">
        <v>4150000</v>
      </c>
      <c r="AP33" s="82">
        <v>3615000</v>
      </c>
      <c r="AQ33" s="81">
        <v>4195000</v>
      </c>
      <c r="AR33" s="82">
        <v>3660000</v>
      </c>
      <c r="AS33" s="81">
        <v>4162000</v>
      </c>
      <c r="AT33" s="82">
        <v>3627000</v>
      </c>
      <c r="AU33" s="81">
        <v>4235000</v>
      </c>
      <c r="AV33" s="82">
        <v>3700000</v>
      </c>
      <c r="AW33" s="81">
        <v>3782000</v>
      </c>
      <c r="AX33" s="82">
        <v>3247000</v>
      </c>
      <c r="AY33" s="81">
        <v>3782000</v>
      </c>
      <c r="AZ33" s="82">
        <v>3247000</v>
      </c>
      <c r="BA33" s="81">
        <v>3782000</v>
      </c>
      <c r="BB33" s="82">
        <v>3247000</v>
      </c>
      <c r="BC33" s="81">
        <v>3782000</v>
      </c>
      <c r="BD33" s="82">
        <v>3247000</v>
      </c>
      <c r="BE33" s="81">
        <v>3773000</v>
      </c>
      <c r="BF33" s="82">
        <v>3238000</v>
      </c>
      <c r="BG33" s="81">
        <v>3828000</v>
      </c>
      <c r="BH33" s="82">
        <v>3293000</v>
      </c>
      <c r="BI33" s="81">
        <v>3828000</v>
      </c>
      <c r="BJ33" s="82">
        <v>3293000</v>
      </c>
      <c r="BK33" s="81">
        <v>3816000</v>
      </c>
      <c r="BL33" s="82">
        <v>3281000</v>
      </c>
      <c r="BM33" s="81">
        <v>3782000</v>
      </c>
      <c r="BN33" s="82">
        <v>3247000</v>
      </c>
      <c r="BO33" s="81">
        <v>3770000</v>
      </c>
      <c r="BP33" s="82">
        <v>3235000</v>
      </c>
      <c r="BQ33" s="81">
        <v>3770000</v>
      </c>
      <c r="BR33" s="82">
        <v>3235000</v>
      </c>
      <c r="BS33" s="81">
        <v>3770000</v>
      </c>
      <c r="BT33" s="82">
        <v>3235000</v>
      </c>
      <c r="BU33" s="81">
        <v>3712000</v>
      </c>
      <c r="BV33" s="82">
        <v>3177000</v>
      </c>
      <c r="BW33" s="81">
        <v>3657000</v>
      </c>
      <c r="BX33" s="82">
        <v>3122000</v>
      </c>
      <c r="BY33" s="81">
        <v>3657000</v>
      </c>
      <c r="BZ33" s="82">
        <v>3122000</v>
      </c>
      <c r="CA33" s="81">
        <v>3712000</v>
      </c>
      <c r="CB33" s="82">
        <v>3177000</v>
      </c>
      <c r="CC33" s="81">
        <v>4057000</v>
      </c>
      <c r="CD33" s="82">
        <v>3522000</v>
      </c>
    </row>
    <row r="34" spans="1:82" ht="15.75" customHeight="1" x14ac:dyDescent="0.25">
      <c r="A34" s="83">
        <v>6</v>
      </c>
      <c r="B34" s="84" t="s">
        <v>433</v>
      </c>
      <c r="C34" s="81">
        <v>7476000</v>
      </c>
      <c r="D34" s="82">
        <v>6835000</v>
      </c>
      <c r="E34" s="81">
        <v>6127000</v>
      </c>
      <c r="F34" s="82">
        <v>5486000</v>
      </c>
      <c r="G34" s="81">
        <v>8818000</v>
      </c>
      <c r="H34" s="82">
        <v>8177000</v>
      </c>
      <c r="I34" s="81">
        <v>7599000</v>
      </c>
      <c r="J34" s="82">
        <v>6958000</v>
      </c>
      <c r="K34" s="81">
        <v>10919000</v>
      </c>
      <c r="L34" s="82">
        <v>10278000</v>
      </c>
      <c r="M34" s="81">
        <v>5647000</v>
      </c>
      <c r="N34" s="82">
        <v>5006000</v>
      </c>
      <c r="O34" s="81">
        <v>8454000</v>
      </c>
      <c r="P34" s="82">
        <v>7813000</v>
      </c>
      <c r="Q34" s="81">
        <v>4821000</v>
      </c>
      <c r="R34" s="82">
        <v>4180000</v>
      </c>
      <c r="S34" s="81">
        <v>4595000</v>
      </c>
      <c r="T34" s="82">
        <v>3954000</v>
      </c>
      <c r="U34" s="81">
        <v>5151000</v>
      </c>
      <c r="V34" s="82">
        <v>4510000</v>
      </c>
      <c r="W34" s="81">
        <v>5275000</v>
      </c>
      <c r="X34" s="82">
        <v>4634000</v>
      </c>
      <c r="Y34" s="81">
        <v>5321000</v>
      </c>
      <c r="Z34" s="82">
        <v>4680000</v>
      </c>
      <c r="AA34" s="81">
        <v>5544000</v>
      </c>
      <c r="AB34" s="82">
        <v>4903000</v>
      </c>
      <c r="AC34" s="81">
        <v>5544000</v>
      </c>
      <c r="AD34" s="82">
        <v>4903000</v>
      </c>
      <c r="AE34" s="81">
        <v>5266000</v>
      </c>
      <c r="AF34" s="82">
        <v>4625000</v>
      </c>
      <c r="AG34" s="81">
        <v>5691000</v>
      </c>
      <c r="AH34" s="82">
        <v>5050000</v>
      </c>
      <c r="AI34" s="81">
        <v>4867000</v>
      </c>
      <c r="AJ34" s="82">
        <v>4226000</v>
      </c>
      <c r="AK34" s="81">
        <v>5539000</v>
      </c>
      <c r="AL34" s="82">
        <v>4898000</v>
      </c>
      <c r="AM34" s="81">
        <v>5709000</v>
      </c>
      <c r="AN34" s="82">
        <v>5068000</v>
      </c>
      <c r="AO34" s="81">
        <v>5539000</v>
      </c>
      <c r="AP34" s="82">
        <v>4898000</v>
      </c>
      <c r="AQ34" s="81">
        <v>5595000</v>
      </c>
      <c r="AR34" s="82">
        <v>4954000</v>
      </c>
      <c r="AS34" s="81">
        <v>5552000</v>
      </c>
      <c r="AT34" s="82">
        <v>4911000</v>
      </c>
      <c r="AU34" s="81">
        <v>5649000</v>
      </c>
      <c r="AV34" s="82">
        <v>5008000</v>
      </c>
      <c r="AW34" s="81">
        <v>5020000</v>
      </c>
      <c r="AX34" s="82">
        <v>4379000</v>
      </c>
      <c r="AY34" s="81">
        <v>5020000</v>
      </c>
      <c r="AZ34" s="82">
        <v>4379000</v>
      </c>
      <c r="BA34" s="81">
        <v>5020000</v>
      </c>
      <c r="BB34" s="82">
        <v>4379000</v>
      </c>
      <c r="BC34" s="81">
        <v>5020000</v>
      </c>
      <c r="BD34" s="82">
        <v>4379000</v>
      </c>
      <c r="BE34" s="81">
        <v>5009000</v>
      </c>
      <c r="BF34" s="82">
        <v>4368000</v>
      </c>
      <c r="BG34" s="81">
        <v>5082000</v>
      </c>
      <c r="BH34" s="82">
        <v>4441000</v>
      </c>
      <c r="BI34" s="81">
        <v>5082000</v>
      </c>
      <c r="BJ34" s="82">
        <v>4441000</v>
      </c>
      <c r="BK34" s="81">
        <v>5067000</v>
      </c>
      <c r="BL34" s="82">
        <v>4426000</v>
      </c>
      <c r="BM34" s="81">
        <v>5020000</v>
      </c>
      <c r="BN34" s="82">
        <v>4379000</v>
      </c>
      <c r="BO34" s="81">
        <v>5005000</v>
      </c>
      <c r="BP34" s="82">
        <v>4364000</v>
      </c>
      <c r="BQ34" s="81">
        <v>5005000</v>
      </c>
      <c r="BR34" s="82">
        <v>4364000</v>
      </c>
      <c r="BS34" s="81">
        <v>5005000</v>
      </c>
      <c r="BT34" s="82">
        <v>4364000</v>
      </c>
      <c r="BU34" s="81">
        <v>4970000</v>
      </c>
      <c r="BV34" s="82">
        <v>4329000</v>
      </c>
      <c r="BW34" s="81">
        <v>4896000</v>
      </c>
      <c r="BX34" s="82">
        <v>4255000</v>
      </c>
      <c r="BY34" s="81">
        <v>4896000</v>
      </c>
      <c r="BZ34" s="82">
        <v>4255000</v>
      </c>
      <c r="CA34" s="81">
        <v>4970000</v>
      </c>
      <c r="CB34" s="82">
        <v>4329000</v>
      </c>
      <c r="CC34" s="81">
        <v>5418000</v>
      </c>
      <c r="CD34" s="82">
        <v>4777000</v>
      </c>
    </row>
    <row r="35" spans="1:82" ht="15.75" customHeight="1" x14ac:dyDescent="0.25">
      <c r="A35" s="83">
        <v>7</v>
      </c>
      <c r="B35" s="84" t="s">
        <v>434</v>
      </c>
      <c r="C35" s="81">
        <v>8568000</v>
      </c>
      <c r="D35" s="82">
        <v>7841000</v>
      </c>
      <c r="E35" s="81">
        <v>6950000</v>
      </c>
      <c r="F35" s="82">
        <v>6223000</v>
      </c>
      <c r="G35" s="81">
        <v>10178000</v>
      </c>
      <c r="H35" s="82">
        <v>9451000</v>
      </c>
      <c r="I35" s="81">
        <v>8716000</v>
      </c>
      <c r="J35" s="82">
        <v>7989000</v>
      </c>
      <c r="K35" s="81">
        <v>12700000</v>
      </c>
      <c r="L35" s="82">
        <v>11973000</v>
      </c>
      <c r="M35" s="81">
        <v>6323000</v>
      </c>
      <c r="N35" s="82">
        <v>5596000</v>
      </c>
      <c r="O35" s="81">
        <v>9821000</v>
      </c>
      <c r="P35" s="82">
        <v>9094000</v>
      </c>
      <c r="Q35" s="81">
        <v>5378000</v>
      </c>
      <c r="R35" s="82">
        <v>4651000</v>
      </c>
      <c r="S35" s="81">
        <v>5102000</v>
      </c>
      <c r="T35" s="82">
        <v>4375000</v>
      </c>
      <c r="U35" s="81">
        <v>5758000</v>
      </c>
      <c r="V35" s="82">
        <v>5031000</v>
      </c>
      <c r="W35" s="81">
        <v>5902000</v>
      </c>
      <c r="X35" s="82">
        <v>5175000</v>
      </c>
      <c r="Y35" s="81">
        <v>5950000</v>
      </c>
      <c r="Z35" s="82">
        <v>5223000</v>
      </c>
      <c r="AA35" s="81">
        <v>6212000</v>
      </c>
      <c r="AB35" s="82">
        <v>5485000</v>
      </c>
      <c r="AC35" s="81">
        <v>6212000</v>
      </c>
      <c r="AD35" s="82">
        <v>5485000</v>
      </c>
      <c r="AE35" s="81">
        <v>5894000</v>
      </c>
      <c r="AF35" s="82">
        <v>5167000</v>
      </c>
      <c r="AG35" s="81">
        <v>6403000</v>
      </c>
      <c r="AH35" s="82">
        <v>5676000</v>
      </c>
      <c r="AI35" s="81">
        <v>5418000</v>
      </c>
      <c r="AJ35" s="82">
        <v>4691000</v>
      </c>
      <c r="AK35" s="81">
        <v>6217000</v>
      </c>
      <c r="AL35" s="82">
        <v>5490000</v>
      </c>
      <c r="AM35" s="81">
        <v>6422000</v>
      </c>
      <c r="AN35" s="82">
        <v>5695000</v>
      </c>
      <c r="AO35" s="81">
        <v>6217000</v>
      </c>
      <c r="AP35" s="82">
        <v>5490000</v>
      </c>
      <c r="AQ35" s="81">
        <v>6287000</v>
      </c>
      <c r="AR35" s="82">
        <v>5560000</v>
      </c>
      <c r="AS35" s="81">
        <v>6235000</v>
      </c>
      <c r="AT35" s="82">
        <v>5508000</v>
      </c>
      <c r="AU35" s="81">
        <v>6352000</v>
      </c>
      <c r="AV35" s="82">
        <v>5625000</v>
      </c>
      <c r="AW35" s="81">
        <v>5612000</v>
      </c>
      <c r="AX35" s="82">
        <v>4885000</v>
      </c>
      <c r="AY35" s="81">
        <v>5612000</v>
      </c>
      <c r="AZ35" s="82">
        <v>4885000</v>
      </c>
      <c r="BA35" s="81">
        <v>5612000</v>
      </c>
      <c r="BB35" s="82">
        <v>4885000</v>
      </c>
      <c r="BC35" s="81">
        <v>5612000</v>
      </c>
      <c r="BD35" s="82">
        <v>4885000</v>
      </c>
      <c r="BE35" s="81">
        <v>5598000</v>
      </c>
      <c r="BF35" s="82">
        <v>4871000</v>
      </c>
      <c r="BG35" s="81">
        <v>5686000</v>
      </c>
      <c r="BH35" s="82">
        <v>4959000</v>
      </c>
      <c r="BI35" s="81">
        <v>5686000</v>
      </c>
      <c r="BJ35" s="82">
        <v>4959000</v>
      </c>
      <c r="BK35" s="81">
        <v>5667000</v>
      </c>
      <c r="BL35" s="82">
        <v>4940000</v>
      </c>
      <c r="BM35" s="81">
        <v>5612000</v>
      </c>
      <c r="BN35" s="82">
        <v>4885000</v>
      </c>
      <c r="BO35" s="81">
        <v>5593000</v>
      </c>
      <c r="BP35" s="82">
        <v>4866000</v>
      </c>
      <c r="BQ35" s="81">
        <v>5593000</v>
      </c>
      <c r="BR35" s="82">
        <v>4866000</v>
      </c>
      <c r="BS35" s="81">
        <v>5593000</v>
      </c>
      <c r="BT35" s="82">
        <v>4866000</v>
      </c>
      <c r="BU35" s="81">
        <v>5526000</v>
      </c>
      <c r="BV35" s="82">
        <v>4799000</v>
      </c>
      <c r="BW35" s="81">
        <v>5437000</v>
      </c>
      <c r="BX35" s="82">
        <v>4710000</v>
      </c>
      <c r="BY35" s="81">
        <v>5437000</v>
      </c>
      <c r="BZ35" s="82">
        <v>4710000</v>
      </c>
      <c r="CA35" s="81">
        <v>5526000</v>
      </c>
      <c r="CB35" s="82">
        <v>4799000</v>
      </c>
      <c r="CC35" s="81">
        <v>6070000</v>
      </c>
      <c r="CD35" s="82">
        <v>5343000</v>
      </c>
    </row>
    <row r="36" spans="1:82" ht="15.75" customHeight="1" x14ac:dyDescent="0.25">
      <c r="A36" s="83">
        <v>8</v>
      </c>
      <c r="B36" s="84" t="s">
        <v>435</v>
      </c>
      <c r="C36" s="81">
        <v>8840000</v>
      </c>
      <c r="D36" s="82">
        <v>8093000</v>
      </c>
      <c r="E36" s="81">
        <v>7155000</v>
      </c>
      <c r="F36" s="82">
        <v>6408000</v>
      </c>
      <c r="G36" s="81">
        <v>10518000</v>
      </c>
      <c r="H36" s="82">
        <v>9771000</v>
      </c>
      <c r="I36" s="81">
        <v>8995000</v>
      </c>
      <c r="J36" s="82">
        <v>8248000</v>
      </c>
      <c r="K36" s="81">
        <v>13144000</v>
      </c>
      <c r="L36" s="82">
        <v>12397000</v>
      </c>
      <c r="M36" s="81">
        <v>6492000</v>
      </c>
      <c r="N36" s="82">
        <v>5745000</v>
      </c>
      <c r="O36" s="81">
        <v>10163000</v>
      </c>
      <c r="P36" s="82">
        <v>9416000</v>
      </c>
      <c r="Q36" s="81">
        <v>5517000</v>
      </c>
      <c r="R36" s="82">
        <v>4770000</v>
      </c>
      <c r="S36" s="81">
        <v>5228000</v>
      </c>
      <c r="T36" s="82">
        <v>4481000</v>
      </c>
      <c r="U36" s="81">
        <v>5910000</v>
      </c>
      <c r="V36" s="82">
        <v>5163000</v>
      </c>
      <c r="W36" s="81">
        <v>6059000</v>
      </c>
      <c r="X36" s="82">
        <v>5312000</v>
      </c>
      <c r="Y36" s="81">
        <v>6107000</v>
      </c>
      <c r="Z36" s="82">
        <v>5360000</v>
      </c>
      <c r="AA36" s="81">
        <v>6378000</v>
      </c>
      <c r="AB36" s="82">
        <v>5631000</v>
      </c>
      <c r="AC36" s="81">
        <v>6378000</v>
      </c>
      <c r="AD36" s="82">
        <v>5631000</v>
      </c>
      <c r="AE36" s="81">
        <v>6051000</v>
      </c>
      <c r="AF36" s="82">
        <v>5304000</v>
      </c>
      <c r="AG36" s="81">
        <v>6581000</v>
      </c>
      <c r="AH36" s="82">
        <v>5834000</v>
      </c>
      <c r="AI36" s="81">
        <v>5555000</v>
      </c>
      <c r="AJ36" s="82">
        <v>4808000</v>
      </c>
      <c r="AK36" s="81">
        <v>6387000</v>
      </c>
      <c r="AL36" s="82">
        <v>5640000</v>
      </c>
      <c r="AM36" s="81">
        <v>6600000</v>
      </c>
      <c r="AN36" s="82">
        <v>5853000</v>
      </c>
      <c r="AO36" s="81">
        <v>6387000</v>
      </c>
      <c r="AP36" s="82">
        <v>5640000</v>
      </c>
      <c r="AQ36" s="81">
        <v>6459000</v>
      </c>
      <c r="AR36" s="82">
        <v>5712000</v>
      </c>
      <c r="AS36" s="81">
        <v>6405000</v>
      </c>
      <c r="AT36" s="82">
        <v>5658000</v>
      </c>
      <c r="AU36" s="81">
        <v>6527000</v>
      </c>
      <c r="AV36" s="82">
        <v>5780000</v>
      </c>
      <c r="AW36" s="81">
        <v>5759000</v>
      </c>
      <c r="AX36" s="82">
        <v>5012000</v>
      </c>
      <c r="AY36" s="81">
        <v>5759000</v>
      </c>
      <c r="AZ36" s="82">
        <v>5012000</v>
      </c>
      <c r="BA36" s="81">
        <v>5759000</v>
      </c>
      <c r="BB36" s="82">
        <v>5012000</v>
      </c>
      <c r="BC36" s="81">
        <v>5759000</v>
      </c>
      <c r="BD36" s="82">
        <v>5012000</v>
      </c>
      <c r="BE36" s="81">
        <v>5745000</v>
      </c>
      <c r="BF36" s="82">
        <v>4998000</v>
      </c>
      <c r="BG36" s="81">
        <v>5836000</v>
      </c>
      <c r="BH36" s="82">
        <v>5089000</v>
      </c>
      <c r="BI36" s="81">
        <v>5836000</v>
      </c>
      <c r="BJ36" s="82">
        <v>5089000</v>
      </c>
      <c r="BK36" s="81">
        <v>5817000</v>
      </c>
      <c r="BL36" s="82">
        <v>5070000</v>
      </c>
      <c r="BM36" s="81">
        <v>5759000</v>
      </c>
      <c r="BN36" s="82">
        <v>5012000</v>
      </c>
      <c r="BO36" s="81">
        <v>5740000</v>
      </c>
      <c r="BP36" s="82">
        <v>4993000</v>
      </c>
      <c r="BQ36" s="81">
        <v>5740000</v>
      </c>
      <c r="BR36" s="82">
        <v>4993000</v>
      </c>
      <c r="BS36" s="81">
        <v>5740000</v>
      </c>
      <c r="BT36" s="82">
        <v>4993000</v>
      </c>
      <c r="BU36" s="81">
        <v>5665000</v>
      </c>
      <c r="BV36" s="82">
        <v>4918000</v>
      </c>
      <c r="BW36" s="81">
        <v>5572000</v>
      </c>
      <c r="BX36" s="82">
        <v>4825000</v>
      </c>
      <c r="BY36" s="81">
        <v>5572000</v>
      </c>
      <c r="BZ36" s="82">
        <v>4825000</v>
      </c>
      <c r="CA36" s="81">
        <v>5665000</v>
      </c>
      <c r="CB36" s="82">
        <v>4918000</v>
      </c>
      <c r="CC36" s="81">
        <v>6233000</v>
      </c>
      <c r="CD36" s="82">
        <v>5486000</v>
      </c>
    </row>
    <row r="37" spans="1:82" ht="15.75" customHeight="1" x14ac:dyDescent="0.25">
      <c r="A37" s="83">
        <v>9</v>
      </c>
      <c r="B37" s="84" t="s">
        <v>436</v>
      </c>
      <c r="C37" s="81">
        <v>9523000</v>
      </c>
      <c r="D37" s="82">
        <v>8722000</v>
      </c>
      <c r="E37" s="81">
        <v>7669000</v>
      </c>
      <c r="F37" s="82">
        <v>6868000</v>
      </c>
      <c r="G37" s="81">
        <v>11369000</v>
      </c>
      <c r="H37" s="82">
        <v>10568000</v>
      </c>
      <c r="I37" s="81">
        <v>9693000</v>
      </c>
      <c r="J37" s="82">
        <v>8892000</v>
      </c>
      <c r="K37" s="81">
        <v>14258000</v>
      </c>
      <c r="L37" s="82">
        <v>13457000</v>
      </c>
      <c r="M37" s="81">
        <v>6915000</v>
      </c>
      <c r="N37" s="82">
        <v>6114000</v>
      </c>
      <c r="O37" s="81">
        <v>11018000</v>
      </c>
      <c r="P37" s="82">
        <v>10217000</v>
      </c>
      <c r="Q37" s="81">
        <v>5865000</v>
      </c>
      <c r="R37" s="82">
        <v>5064000</v>
      </c>
      <c r="S37" s="81">
        <v>5545000</v>
      </c>
      <c r="T37" s="82">
        <v>4744000</v>
      </c>
      <c r="U37" s="81">
        <v>6290000</v>
      </c>
      <c r="V37" s="82">
        <v>5489000</v>
      </c>
      <c r="W37" s="81">
        <v>6451000</v>
      </c>
      <c r="X37" s="82">
        <v>5650000</v>
      </c>
      <c r="Y37" s="81">
        <v>6500000</v>
      </c>
      <c r="Z37" s="82">
        <v>5699000</v>
      </c>
      <c r="AA37" s="81">
        <v>6795000</v>
      </c>
      <c r="AB37" s="82">
        <v>5994000</v>
      </c>
      <c r="AC37" s="81">
        <v>6795000</v>
      </c>
      <c r="AD37" s="82">
        <v>5994000</v>
      </c>
      <c r="AE37" s="81">
        <v>6444000</v>
      </c>
      <c r="AF37" s="82">
        <v>5643000</v>
      </c>
      <c r="AG37" s="81">
        <v>7026000</v>
      </c>
      <c r="AH37" s="82">
        <v>6225000</v>
      </c>
      <c r="AI37" s="81">
        <v>5900000</v>
      </c>
      <c r="AJ37" s="82">
        <v>5099000</v>
      </c>
      <c r="AK37" s="81">
        <v>6811000</v>
      </c>
      <c r="AL37" s="82">
        <v>6010000</v>
      </c>
      <c r="AM37" s="81">
        <v>7045000</v>
      </c>
      <c r="AN37" s="82">
        <v>6244000</v>
      </c>
      <c r="AO37" s="81">
        <v>6811000</v>
      </c>
      <c r="AP37" s="82">
        <v>6010000</v>
      </c>
      <c r="AQ37" s="81">
        <v>6892000</v>
      </c>
      <c r="AR37" s="82">
        <v>6091000</v>
      </c>
      <c r="AS37" s="81">
        <v>6833000</v>
      </c>
      <c r="AT37" s="82">
        <v>6032000</v>
      </c>
      <c r="AU37" s="81">
        <v>6967000</v>
      </c>
      <c r="AV37" s="82">
        <v>6166000</v>
      </c>
      <c r="AW37" s="81">
        <v>6129000</v>
      </c>
      <c r="AX37" s="82">
        <v>5328000</v>
      </c>
      <c r="AY37" s="81">
        <v>6129000</v>
      </c>
      <c r="AZ37" s="82">
        <v>5328000</v>
      </c>
      <c r="BA37" s="81">
        <v>6129000</v>
      </c>
      <c r="BB37" s="82">
        <v>5328000</v>
      </c>
      <c r="BC37" s="81">
        <v>6129000</v>
      </c>
      <c r="BD37" s="82">
        <v>5328000</v>
      </c>
      <c r="BE37" s="81">
        <v>6113000</v>
      </c>
      <c r="BF37" s="82">
        <v>5312000</v>
      </c>
      <c r="BG37" s="81">
        <v>6214000</v>
      </c>
      <c r="BH37" s="82">
        <v>5413000</v>
      </c>
      <c r="BI37" s="81">
        <v>6214000</v>
      </c>
      <c r="BJ37" s="82">
        <v>5413000</v>
      </c>
      <c r="BK37" s="81">
        <v>6193000</v>
      </c>
      <c r="BL37" s="82">
        <v>5392000</v>
      </c>
      <c r="BM37" s="81">
        <v>6129000</v>
      </c>
      <c r="BN37" s="82">
        <v>5328000</v>
      </c>
      <c r="BO37" s="81">
        <v>6108000</v>
      </c>
      <c r="BP37" s="82">
        <v>5307000</v>
      </c>
      <c r="BQ37" s="81">
        <v>6108000</v>
      </c>
      <c r="BR37" s="82">
        <v>5307000</v>
      </c>
      <c r="BS37" s="81">
        <v>6108000</v>
      </c>
      <c r="BT37" s="82">
        <v>5307000</v>
      </c>
      <c r="BU37" s="81">
        <v>6013000</v>
      </c>
      <c r="BV37" s="82">
        <v>5212000</v>
      </c>
      <c r="BW37" s="81">
        <v>5910000</v>
      </c>
      <c r="BX37" s="82">
        <v>5109000</v>
      </c>
      <c r="BY37" s="81">
        <v>5910000</v>
      </c>
      <c r="BZ37" s="82">
        <v>5109000</v>
      </c>
      <c r="CA37" s="81">
        <v>6013000</v>
      </c>
      <c r="CB37" s="82">
        <v>5212000</v>
      </c>
      <c r="CC37" s="81">
        <v>6641000</v>
      </c>
      <c r="CD37" s="82">
        <v>5840000</v>
      </c>
    </row>
    <row r="38" spans="1:82" ht="15.75" customHeight="1" x14ac:dyDescent="0.25">
      <c r="A38" s="83">
        <v>10</v>
      </c>
      <c r="B38" s="84" t="s">
        <v>437</v>
      </c>
      <c r="C38" s="81">
        <v>10205000</v>
      </c>
      <c r="D38" s="82">
        <v>9351000</v>
      </c>
      <c r="E38" s="81">
        <v>8182000</v>
      </c>
      <c r="F38" s="82">
        <v>7328000</v>
      </c>
      <c r="G38" s="81">
        <v>12218000</v>
      </c>
      <c r="H38" s="82">
        <v>11364000</v>
      </c>
      <c r="I38" s="81">
        <v>10390000</v>
      </c>
      <c r="J38" s="82">
        <v>9536000</v>
      </c>
      <c r="K38" s="81">
        <v>15370000</v>
      </c>
      <c r="L38" s="82">
        <v>14516000</v>
      </c>
      <c r="M38" s="81">
        <v>7338000</v>
      </c>
      <c r="N38" s="82">
        <v>6484000</v>
      </c>
      <c r="O38" s="81">
        <v>11872000</v>
      </c>
      <c r="P38" s="82">
        <v>11018000</v>
      </c>
      <c r="Q38" s="81">
        <v>6212000</v>
      </c>
      <c r="R38" s="82">
        <v>5358000</v>
      </c>
      <c r="S38" s="81">
        <v>5861000</v>
      </c>
      <c r="T38" s="82">
        <v>5007000</v>
      </c>
      <c r="U38" s="81">
        <v>6668000</v>
      </c>
      <c r="V38" s="82">
        <v>5814000</v>
      </c>
      <c r="W38" s="81">
        <v>6842000</v>
      </c>
      <c r="X38" s="82">
        <v>5988000</v>
      </c>
      <c r="Y38" s="81">
        <v>6893000</v>
      </c>
      <c r="Z38" s="82">
        <v>6039000</v>
      </c>
      <c r="AA38" s="81">
        <v>7211000</v>
      </c>
      <c r="AB38" s="82">
        <v>6357000</v>
      </c>
      <c r="AC38" s="81">
        <v>7211000</v>
      </c>
      <c r="AD38" s="82">
        <v>6357000</v>
      </c>
      <c r="AE38" s="81">
        <v>6836000</v>
      </c>
      <c r="AF38" s="82">
        <v>5982000</v>
      </c>
      <c r="AG38" s="81">
        <v>7470000</v>
      </c>
      <c r="AH38" s="82">
        <v>6616000</v>
      </c>
      <c r="AI38" s="81">
        <v>6244000</v>
      </c>
      <c r="AJ38" s="82">
        <v>5390000</v>
      </c>
      <c r="AK38" s="81">
        <v>7235000</v>
      </c>
      <c r="AL38" s="82">
        <v>6381000</v>
      </c>
      <c r="AM38" s="81">
        <v>7490000</v>
      </c>
      <c r="AN38" s="82">
        <v>6636000</v>
      </c>
      <c r="AO38" s="81">
        <v>7235000</v>
      </c>
      <c r="AP38" s="82">
        <v>6381000</v>
      </c>
      <c r="AQ38" s="81">
        <v>7324000</v>
      </c>
      <c r="AR38" s="82">
        <v>6470000</v>
      </c>
      <c r="AS38" s="81">
        <v>7259000</v>
      </c>
      <c r="AT38" s="82">
        <v>6405000</v>
      </c>
      <c r="AU38" s="81">
        <v>7405000</v>
      </c>
      <c r="AV38" s="82">
        <v>6551000</v>
      </c>
      <c r="AW38" s="81">
        <v>6498000</v>
      </c>
      <c r="AX38" s="82">
        <v>5644000</v>
      </c>
      <c r="AY38" s="81">
        <v>6498000</v>
      </c>
      <c r="AZ38" s="82">
        <v>5644000</v>
      </c>
      <c r="BA38" s="81">
        <v>6498000</v>
      </c>
      <c r="BB38" s="82">
        <v>5644000</v>
      </c>
      <c r="BC38" s="81">
        <v>6498000</v>
      </c>
      <c r="BD38" s="82">
        <v>5644000</v>
      </c>
      <c r="BE38" s="81">
        <v>6480000</v>
      </c>
      <c r="BF38" s="82">
        <v>5626000</v>
      </c>
      <c r="BG38" s="81">
        <v>6591000</v>
      </c>
      <c r="BH38" s="82">
        <v>5737000</v>
      </c>
      <c r="BI38" s="81">
        <v>6591000</v>
      </c>
      <c r="BJ38" s="82">
        <v>5737000</v>
      </c>
      <c r="BK38" s="81">
        <v>6567000</v>
      </c>
      <c r="BL38" s="82">
        <v>5713000</v>
      </c>
      <c r="BM38" s="81">
        <v>6498000</v>
      </c>
      <c r="BN38" s="82">
        <v>5644000</v>
      </c>
      <c r="BO38" s="81">
        <v>6475000</v>
      </c>
      <c r="BP38" s="82">
        <v>5621000</v>
      </c>
      <c r="BQ38" s="81">
        <v>6475000</v>
      </c>
      <c r="BR38" s="82">
        <v>5621000</v>
      </c>
      <c r="BS38" s="81">
        <v>6475000</v>
      </c>
      <c r="BT38" s="82">
        <v>5621000</v>
      </c>
      <c r="BU38" s="81">
        <v>6359000</v>
      </c>
      <c r="BV38" s="82">
        <v>5505000</v>
      </c>
      <c r="BW38" s="81">
        <v>6248000</v>
      </c>
      <c r="BX38" s="82">
        <v>5394000</v>
      </c>
      <c r="BY38" s="81">
        <v>6248000</v>
      </c>
      <c r="BZ38" s="82">
        <v>5394000</v>
      </c>
      <c r="CA38" s="81">
        <v>6359000</v>
      </c>
      <c r="CB38" s="82">
        <v>5505000</v>
      </c>
      <c r="CC38" s="81">
        <v>7048000</v>
      </c>
      <c r="CD38" s="82">
        <v>6194000</v>
      </c>
    </row>
    <row r="39" spans="1:82" ht="15.75" customHeight="1" x14ac:dyDescent="0.3">
      <c r="A39" s="74"/>
      <c r="B39" s="90" t="s">
        <v>439</v>
      </c>
      <c r="C39" s="86"/>
      <c r="D39" s="87"/>
      <c r="E39" s="86"/>
      <c r="F39" s="87"/>
      <c r="G39" s="86"/>
      <c r="H39" s="87"/>
      <c r="I39" s="86"/>
      <c r="J39" s="87"/>
      <c r="K39" s="86"/>
      <c r="L39" s="87"/>
      <c r="M39" s="88"/>
      <c r="N39" s="87"/>
      <c r="O39" s="88"/>
      <c r="P39" s="87"/>
      <c r="Q39" s="88"/>
      <c r="R39" s="87"/>
      <c r="S39" s="88"/>
      <c r="T39" s="87"/>
      <c r="U39" s="88"/>
      <c r="V39" s="87"/>
      <c r="W39" s="88"/>
      <c r="X39" s="87"/>
      <c r="Y39" s="88"/>
      <c r="Z39" s="87"/>
      <c r="AA39" s="88"/>
      <c r="AB39" s="87"/>
      <c r="AC39" s="88"/>
      <c r="AD39" s="87"/>
      <c r="AE39" s="88"/>
      <c r="AF39" s="87"/>
      <c r="AG39" s="88"/>
      <c r="AH39" s="87"/>
      <c r="AI39" s="88"/>
      <c r="AJ39" s="87"/>
      <c r="AK39" s="88"/>
      <c r="AL39" s="87"/>
      <c r="AM39" s="88"/>
      <c r="AN39" s="87"/>
      <c r="AO39" s="88"/>
      <c r="AP39" s="87"/>
      <c r="AQ39" s="88"/>
      <c r="AR39" s="87"/>
      <c r="AS39" s="88"/>
      <c r="AT39" s="87"/>
      <c r="AU39" s="88"/>
      <c r="AV39" s="87"/>
      <c r="AW39" s="88"/>
      <c r="AX39" s="87"/>
      <c r="AY39" s="88"/>
      <c r="AZ39" s="87"/>
      <c r="BA39" s="88"/>
      <c r="BB39" s="87"/>
      <c r="BC39" s="88"/>
      <c r="BD39" s="87"/>
      <c r="BE39" s="88"/>
      <c r="BF39" s="87"/>
      <c r="BG39" s="88"/>
      <c r="BH39" s="87"/>
      <c r="BI39" s="88"/>
      <c r="BJ39" s="87"/>
      <c r="BK39" s="88"/>
      <c r="BL39" s="87"/>
      <c r="BM39" s="88"/>
      <c r="BN39" s="87"/>
      <c r="BO39" s="88"/>
      <c r="BP39" s="87"/>
      <c r="BQ39" s="88"/>
      <c r="BR39" s="87"/>
      <c r="BS39" s="88"/>
      <c r="BT39" s="87"/>
      <c r="BU39" s="88"/>
      <c r="BV39" s="87"/>
      <c r="BW39" s="88"/>
      <c r="BX39" s="87"/>
      <c r="BY39" s="88"/>
      <c r="BZ39" s="87"/>
      <c r="CA39" s="88"/>
      <c r="CB39" s="87"/>
      <c r="CC39" s="88"/>
      <c r="CD39" s="87"/>
    </row>
    <row r="40" spans="1:82" ht="15.75" customHeight="1" x14ac:dyDescent="0.25">
      <c r="A40" s="79">
        <v>1</v>
      </c>
      <c r="B40" s="80" t="s">
        <v>440</v>
      </c>
      <c r="C40" s="81">
        <v>5262000</v>
      </c>
      <c r="D40" s="82">
        <v>4711000</v>
      </c>
      <c r="E40" s="81">
        <v>4420000</v>
      </c>
      <c r="F40" s="82">
        <v>3869000</v>
      </c>
      <c r="G40" s="81">
        <v>6101000</v>
      </c>
      <c r="H40" s="82">
        <v>5550000</v>
      </c>
      <c r="I40" s="81">
        <v>5340000</v>
      </c>
      <c r="J40" s="82">
        <v>4789000</v>
      </c>
      <c r="K40" s="81">
        <v>7414000</v>
      </c>
      <c r="L40" s="82">
        <v>6863000</v>
      </c>
      <c r="M40" s="81">
        <v>4216000</v>
      </c>
      <c r="N40" s="82">
        <v>3665000</v>
      </c>
      <c r="O40" s="81">
        <v>5628000</v>
      </c>
      <c r="P40" s="82">
        <v>5077000</v>
      </c>
      <c r="Q40" s="81">
        <v>3614000</v>
      </c>
      <c r="R40" s="82">
        <v>3063000</v>
      </c>
      <c r="S40" s="81">
        <v>3459000</v>
      </c>
      <c r="T40" s="82">
        <v>2908000</v>
      </c>
      <c r="U40" s="81">
        <v>3803000</v>
      </c>
      <c r="V40" s="82">
        <v>3252000</v>
      </c>
      <c r="W40" s="81">
        <v>3879000</v>
      </c>
      <c r="X40" s="82">
        <v>3328000</v>
      </c>
      <c r="Y40" s="81">
        <v>3906000</v>
      </c>
      <c r="Z40" s="82">
        <v>3355000</v>
      </c>
      <c r="AA40" s="81">
        <v>4043000</v>
      </c>
      <c r="AB40" s="82">
        <v>3492000</v>
      </c>
      <c r="AC40" s="81">
        <v>4043000</v>
      </c>
      <c r="AD40" s="82">
        <v>3492000</v>
      </c>
      <c r="AE40" s="81">
        <v>3874000</v>
      </c>
      <c r="AF40" s="82">
        <v>3323000</v>
      </c>
      <c r="AG40" s="81">
        <v>4140000</v>
      </c>
      <c r="AH40" s="82">
        <v>3589000</v>
      </c>
      <c r="AI40" s="81">
        <v>3626000</v>
      </c>
      <c r="AJ40" s="82">
        <v>3075000</v>
      </c>
      <c r="AK40" s="81">
        <v>4044000</v>
      </c>
      <c r="AL40" s="82">
        <v>3493000</v>
      </c>
      <c r="AM40" s="81">
        <v>4150000</v>
      </c>
      <c r="AN40" s="82">
        <v>3599000</v>
      </c>
      <c r="AO40" s="81">
        <v>4044000</v>
      </c>
      <c r="AP40" s="82">
        <v>3493000</v>
      </c>
      <c r="AQ40" s="81">
        <v>4079000</v>
      </c>
      <c r="AR40" s="82">
        <v>3528000</v>
      </c>
      <c r="AS40" s="81">
        <v>4052000</v>
      </c>
      <c r="AT40" s="82">
        <v>3501000</v>
      </c>
      <c r="AU40" s="81">
        <v>4113000</v>
      </c>
      <c r="AV40" s="82">
        <v>3562000</v>
      </c>
      <c r="AW40" s="81">
        <v>3725000</v>
      </c>
      <c r="AX40" s="82">
        <v>3174000</v>
      </c>
      <c r="AY40" s="81">
        <v>3725000</v>
      </c>
      <c r="AZ40" s="82">
        <v>3174000</v>
      </c>
      <c r="BA40" s="81">
        <v>3725000</v>
      </c>
      <c r="BB40" s="82">
        <v>3174000</v>
      </c>
      <c r="BC40" s="81">
        <v>3725000</v>
      </c>
      <c r="BD40" s="82">
        <v>3174000</v>
      </c>
      <c r="BE40" s="81">
        <v>3718000</v>
      </c>
      <c r="BF40" s="82">
        <v>3167000</v>
      </c>
      <c r="BG40" s="81">
        <v>3763000</v>
      </c>
      <c r="BH40" s="82">
        <v>3212000</v>
      </c>
      <c r="BI40" s="81">
        <v>3763000</v>
      </c>
      <c r="BJ40" s="82">
        <v>3212000</v>
      </c>
      <c r="BK40" s="81">
        <v>3754000</v>
      </c>
      <c r="BL40" s="82">
        <v>3203000</v>
      </c>
      <c r="BM40" s="81">
        <v>3725000</v>
      </c>
      <c r="BN40" s="82">
        <v>3174000</v>
      </c>
      <c r="BO40" s="81">
        <v>3715000</v>
      </c>
      <c r="BP40" s="82">
        <v>3164000</v>
      </c>
      <c r="BQ40" s="81">
        <v>3715000</v>
      </c>
      <c r="BR40" s="82">
        <v>3164000</v>
      </c>
      <c r="BS40" s="81">
        <v>3715000</v>
      </c>
      <c r="BT40" s="82">
        <v>3164000</v>
      </c>
      <c r="BU40" s="81">
        <v>3685000</v>
      </c>
      <c r="BV40" s="82">
        <v>3134000</v>
      </c>
      <c r="BW40" s="81">
        <v>3639000</v>
      </c>
      <c r="BX40" s="82">
        <v>3088000</v>
      </c>
      <c r="BY40" s="81">
        <v>3639000</v>
      </c>
      <c r="BZ40" s="82">
        <v>3088000</v>
      </c>
      <c r="CA40" s="81">
        <v>3685000</v>
      </c>
      <c r="CB40" s="82">
        <v>3134000</v>
      </c>
      <c r="CC40" s="81">
        <v>3967000</v>
      </c>
      <c r="CD40" s="82">
        <v>3416000</v>
      </c>
    </row>
    <row r="41" spans="1:82" ht="15.75" customHeight="1" x14ac:dyDescent="0.25">
      <c r="A41" s="83">
        <v>2</v>
      </c>
      <c r="B41" s="84" t="s">
        <v>441</v>
      </c>
      <c r="C41" s="81">
        <v>5955000</v>
      </c>
      <c r="D41" s="82">
        <v>5348000</v>
      </c>
      <c r="E41" s="81">
        <v>4944000</v>
      </c>
      <c r="F41" s="82">
        <v>4337000</v>
      </c>
      <c r="G41" s="81">
        <v>6962000</v>
      </c>
      <c r="H41" s="82">
        <v>6355000</v>
      </c>
      <c r="I41" s="81">
        <v>6048000</v>
      </c>
      <c r="J41" s="82">
        <v>5441000</v>
      </c>
      <c r="K41" s="81">
        <v>8538000</v>
      </c>
      <c r="L41" s="82">
        <v>7931000</v>
      </c>
      <c r="M41" s="81">
        <v>4640000</v>
      </c>
      <c r="N41" s="82">
        <v>4033000</v>
      </c>
      <c r="O41" s="81">
        <v>6503000</v>
      </c>
      <c r="P41" s="82">
        <v>5896000</v>
      </c>
      <c r="Q41" s="81">
        <v>3972000</v>
      </c>
      <c r="R41" s="82">
        <v>3365000</v>
      </c>
      <c r="S41" s="81">
        <v>3786000</v>
      </c>
      <c r="T41" s="82">
        <v>3179000</v>
      </c>
      <c r="U41" s="81">
        <v>4192000</v>
      </c>
      <c r="V41" s="82">
        <v>3585000</v>
      </c>
      <c r="W41" s="81">
        <v>4280000</v>
      </c>
      <c r="X41" s="82">
        <v>3673000</v>
      </c>
      <c r="Y41" s="81">
        <v>4307000</v>
      </c>
      <c r="Z41" s="82">
        <v>3700000</v>
      </c>
      <c r="AA41" s="81">
        <v>4468000</v>
      </c>
      <c r="AB41" s="82">
        <v>3861000</v>
      </c>
      <c r="AC41" s="81">
        <v>4468000</v>
      </c>
      <c r="AD41" s="82">
        <v>3861000</v>
      </c>
      <c r="AE41" s="81">
        <v>4276000</v>
      </c>
      <c r="AF41" s="82">
        <v>3669000</v>
      </c>
      <c r="AG41" s="81">
        <v>4594000</v>
      </c>
      <c r="AH41" s="82">
        <v>3987000</v>
      </c>
      <c r="AI41" s="81">
        <v>3979000</v>
      </c>
      <c r="AJ41" s="82">
        <v>3372000</v>
      </c>
      <c r="AK41" s="81">
        <v>4477000</v>
      </c>
      <c r="AL41" s="82">
        <v>3870000</v>
      </c>
      <c r="AM41" s="81">
        <v>4604000</v>
      </c>
      <c r="AN41" s="82">
        <v>3997000</v>
      </c>
      <c r="AO41" s="81">
        <v>4477000</v>
      </c>
      <c r="AP41" s="82">
        <v>3870000</v>
      </c>
      <c r="AQ41" s="81">
        <v>4521000</v>
      </c>
      <c r="AR41" s="82">
        <v>3914000</v>
      </c>
      <c r="AS41" s="81">
        <v>4488000</v>
      </c>
      <c r="AT41" s="82">
        <v>3881000</v>
      </c>
      <c r="AU41" s="81">
        <v>4561000</v>
      </c>
      <c r="AV41" s="82">
        <v>3954000</v>
      </c>
      <c r="AW41" s="81">
        <v>4104000</v>
      </c>
      <c r="AX41" s="82">
        <v>3497000</v>
      </c>
      <c r="AY41" s="81">
        <v>4104000</v>
      </c>
      <c r="AZ41" s="82">
        <v>3497000</v>
      </c>
      <c r="BA41" s="81">
        <v>4104000</v>
      </c>
      <c r="BB41" s="82">
        <v>3497000</v>
      </c>
      <c r="BC41" s="81">
        <v>4104000</v>
      </c>
      <c r="BD41" s="82">
        <v>3497000</v>
      </c>
      <c r="BE41" s="81">
        <v>4095000</v>
      </c>
      <c r="BF41" s="82">
        <v>3488000</v>
      </c>
      <c r="BG41" s="81">
        <v>4150000</v>
      </c>
      <c r="BH41" s="82">
        <v>3543000</v>
      </c>
      <c r="BI41" s="81">
        <v>4150000</v>
      </c>
      <c r="BJ41" s="82">
        <v>3543000</v>
      </c>
      <c r="BK41" s="81">
        <v>4139000</v>
      </c>
      <c r="BL41" s="82">
        <v>3532000</v>
      </c>
      <c r="BM41" s="81">
        <v>4104000</v>
      </c>
      <c r="BN41" s="82">
        <v>3497000</v>
      </c>
      <c r="BO41" s="81">
        <v>4092000</v>
      </c>
      <c r="BP41" s="82">
        <v>3485000</v>
      </c>
      <c r="BQ41" s="81">
        <v>4092000</v>
      </c>
      <c r="BR41" s="82">
        <v>3485000</v>
      </c>
      <c r="BS41" s="81">
        <v>4092000</v>
      </c>
      <c r="BT41" s="82">
        <v>3485000</v>
      </c>
      <c r="BU41" s="81">
        <v>4041000</v>
      </c>
      <c r="BV41" s="82">
        <v>3434000</v>
      </c>
      <c r="BW41" s="81">
        <v>3985000</v>
      </c>
      <c r="BX41" s="82">
        <v>3378000</v>
      </c>
      <c r="BY41" s="81">
        <v>3985000</v>
      </c>
      <c r="BZ41" s="82">
        <v>3378000</v>
      </c>
      <c r="CA41" s="81">
        <v>4041000</v>
      </c>
      <c r="CB41" s="82">
        <v>3434000</v>
      </c>
      <c r="CC41" s="81">
        <v>4384000</v>
      </c>
      <c r="CD41" s="82">
        <v>3777000</v>
      </c>
    </row>
    <row r="42" spans="1:82" ht="15.75" customHeight="1" x14ac:dyDescent="0.25">
      <c r="A42" s="83">
        <v>3</v>
      </c>
      <c r="B42" s="84" t="s">
        <v>442</v>
      </c>
      <c r="C42" s="81">
        <v>6128000</v>
      </c>
      <c r="D42" s="82">
        <v>5507000</v>
      </c>
      <c r="E42" s="81">
        <v>5075000</v>
      </c>
      <c r="F42" s="82">
        <v>4454000</v>
      </c>
      <c r="G42" s="81">
        <v>7177000</v>
      </c>
      <c r="H42" s="82">
        <v>6556000</v>
      </c>
      <c r="I42" s="81">
        <v>6225000</v>
      </c>
      <c r="J42" s="82">
        <v>5604000</v>
      </c>
      <c r="K42" s="81">
        <v>8818000</v>
      </c>
      <c r="L42" s="82">
        <v>8197000</v>
      </c>
      <c r="M42" s="81">
        <v>4745000</v>
      </c>
      <c r="N42" s="82">
        <v>4124000</v>
      </c>
      <c r="O42" s="81">
        <v>6722000</v>
      </c>
      <c r="P42" s="82">
        <v>6101000</v>
      </c>
      <c r="Q42" s="81">
        <v>4061000</v>
      </c>
      <c r="R42" s="82">
        <v>3440000</v>
      </c>
      <c r="S42" s="81">
        <v>3867000</v>
      </c>
      <c r="T42" s="82">
        <v>3246000</v>
      </c>
      <c r="U42" s="81">
        <v>4289000</v>
      </c>
      <c r="V42" s="82">
        <v>3668000</v>
      </c>
      <c r="W42" s="81">
        <v>4380000</v>
      </c>
      <c r="X42" s="82">
        <v>3759000</v>
      </c>
      <c r="Y42" s="81">
        <v>4407000</v>
      </c>
      <c r="Z42" s="82">
        <v>3786000</v>
      </c>
      <c r="AA42" s="81">
        <v>4574000</v>
      </c>
      <c r="AB42" s="82">
        <v>3953000</v>
      </c>
      <c r="AC42" s="81">
        <v>4574000</v>
      </c>
      <c r="AD42" s="82">
        <v>3953000</v>
      </c>
      <c r="AE42" s="81">
        <v>4377000</v>
      </c>
      <c r="AF42" s="82">
        <v>3756000</v>
      </c>
      <c r="AG42" s="81">
        <v>4707000</v>
      </c>
      <c r="AH42" s="82">
        <v>4086000</v>
      </c>
      <c r="AI42" s="81">
        <v>4068000</v>
      </c>
      <c r="AJ42" s="82">
        <v>3447000</v>
      </c>
      <c r="AK42" s="81">
        <v>4585000</v>
      </c>
      <c r="AL42" s="82">
        <v>3964000</v>
      </c>
      <c r="AM42" s="81">
        <v>4718000</v>
      </c>
      <c r="AN42" s="82">
        <v>4097000</v>
      </c>
      <c r="AO42" s="81">
        <v>4585000</v>
      </c>
      <c r="AP42" s="82">
        <v>3964000</v>
      </c>
      <c r="AQ42" s="81">
        <v>4631000</v>
      </c>
      <c r="AR42" s="82">
        <v>4010000</v>
      </c>
      <c r="AS42" s="81">
        <v>4597000</v>
      </c>
      <c r="AT42" s="82">
        <v>3976000</v>
      </c>
      <c r="AU42" s="81">
        <v>4673000</v>
      </c>
      <c r="AV42" s="82">
        <v>4052000</v>
      </c>
      <c r="AW42" s="81">
        <v>4199000</v>
      </c>
      <c r="AX42" s="82">
        <v>3578000</v>
      </c>
      <c r="AY42" s="81">
        <v>4199000</v>
      </c>
      <c r="AZ42" s="82">
        <v>3578000</v>
      </c>
      <c r="BA42" s="81">
        <v>4199000</v>
      </c>
      <c r="BB42" s="82">
        <v>3578000</v>
      </c>
      <c r="BC42" s="81">
        <v>4199000</v>
      </c>
      <c r="BD42" s="82">
        <v>3578000</v>
      </c>
      <c r="BE42" s="81">
        <v>4190000</v>
      </c>
      <c r="BF42" s="82">
        <v>3569000</v>
      </c>
      <c r="BG42" s="81">
        <v>4247000</v>
      </c>
      <c r="BH42" s="82">
        <v>3626000</v>
      </c>
      <c r="BI42" s="81">
        <v>4247000</v>
      </c>
      <c r="BJ42" s="82">
        <v>3626000</v>
      </c>
      <c r="BK42" s="81">
        <v>4235000</v>
      </c>
      <c r="BL42" s="82">
        <v>3614000</v>
      </c>
      <c r="BM42" s="81">
        <v>4199000</v>
      </c>
      <c r="BN42" s="82">
        <v>3578000</v>
      </c>
      <c r="BO42" s="81">
        <v>4187000</v>
      </c>
      <c r="BP42" s="82">
        <v>3566000</v>
      </c>
      <c r="BQ42" s="81">
        <v>4187000</v>
      </c>
      <c r="BR42" s="82">
        <v>3566000</v>
      </c>
      <c r="BS42" s="81">
        <v>4187000</v>
      </c>
      <c r="BT42" s="82">
        <v>3566000</v>
      </c>
      <c r="BU42" s="81">
        <v>4130000</v>
      </c>
      <c r="BV42" s="82">
        <v>3509000</v>
      </c>
      <c r="BW42" s="81">
        <v>4072000</v>
      </c>
      <c r="BX42" s="82">
        <v>3451000</v>
      </c>
      <c r="BY42" s="81">
        <v>4072000</v>
      </c>
      <c r="BZ42" s="82">
        <v>3451000</v>
      </c>
      <c r="CA42" s="81">
        <v>4130000</v>
      </c>
      <c r="CB42" s="82">
        <v>3509000</v>
      </c>
      <c r="CC42" s="81">
        <v>4488000</v>
      </c>
      <c r="CD42" s="82">
        <v>3867000</v>
      </c>
    </row>
    <row r="43" spans="1:82" ht="15.75" customHeight="1" x14ac:dyDescent="0.25">
      <c r="A43" s="83">
        <v>4</v>
      </c>
      <c r="B43" s="84" t="s">
        <v>443</v>
      </c>
      <c r="C43" s="81">
        <v>6562000</v>
      </c>
      <c r="D43" s="82">
        <v>5905000</v>
      </c>
      <c r="E43" s="81">
        <v>5403000</v>
      </c>
      <c r="F43" s="82">
        <v>4746000</v>
      </c>
      <c r="G43" s="81">
        <v>7715000</v>
      </c>
      <c r="H43" s="82">
        <v>7058000</v>
      </c>
      <c r="I43" s="81">
        <v>6668000</v>
      </c>
      <c r="J43" s="82">
        <v>6011000</v>
      </c>
      <c r="K43" s="81">
        <v>9521000</v>
      </c>
      <c r="L43" s="82">
        <v>8864000</v>
      </c>
      <c r="M43" s="81">
        <v>5010000</v>
      </c>
      <c r="N43" s="82">
        <v>4353000</v>
      </c>
      <c r="O43" s="81">
        <v>7269000</v>
      </c>
      <c r="P43" s="82">
        <v>6612000</v>
      </c>
      <c r="Q43" s="81">
        <v>4286000</v>
      </c>
      <c r="R43" s="82">
        <v>3629000</v>
      </c>
      <c r="S43" s="81">
        <v>4072000</v>
      </c>
      <c r="T43" s="82">
        <v>3415000</v>
      </c>
      <c r="U43" s="81">
        <v>4532000</v>
      </c>
      <c r="V43" s="82">
        <v>3875000</v>
      </c>
      <c r="W43" s="81">
        <v>4631000</v>
      </c>
      <c r="X43" s="82">
        <v>3974000</v>
      </c>
      <c r="Y43" s="81">
        <v>4659000</v>
      </c>
      <c r="Z43" s="82">
        <v>4002000</v>
      </c>
      <c r="AA43" s="81">
        <v>4840000</v>
      </c>
      <c r="AB43" s="82">
        <v>4183000</v>
      </c>
      <c r="AC43" s="81">
        <v>4840000</v>
      </c>
      <c r="AD43" s="82">
        <v>4183000</v>
      </c>
      <c r="AE43" s="81">
        <v>4628000</v>
      </c>
      <c r="AF43" s="82">
        <v>3971000</v>
      </c>
      <c r="AG43" s="81">
        <v>4991000</v>
      </c>
      <c r="AH43" s="82">
        <v>4334000</v>
      </c>
      <c r="AI43" s="81">
        <v>4289000</v>
      </c>
      <c r="AJ43" s="82">
        <v>3632000</v>
      </c>
      <c r="AK43" s="81">
        <v>4856000</v>
      </c>
      <c r="AL43" s="82">
        <v>4199000</v>
      </c>
      <c r="AM43" s="81">
        <v>5002000</v>
      </c>
      <c r="AN43" s="82">
        <v>4345000</v>
      </c>
      <c r="AO43" s="81">
        <v>4856000</v>
      </c>
      <c r="AP43" s="82">
        <v>4199000</v>
      </c>
      <c r="AQ43" s="81">
        <v>4907000</v>
      </c>
      <c r="AR43" s="82">
        <v>4250000</v>
      </c>
      <c r="AS43" s="81">
        <v>4870000</v>
      </c>
      <c r="AT43" s="82">
        <v>4213000</v>
      </c>
      <c r="AU43" s="81">
        <v>4954000</v>
      </c>
      <c r="AV43" s="82">
        <v>4297000</v>
      </c>
      <c r="AW43" s="81">
        <v>4436000</v>
      </c>
      <c r="AX43" s="82">
        <v>3779000</v>
      </c>
      <c r="AY43" s="81">
        <v>4436000</v>
      </c>
      <c r="AZ43" s="82">
        <v>3779000</v>
      </c>
      <c r="BA43" s="81">
        <v>4436000</v>
      </c>
      <c r="BB43" s="82">
        <v>3779000</v>
      </c>
      <c r="BC43" s="81">
        <v>4436000</v>
      </c>
      <c r="BD43" s="82">
        <v>3779000</v>
      </c>
      <c r="BE43" s="81">
        <v>4426000</v>
      </c>
      <c r="BF43" s="82">
        <v>3769000</v>
      </c>
      <c r="BG43" s="81">
        <v>4490000</v>
      </c>
      <c r="BH43" s="82">
        <v>3833000</v>
      </c>
      <c r="BI43" s="81">
        <v>4490000</v>
      </c>
      <c r="BJ43" s="82">
        <v>3833000</v>
      </c>
      <c r="BK43" s="81">
        <v>4476000</v>
      </c>
      <c r="BL43" s="82">
        <v>3819000</v>
      </c>
      <c r="BM43" s="81">
        <v>4436000</v>
      </c>
      <c r="BN43" s="82">
        <v>3779000</v>
      </c>
      <c r="BO43" s="81">
        <v>4423000</v>
      </c>
      <c r="BP43" s="82">
        <v>3766000</v>
      </c>
      <c r="BQ43" s="81">
        <v>4423000</v>
      </c>
      <c r="BR43" s="82">
        <v>3766000</v>
      </c>
      <c r="BS43" s="81">
        <v>4423000</v>
      </c>
      <c r="BT43" s="82">
        <v>3766000</v>
      </c>
      <c r="BU43" s="81">
        <v>4353000</v>
      </c>
      <c r="BV43" s="82">
        <v>3696000</v>
      </c>
      <c r="BW43" s="81">
        <v>4289000</v>
      </c>
      <c r="BX43" s="82">
        <v>3632000</v>
      </c>
      <c r="BY43" s="81">
        <v>4289000</v>
      </c>
      <c r="BZ43" s="82">
        <v>3632000</v>
      </c>
      <c r="CA43" s="81">
        <v>4353000</v>
      </c>
      <c r="CB43" s="82">
        <v>3696000</v>
      </c>
      <c r="CC43" s="81">
        <v>4748000</v>
      </c>
      <c r="CD43" s="82">
        <v>4091000</v>
      </c>
    </row>
    <row r="44" spans="1:82" ht="15.75" customHeight="1" x14ac:dyDescent="0.25">
      <c r="A44" s="83">
        <v>5</v>
      </c>
      <c r="B44" s="84" t="s">
        <v>444</v>
      </c>
      <c r="C44" s="81">
        <v>6994000</v>
      </c>
      <c r="D44" s="82">
        <v>6302000</v>
      </c>
      <c r="E44" s="81">
        <v>5730000</v>
      </c>
      <c r="F44" s="82">
        <v>5038000</v>
      </c>
      <c r="G44" s="81">
        <v>8253000</v>
      </c>
      <c r="H44" s="82">
        <v>7561000</v>
      </c>
      <c r="I44" s="81">
        <v>7110000</v>
      </c>
      <c r="J44" s="82">
        <v>6418000</v>
      </c>
      <c r="K44" s="81">
        <v>10222000</v>
      </c>
      <c r="L44" s="82">
        <v>9530000</v>
      </c>
      <c r="M44" s="81">
        <v>5274000</v>
      </c>
      <c r="N44" s="82">
        <v>4582000</v>
      </c>
      <c r="O44" s="81">
        <v>7815000</v>
      </c>
      <c r="P44" s="82">
        <v>7123000</v>
      </c>
      <c r="Q44" s="81">
        <v>4509000</v>
      </c>
      <c r="R44" s="82">
        <v>3817000</v>
      </c>
      <c r="S44" s="81">
        <v>4275000</v>
      </c>
      <c r="T44" s="82">
        <v>3583000</v>
      </c>
      <c r="U44" s="81">
        <v>4775000</v>
      </c>
      <c r="V44" s="82">
        <v>4083000</v>
      </c>
      <c r="W44" s="81">
        <v>4881000</v>
      </c>
      <c r="X44" s="82">
        <v>4189000</v>
      </c>
      <c r="Y44" s="81">
        <v>4909000</v>
      </c>
      <c r="Z44" s="82">
        <v>4217000</v>
      </c>
      <c r="AA44" s="81">
        <v>5105000</v>
      </c>
      <c r="AB44" s="82">
        <v>4413000</v>
      </c>
      <c r="AC44" s="81">
        <v>5105000</v>
      </c>
      <c r="AD44" s="82">
        <v>4413000</v>
      </c>
      <c r="AE44" s="81">
        <v>4879000</v>
      </c>
      <c r="AF44" s="82">
        <v>4187000</v>
      </c>
      <c r="AG44" s="81">
        <v>5274000</v>
      </c>
      <c r="AH44" s="82">
        <v>4582000</v>
      </c>
      <c r="AI44" s="81">
        <v>4509000</v>
      </c>
      <c r="AJ44" s="82">
        <v>3817000</v>
      </c>
      <c r="AK44" s="81">
        <v>5126000</v>
      </c>
      <c r="AL44" s="82">
        <v>4434000</v>
      </c>
      <c r="AM44" s="81">
        <v>5286000</v>
      </c>
      <c r="AN44" s="82">
        <v>4594000</v>
      </c>
      <c r="AO44" s="81">
        <v>5126000</v>
      </c>
      <c r="AP44" s="82">
        <v>4434000</v>
      </c>
      <c r="AQ44" s="81">
        <v>5183000</v>
      </c>
      <c r="AR44" s="82">
        <v>4491000</v>
      </c>
      <c r="AS44" s="81">
        <v>5142000</v>
      </c>
      <c r="AT44" s="82">
        <v>4450000</v>
      </c>
      <c r="AU44" s="81">
        <v>5234000</v>
      </c>
      <c r="AV44" s="82">
        <v>4542000</v>
      </c>
      <c r="AW44" s="81">
        <v>4673000</v>
      </c>
      <c r="AX44" s="82">
        <v>3981000</v>
      </c>
      <c r="AY44" s="81">
        <v>4673000</v>
      </c>
      <c r="AZ44" s="82">
        <v>3981000</v>
      </c>
      <c r="BA44" s="81">
        <v>4673000</v>
      </c>
      <c r="BB44" s="82">
        <v>3981000</v>
      </c>
      <c r="BC44" s="81">
        <v>4673000</v>
      </c>
      <c r="BD44" s="82">
        <v>3981000</v>
      </c>
      <c r="BE44" s="81">
        <v>4662000</v>
      </c>
      <c r="BF44" s="82">
        <v>3970000</v>
      </c>
      <c r="BG44" s="81">
        <v>4731000</v>
      </c>
      <c r="BH44" s="82">
        <v>4039000</v>
      </c>
      <c r="BI44" s="81">
        <v>4731000</v>
      </c>
      <c r="BJ44" s="82">
        <v>4039000</v>
      </c>
      <c r="BK44" s="81">
        <v>4716000</v>
      </c>
      <c r="BL44" s="82">
        <v>4024000</v>
      </c>
      <c r="BM44" s="81">
        <v>4673000</v>
      </c>
      <c r="BN44" s="82">
        <v>3981000</v>
      </c>
      <c r="BO44" s="81">
        <v>4658000</v>
      </c>
      <c r="BP44" s="82">
        <v>3966000</v>
      </c>
      <c r="BQ44" s="81">
        <v>4658000</v>
      </c>
      <c r="BR44" s="82">
        <v>3966000</v>
      </c>
      <c r="BS44" s="81">
        <v>4658000</v>
      </c>
      <c r="BT44" s="82">
        <v>3966000</v>
      </c>
      <c r="BU44" s="81">
        <v>4575000</v>
      </c>
      <c r="BV44" s="82">
        <v>3883000</v>
      </c>
      <c r="BW44" s="81">
        <v>4505000</v>
      </c>
      <c r="BX44" s="82">
        <v>3813000</v>
      </c>
      <c r="BY44" s="81">
        <v>4505000</v>
      </c>
      <c r="BZ44" s="82">
        <v>3813000</v>
      </c>
      <c r="CA44" s="81">
        <v>4575000</v>
      </c>
      <c r="CB44" s="82">
        <v>3883000</v>
      </c>
      <c r="CC44" s="81">
        <v>5008000</v>
      </c>
      <c r="CD44" s="82">
        <v>4316000</v>
      </c>
    </row>
    <row r="45" spans="1:82" ht="15.75" customHeight="1" x14ac:dyDescent="0.25">
      <c r="A45" s="83">
        <v>6</v>
      </c>
      <c r="B45" s="84" t="s">
        <v>445</v>
      </c>
      <c r="C45" s="81">
        <v>9204000</v>
      </c>
      <c r="D45" s="82">
        <v>8369000</v>
      </c>
      <c r="E45" s="81">
        <v>7519000</v>
      </c>
      <c r="F45" s="82">
        <v>6684000</v>
      </c>
      <c r="G45" s="81">
        <v>10882000</v>
      </c>
      <c r="H45" s="82">
        <v>10047000</v>
      </c>
      <c r="I45" s="81">
        <v>9359000</v>
      </c>
      <c r="J45" s="82">
        <v>8524000</v>
      </c>
      <c r="K45" s="81">
        <v>13508000</v>
      </c>
      <c r="L45" s="82">
        <v>12673000</v>
      </c>
      <c r="M45" s="81">
        <v>6810000</v>
      </c>
      <c r="N45" s="82">
        <v>5975000</v>
      </c>
      <c r="O45" s="81">
        <v>10481000</v>
      </c>
      <c r="P45" s="82">
        <v>9646000</v>
      </c>
      <c r="Q45" s="81">
        <v>5881000</v>
      </c>
      <c r="R45" s="82">
        <v>5046000</v>
      </c>
      <c r="S45" s="81">
        <v>5598000</v>
      </c>
      <c r="T45" s="82">
        <v>4763000</v>
      </c>
      <c r="U45" s="81">
        <v>6286000</v>
      </c>
      <c r="V45" s="82">
        <v>5451000</v>
      </c>
      <c r="W45" s="81">
        <v>6438000</v>
      </c>
      <c r="X45" s="82">
        <v>5603000</v>
      </c>
      <c r="Y45" s="81">
        <v>6491000</v>
      </c>
      <c r="Z45" s="82">
        <v>5656000</v>
      </c>
      <c r="AA45" s="81">
        <v>6766000</v>
      </c>
      <c r="AB45" s="82">
        <v>5931000</v>
      </c>
      <c r="AC45" s="81">
        <v>6766000</v>
      </c>
      <c r="AD45" s="82">
        <v>5931000</v>
      </c>
      <c r="AE45" s="81">
        <v>6428000</v>
      </c>
      <c r="AF45" s="82">
        <v>5593000</v>
      </c>
      <c r="AG45" s="81">
        <v>6959000</v>
      </c>
      <c r="AH45" s="82">
        <v>6124000</v>
      </c>
      <c r="AI45" s="81">
        <v>5931000</v>
      </c>
      <c r="AJ45" s="82">
        <v>5096000</v>
      </c>
      <c r="AK45" s="81">
        <v>6767000</v>
      </c>
      <c r="AL45" s="82">
        <v>5932000</v>
      </c>
      <c r="AM45" s="81">
        <v>6980000</v>
      </c>
      <c r="AN45" s="82">
        <v>6145000</v>
      </c>
      <c r="AO45" s="81">
        <v>6767000</v>
      </c>
      <c r="AP45" s="82">
        <v>5932000</v>
      </c>
      <c r="AQ45" s="81">
        <v>6838000</v>
      </c>
      <c r="AR45" s="82">
        <v>6003000</v>
      </c>
      <c r="AS45" s="81">
        <v>6784000</v>
      </c>
      <c r="AT45" s="82">
        <v>5949000</v>
      </c>
      <c r="AU45" s="81">
        <v>6906000</v>
      </c>
      <c r="AV45" s="82">
        <v>6071000</v>
      </c>
      <c r="AW45" s="81">
        <v>6129000</v>
      </c>
      <c r="AX45" s="82">
        <v>5294000</v>
      </c>
      <c r="AY45" s="81">
        <v>6129000</v>
      </c>
      <c r="AZ45" s="82">
        <v>5294000</v>
      </c>
      <c r="BA45" s="81">
        <v>6129000</v>
      </c>
      <c r="BB45" s="82">
        <v>5294000</v>
      </c>
      <c r="BC45" s="81">
        <v>6129000</v>
      </c>
      <c r="BD45" s="82">
        <v>5294000</v>
      </c>
      <c r="BE45" s="81">
        <v>6115000</v>
      </c>
      <c r="BF45" s="82">
        <v>5280000</v>
      </c>
      <c r="BG45" s="81">
        <v>6206000</v>
      </c>
      <c r="BH45" s="82">
        <v>5371000</v>
      </c>
      <c r="BI45" s="81">
        <v>6206000</v>
      </c>
      <c r="BJ45" s="82">
        <v>5371000</v>
      </c>
      <c r="BK45" s="81">
        <v>6187000</v>
      </c>
      <c r="BL45" s="82">
        <v>5352000</v>
      </c>
      <c r="BM45" s="81">
        <v>6129000</v>
      </c>
      <c r="BN45" s="82">
        <v>5294000</v>
      </c>
      <c r="BO45" s="81">
        <v>6110000</v>
      </c>
      <c r="BP45" s="82">
        <v>5275000</v>
      </c>
      <c r="BQ45" s="81">
        <v>6110000</v>
      </c>
      <c r="BR45" s="82">
        <v>5275000</v>
      </c>
      <c r="BS45" s="81">
        <v>6110000</v>
      </c>
      <c r="BT45" s="82">
        <v>5275000</v>
      </c>
      <c r="BU45" s="81">
        <v>6050000</v>
      </c>
      <c r="BV45" s="82">
        <v>5215000</v>
      </c>
      <c r="BW45" s="81">
        <v>5957000</v>
      </c>
      <c r="BX45" s="82">
        <v>5122000</v>
      </c>
      <c r="BY45" s="81">
        <v>5957000</v>
      </c>
      <c r="BZ45" s="82">
        <v>5122000</v>
      </c>
      <c r="CA45" s="81">
        <v>6050000</v>
      </c>
      <c r="CB45" s="82">
        <v>5215000</v>
      </c>
      <c r="CC45" s="81">
        <v>6614000</v>
      </c>
      <c r="CD45" s="82">
        <v>5779000</v>
      </c>
    </row>
    <row r="46" spans="1:82" ht="15.75" customHeight="1" x14ac:dyDescent="0.25">
      <c r="A46" s="83">
        <v>7</v>
      </c>
      <c r="B46" s="84" t="s">
        <v>446</v>
      </c>
      <c r="C46" s="81">
        <v>10590000</v>
      </c>
      <c r="D46" s="82">
        <v>9642000</v>
      </c>
      <c r="E46" s="81">
        <v>8567000</v>
      </c>
      <c r="F46" s="82">
        <v>7619000</v>
      </c>
      <c r="G46" s="81">
        <v>12603000</v>
      </c>
      <c r="H46" s="82">
        <v>11655000</v>
      </c>
      <c r="I46" s="81">
        <v>10775000</v>
      </c>
      <c r="J46" s="82">
        <v>9827000</v>
      </c>
      <c r="K46" s="81">
        <v>15755000</v>
      </c>
      <c r="L46" s="82">
        <v>14807000</v>
      </c>
      <c r="M46" s="81">
        <v>7656000</v>
      </c>
      <c r="N46" s="82">
        <v>6708000</v>
      </c>
      <c r="O46" s="81">
        <v>12230000</v>
      </c>
      <c r="P46" s="82">
        <v>11282000</v>
      </c>
      <c r="Q46" s="81">
        <v>6596000</v>
      </c>
      <c r="R46" s="82">
        <v>5648000</v>
      </c>
      <c r="S46" s="81">
        <v>6251000</v>
      </c>
      <c r="T46" s="82">
        <v>5303000</v>
      </c>
      <c r="U46" s="81">
        <v>7063000</v>
      </c>
      <c r="V46" s="82">
        <v>6115000</v>
      </c>
      <c r="W46" s="81">
        <v>7239000</v>
      </c>
      <c r="X46" s="82">
        <v>6291000</v>
      </c>
      <c r="Y46" s="81">
        <v>7294000</v>
      </c>
      <c r="Z46" s="82">
        <v>6346000</v>
      </c>
      <c r="AA46" s="81">
        <v>7616000</v>
      </c>
      <c r="AB46" s="82">
        <v>6668000</v>
      </c>
      <c r="AC46" s="81">
        <v>7616000</v>
      </c>
      <c r="AD46" s="82">
        <v>6668000</v>
      </c>
      <c r="AE46" s="81">
        <v>7232000</v>
      </c>
      <c r="AF46" s="82">
        <v>6284000</v>
      </c>
      <c r="AG46" s="81">
        <v>7867000</v>
      </c>
      <c r="AH46" s="82">
        <v>6919000</v>
      </c>
      <c r="AI46" s="81">
        <v>6638000</v>
      </c>
      <c r="AJ46" s="82">
        <v>5690000</v>
      </c>
      <c r="AK46" s="81">
        <v>7633000</v>
      </c>
      <c r="AL46" s="82">
        <v>6685000</v>
      </c>
      <c r="AM46" s="81">
        <v>7888000</v>
      </c>
      <c r="AN46" s="82">
        <v>6940000</v>
      </c>
      <c r="AO46" s="81">
        <v>7633000</v>
      </c>
      <c r="AP46" s="82">
        <v>6685000</v>
      </c>
      <c r="AQ46" s="81">
        <v>7721000</v>
      </c>
      <c r="AR46" s="82">
        <v>6773000</v>
      </c>
      <c r="AS46" s="81">
        <v>7656000</v>
      </c>
      <c r="AT46" s="82">
        <v>6708000</v>
      </c>
      <c r="AU46" s="81">
        <v>7802000</v>
      </c>
      <c r="AV46" s="82">
        <v>6854000</v>
      </c>
      <c r="AW46" s="81">
        <v>6888000</v>
      </c>
      <c r="AX46" s="82">
        <v>5940000</v>
      </c>
      <c r="AY46" s="81">
        <v>6888000</v>
      </c>
      <c r="AZ46" s="82">
        <v>5940000</v>
      </c>
      <c r="BA46" s="81">
        <v>6888000</v>
      </c>
      <c r="BB46" s="82">
        <v>5940000</v>
      </c>
      <c r="BC46" s="81">
        <v>6888000</v>
      </c>
      <c r="BD46" s="82">
        <v>5940000</v>
      </c>
      <c r="BE46" s="81">
        <v>6870000</v>
      </c>
      <c r="BF46" s="82">
        <v>5922000</v>
      </c>
      <c r="BG46" s="81">
        <v>6980000</v>
      </c>
      <c r="BH46" s="82">
        <v>6032000</v>
      </c>
      <c r="BI46" s="81">
        <v>6980000</v>
      </c>
      <c r="BJ46" s="82">
        <v>6032000</v>
      </c>
      <c r="BK46" s="81">
        <v>6957000</v>
      </c>
      <c r="BL46" s="82">
        <v>6009000</v>
      </c>
      <c r="BM46" s="81">
        <v>6888000</v>
      </c>
      <c r="BN46" s="82">
        <v>5940000</v>
      </c>
      <c r="BO46" s="81">
        <v>6864000</v>
      </c>
      <c r="BP46" s="82">
        <v>5916000</v>
      </c>
      <c r="BQ46" s="81">
        <v>6864000</v>
      </c>
      <c r="BR46" s="82">
        <v>5916000</v>
      </c>
      <c r="BS46" s="81">
        <v>6864000</v>
      </c>
      <c r="BT46" s="82">
        <v>5916000</v>
      </c>
      <c r="BU46" s="81">
        <v>6762000</v>
      </c>
      <c r="BV46" s="82">
        <v>5814000</v>
      </c>
      <c r="BW46" s="81">
        <v>6650000</v>
      </c>
      <c r="BX46" s="82">
        <v>5702000</v>
      </c>
      <c r="BY46" s="81">
        <v>6650000</v>
      </c>
      <c r="BZ46" s="82">
        <v>5702000</v>
      </c>
      <c r="CA46" s="81">
        <v>6762000</v>
      </c>
      <c r="CB46" s="82">
        <v>5814000</v>
      </c>
      <c r="CC46" s="81">
        <v>7447000</v>
      </c>
      <c r="CD46" s="82">
        <v>6499000</v>
      </c>
    </row>
    <row r="47" spans="1:82" x14ac:dyDescent="0.25">
      <c r="A47" s="83">
        <v>8</v>
      </c>
      <c r="B47" s="84" t="s">
        <v>447</v>
      </c>
      <c r="C47" s="81">
        <v>10937000</v>
      </c>
      <c r="D47" s="82">
        <v>9960000</v>
      </c>
      <c r="E47" s="81">
        <v>8830000</v>
      </c>
      <c r="F47" s="82">
        <v>7853000</v>
      </c>
      <c r="G47" s="81">
        <v>13034000</v>
      </c>
      <c r="H47" s="82">
        <v>12057000</v>
      </c>
      <c r="I47" s="81">
        <v>11130000</v>
      </c>
      <c r="J47" s="82">
        <v>10153000</v>
      </c>
      <c r="K47" s="81">
        <v>16317000</v>
      </c>
      <c r="L47" s="82">
        <v>15340000</v>
      </c>
      <c r="M47" s="81">
        <v>7869000</v>
      </c>
      <c r="N47" s="82">
        <v>6892000</v>
      </c>
      <c r="O47" s="81">
        <v>12669000</v>
      </c>
      <c r="P47" s="82">
        <v>11692000</v>
      </c>
      <c r="Q47" s="81">
        <v>6776000</v>
      </c>
      <c r="R47" s="82">
        <v>5799000</v>
      </c>
      <c r="S47" s="81">
        <v>6415000</v>
      </c>
      <c r="T47" s="82">
        <v>5438000</v>
      </c>
      <c r="U47" s="81">
        <v>7259000</v>
      </c>
      <c r="V47" s="82">
        <v>6282000</v>
      </c>
      <c r="W47" s="81">
        <v>7441000</v>
      </c>
      <c r="X47" s="82">
        <v>6464000</v>
      </c>
      <c r="Y47" s="81">
        <v>7495000</v>
      </c>
      <c r="Z47" s="82">
        <v>6518000</v>
      </c>
      <c r="AA47" s="81">
        <v>7829000</v>
      </c>
      <c r="AB47" s="82">
        <v>6852000</v>
      </c>
      <c r="AC47" s="81">
        <v>7829000</v>
      </c>
      <c r="AD47" s="82">
        <v>6852000</v>
      </c>
      <c r="AE47" s="81">
        <v>7434000</v>
      </c>
      <c r="AF47" s="82">
        <v>6457000</v>
      </c>
      <c r="AG47" s="81">
        <v>8095000</v>
      </c>
      <c r="AH47" s="82">
        <v>7118000</v>
      </c>
      <c r="AI47" s="81">
        <v>6816000</v>
      </c>
      <c r="AJ47" s="82">
        <v>5839000</v>
      </c>
      <c r="AK47" s="81">
        <v>7850000</v>
      </c>
      <c r="AL47" s="82">
        <v>6873000</v>
      </c>
      <c r="AM47" s="81">
        <v>8116000</v>
      </c>
      <c r="AN47" s="82">
        <v>7139000</v>
      </c>
      <c r="AO47" s="81">
        <v>7850000</v>
      </c>
      <c r="AP47" s="82">
        <v>6873000</v>
      </c>
      <c r="AQ47" s="81">
        <v>7943000</v>
      </c>
      <c r="AR47" s="82">
        <v>6966000</v>
      </c>
      <c r="AS47" s="81">
        <v>7875000</v>
      </c>
      <c r="AT47" s="82">
        <v>6898000</v>
      </c>
      <c r="AU47" s="81">
        <v>8027000</v>
      </c>
      <c r="AV47" s="82">
        <v>7050000</v>
      </c>
      <c r="AW47" s="81">
        <v>7078000</v>
      </c>
      <c r="AX47" s="82">
        <v>6101000</v>
      </c>
      <c r="AY47" s="81">
        <v>7078000</v>
      </c>
      <c r="AZ47" s="82">
        <v>6101000</v>
      </c>
      <c r="BA47" s="81">
        <v>7078000</v>
      </c>
      <c r="BB47" s="82">
        <v>6101000</v>
      </c>
      <c r="BC47" s="81">
        <v>7078000</v>
      </c>
      <c r="BD47" s="82">
        <v>6101000</v>
      </c>
      <c r="BE47" s="81">
        <v>7060000</v>
      </c>
      <c r="BF47" s="82">
        <v>6083000</v>
      </c>
      <c r="BG47" s="81">
        <v>7175000</v>
      </c>
      <c r="BH47" s="82">
        <v>6198000</v>
      </c>
      <c r="BI47" s="81">
        <v>7175000</v>
      </c>
      <c r="BJ47" s="82">
        <v>6198000</v>
      </c>
      <c r="BK47" s="81">
        <v>7151000</v>
      </c>
      <c r="BL47" s="82">
        <v>6174000</v>
      </c>
      <c r="BM47" s="81">
        <v>7078000</v>
      </c>
      <c r="BN47" s="82">
        <v>6101000</v>
      </c>
      <c r="BO47" s="81">
        <v>7054000</v>
      </c>
      <c r="BP47" s="82">
        <v>6077000</v>
      </c>
      <c r="BQ47" s="81">
        <v>7054000</v>
      </c>
      <c r="BR47" s="82">
        <v>6077000</v>
      </c>
      <c r="BS47" s="81">
        <v>7054000</v>
      </c>
      <c r="BT47" s="82">
        <v>6077000</v>
      </c>
      <c r="BU47" s="81">
        <v>6941000</v>
      </c>
      <c r="BV47" s="82">
        <v>5964000</v>
      </c>
      <c r="BW47" s="81">
        <v>6824000</v>
      </c>
      <c r="BX47" s="82">
        <v>5847000</v>
      </c>
      <c r="BY47" s="81">
        <v>6824000</v>
      </c>
      <c r="BZ47" s="82">
        <v>5847000</v>
      </c>
      <c r="CA47" s="81">
        <v>6941000</v>
      </c>
      <c r="CB47" s="82">
        <v>5964000</v>
      </c>
      <c r="CC47" s="81">
        <v>7656000</v>
      </c>
      <c r="CD47" s="82">
        <v>6679000</v>
      </c>
    </row>
    <row r="48" spans="1:82" x14ac:dyDescent="0.25">
      <c r="A48" s="83">
        <v>9</v>
      </c>
      <c r="B48" s="84" t="s">
        <v>448</v>
      </c>
      <c r="C48" s="81">
        <v>11803000</v>
      </c>
      <c r="D48" s="82">
        <v>10755000</v>
      </c>
      <c r="E48" s="81">
        <v>9486000</v>
      </c>
      <c r="F48" s="82">
        <v>8438000</v>
      </c>
      <c r="G48" s="81">
        <v>14110000</v>
      </c>
      <c r="H48" s="82">
        <v>13062000</v>
      </c>
      <c r="I48" s="81">
        <v>12016000</v>
      </c>
      <c r="J48" s="82">
        <v>10968000</v>
      </c>
      <c r="K48" s="81">
        <v>17721000</v>
      </c>
      <c r="L48" s="82">
        <v>16673000</v>
      </c>
      <c r="M48" s="81">
        <v>8398000</v>
      </c>
      <c r="N48" s="82">
        <v>7350000</v>
      </c>
      <c r="O48" s="81">
        <v>13763000</v>
      </c>
      <c r="P48" s="82">
        <v>12715000</v>
      </c>
      <c r="Q48" s="81">
        <v>7223000</v>
      </c>
      <c r="R48" s="82">
        <v>6175000</v>
      </c>
      <c r="S48" s="81">
        <v>6823000</v>
      </c>
      <c r="T48" s="82">
        <v>5775000</v>
      </c>
      <c r="U48" s="81">
        <v>7744000</v>
      </c>
      <c r="V48" s="82">
        <v>6696000</v>
      </c>
      <c r="W48" s="81">
        <v>7942000</v>
      </c>
      <c r="X48" s="82">
        <v>6894000</v>
      </c>
      <c r="Y48" s="81">
        <v>7997000</v>
      </c>
      <c r="Z48" s="82">
        <v>6949000</v>
      </c>
      <c r="AA48" s="81">
        <v>8360000</v>
      </c>
      <c r="AB48" s="82">
        <v>7312000</v>
      </c>
      <c r="AC48" s="81">
        <v>8360000</v>
      </c>
      <c r="AD48" s="82">
        <v>7312000</v>
      </c>
      <c r="AE48" s="81">
        <v>7936000</v>
      </c>
      <c r="AF48" s="82">
        <v>6888000</v>
      </c>
      <c r="AG48" s="81">
        <v>8662000</v>
      </c>
      <c r="AH48" s="82">
        <v>7614000</v>
      </c>
      <c r="AI48" s="81">
        <v>7258000</v>
      </c>
      <c r="AJ48" s="82">
        <v>6210000</v>
      </c>
      <c r="AK48" s="81">
        <v>8391000</v>
      </c>
      <c r="AL48" s="82">
        <v>7343000</v>
      </c>
      <c r="AM48" s="81">
        <v>8684000</v>
      </c>
      <c r="AN48" s="82">
        <v>7636000</v>
      </c>
      <c r="AO48" s="81">
        <v>8391000</v>
      </c>
      <c r="AP48" s="82">
        <v>7343000</v>
      </c>
      <c r="AQ48" s="81">
        <v>8494000</v>
      </c>
      <c r="AR48" s="82">
        <v>7446000</v>
      </c>
      <c r="AS48" s="81">
        <v>8420000</v>
      </c>
      <c r="AT48" s="82">
        <v>7372000</v>
      </c>
      <c r="AU48" s="81">
        <v>8588000</v>
      </c>
      <c r="AV48" s="82">
        <v>7540000</v>
      </c>
      <c r="AW48" s="81">
        <v>7552000</v>
      </c>
      <c r="AX48" s="82">
        <v>6504000</v>
      </c>
      <c r="AY48" s="81">
        <v>7552000</v>
      </c>
      <c r="AZ48" s="82">
        <v>6504000</v>
      </c>
      <c r="BA48" s="81">
        <v>7552000</v>
      </c>
      <c r="BB48" s="82">
        <v>6504000</v>
      </c>
      <c r="BC48" s="81">
        <v>7552000</v>
      </c>
      <c r="BD48" s="82">
        <v>6504000</v>
      </c>
      <c r="BE48" s="81">
        <v>7532000</v>
      </c>
      <c r="BF48" s="82">
        <v>6484000</v>
      </c>
      <c r="BG48" s="81">
        <v>7659000</v>
      </c>
      <c r="BH48" s="82">
        <v>6611000</v>
      </c>
      <c r="BI48" s="81">
        <v>7659000</v>
      </c>
      <c r="BJ48" s="82">
        <v>6611000</v>
      </c>
      <c r="BK48" s="81">
        <v>7632000</v>
      </c>
      <c r="BL48" s="82">
        <v>6584000</v>
      </c>
      <c r="BM48" s="81">
        <v>7552000</v>
      </c>
      <c r="BN48" s="82">
        <v>6504000</v>
      </c>
      <c r="BO48" s="81">
        <v>7526000</v>
      </c>
      <c r="BP48" s="82">
        <v>6478000</v>
      </c>
      <c r="BQ48" s="81">
        <v>7526000</v>
      </c>
      <c r="BR48" s="82">
        <v>6478000</v>
      </c>
      <c r="BS48" s="81">
        <v>7526000</v>
      </c>
      <c r="BT48" s="82">
        <v>6478000</v>
      </c>
      <c r="BU48" s="81">
        <v>7385000</v>
      </c>
      <c r="BV48" s="82">
        <v>6337000</v>
      </c>
      <c r="BW48" s="81">
        <v>7257000</v>
      </c>
      <c r="BX48" s="82">
        <v>6209000</v>
      </c>
      <c r="BY48" s="81">
        <v>7257000</v>
      </c>
      <c r="BZ48" s="82">
        <v>6209000</v>
      </c>
      <c r="CA48" s="81">
        <v>7385000</v>
      </c>
      <c r="CB48" s="82">
        <v>6337000</v>
      </c>
      <c r="CC48" s="81">
        <v>8176000</v>
      </c>
      <c r="CD48" s="82">
        <v>7128000</v>
      </c>
    </row>
    <row r="49" spans="1:82" x14ac:dyDescent="0.25">
      <c r="A49" s="83">
        <v>10</v>
      </c>
      <c r="B49" s="84" t="s">
        <v>449</v>
      </c>
      <c r="C49" s="81">
        <v>12669000</v>
      </c>
      <c r="D49" s="82">
        <v>11551000</v>
      </c>
      <c r="E49" s="81">
        <v>10141000</v>
      </c>
      <c r="F49" s="82">
        <v>9023000</v>
      </c>
      <c r="G49" s="81">
        <v>15186000</v>
      </c>
      <c r="H49" s="82">
        <v>14068000</v>
      </c>
      <c r="I49" s="81">
        <v>12901000</v>
      </c>
      <c r="J49" s="82">
        <v>11783000</v>
      </c>
      <c r="K49" s="81">
        <v>19125000</v>
      </c>
      <c r="L49" s="82">
        <v>18007000</v>
      </c>
      <c r="M49" s="81">
        <v>8927000</v>
      </c>
      <c r="N49" s="82">
        <v>7809000</v>
      </c>
      <c r="O49" s="81">
        <v>14856000</v>
      </c>
      <c r="P49" s="82">
        <v>13738000</v>
      </c>
      <c r="Q49" s="81">
        <v>7670000</v>
      </c>
      <c r="R49" s="82">
        <v>6552000</v>
      </c>
      <c r="S49" s="81">
        <v>7231000</v>
      </c>
      <c r="T49" s="82">
        <v>6113000</v>
      </c>
      <c r="U49" s="81">
        <v>8230000</v>
      </c>
      <c r="V49" s="82">
        <v>7112000</v>
      </c>
      <c r="W49" s="81">
        <v>8442000</v>
      </c>
      <c r="X49" s="82">
        <v>7324000</v>
      </c>
      <c r="Y49" s="81">
        <v>8499000</v>
      </c>
      <c r="Z49" s="82">
        <v>7381000</v>
      </c>
      <c r="AA49" s="81">
        <v>8891000</v>
      </c>
      <c r="AB49" s="82">
        <v>7773000</v>
      </c>
      <c r="AC49" s="81">
        <v>8891000</v>
      </c>
      <c r="AD49" s="82">
        <v>7773000</v>
      </c>
      <c r="AE49" s="81">
        <v>8438000</v>
      </c>
      <c r="AF49" s="82">
        <v>7320000</v>
      </c>
      <c r="AG49" s="81">
        <v>9229000</v>
      </c>
      <c r="AH49" s="82">
        <v>8111000</v>
      </c>
      <c r="AI49" s="81">
        <v>7699000</v>
      </c>
      <c r="AJ49" s="82">
        <v>6581000</v>
      </c>
      <c r="AK49" s="81">
        <v>8932000</v>
      </c>
      <c r="AL49" s="82">
        <v>7814000</v>
      </c>
      <c r="AM49" s="81">
        <v>9252000</v>
      </c>
      <c r="AN49" s="82">
        <v>8134000</v>
      </c>
      <c r="AO49" s="81">
        <v>8932000</v>
      </c>
      <c r="AP49" s="82">
        <v>7814000</v>
      </c>
      <c r="AQ49" s="81">
        <v>9046000</v>
      </c>
      <c r="AR49" s="82">
        <v>7928000</v>
      </c>
      <c r="AS49" s="81">
        <v>8965000</v>
      </c>
      <c r="AT49" s="82">
        <v>7847000</v>
      </c>
      <c r="AU49" s="81">
        <v>9148000</v>
      </c>
      <c r="AV49" s="82">
        <v>8030000</v>
      </c>
      <c r="AW49" s="81">
        <v>8026000</v>
      </c>
      <c r="AX49" s="82">
        <v>6908000</v>
      </c>
      <c r="AY49" s="81">
        <v>8026000</v>
      </c>
      <c r="AZ49" s="82">
        <v>6908000</v>
      </c>
      <c r="BA49" s="81">
        <v>8026000</v>
      </c>
      <c r="BB49" s="82">
        <v>6908000</v>
      </c>
      <c r="BC49" s="81">
        <v>8026000</v>
      </c>
      <c r="BD49" s="82">
        <v>6908000</v>
      </c>
      <c r="BE49" s="81">
        <v>8005000</v>
      </c>
      <c r="BF49" s="82">
        <v>6887000</v>
      </c>
      <c r="BG49" s="81">
        <v>8142000</v>
      </c>
      <c r="BH49" s="82">
        <v>7024000</v>
      </c>
      <c r="BI49" s="81">
        <v>8142000</v>
      </c>
      <c r="BJ49" s="82">
        <v>7024000</v>
      </c>
      <c r="BK49" s="81">
        <v>8113000</v>
      </c>
      <c r="BL49" s="82">
        <v>6995000</v>
      </c>
      <c r="BM49" s="81">
        <v>8026000</v>
      </c>
      <c r="BN49" s="82">
        <v>6908000</v>
      </c>
      <c r="BO49" s="81">
        <v>7997000</v>
      </c>
      <c r="BP49" s="82">
        <v>6879000</v>
      </c>
      <c r="BQ49" s="81">
        <v>7997000</v>
      </c>
      <c r="BR49" s="82">
        <v>6879000</v>
      </c>
      <c r="BS49" s="81">
        <v>7997000</v>
      </c>
      <c r="BT49" s="82">
        <v>6879000</v>
      </c>
      <c r="BU49" s="81">
        <v>7830000</v>
      </c>
      <c r="BV49" s="82">
        <v>6712000</v>
      </c>
      <c r="BW49" s="81">
        <v>7690000</v>
      </c>
      <c r="BX49" s="82">
        <v>6572000</v>
      </c>
      <c r="BY49" s="81">
        <v>7690000</v>
      </c>
      <c r="BZ49" s="82">
        <v>6572000</v>
      </c>
      <c r="CA49" s="81">
        <v>7830000</v>
      </c>
      <c r="CB49" s="82">
        <v>6712000</v>
      </c>
      <c r="CC49" s="81">
        <v>8696000</v>
      </c>
      <c r="CD49" s="82">
        <v>7578000</v>
      </c>
    </row>
    <row r="50" spans="1:82" ht="20.25" x14ac:dyDescent="0.3">
      <c r="A50" s="74"/>
      <c r="B50" s="91" t="s">
        <v>450</v>
      </c>
      <c r="C50" s="86"/>
      <c r="D50" s="87"/>
      <c r="E50" s="86"/>
      <c r="F50" s="87"/>
      <c r="G50" s="86"/>
      <c r="H50" s="87"/>
      <c r="I50" s="86"/>
      <c r="J50" s="87"/>
      <c r="K50" s="86"/>
      <c r="L50" s="87"/>
      <c r="M50" s="88"/>
      <c r="N50" s="87"/>
      <c r="O50" s="88"/>
      <c r="P50" s="87"/>
      <c r="Q50" s="88"/>
      <c r="R50" s="87"/>
      <c r="S50" s="88"/>
      <c r="T50" s="87"/>
      <c r="U50" s="88"/>
      <c r="V50" s="87"/>
      <c r="W50" s="88"/>
      <c r="X50" s="87"/>
      <c r="Y50" s="88"/>
      <c r="Z50" s="87"/>
      <c r="AA50" s="88"/>
      <c r="AB50" s="87"/>
      <c r="AC50" s="88"/>
      <c r="AD50" s="87"/>
      <c r="AE50" s="88"/>
      <c r="AF50" s="87"/>
      <c r="AG50" s="88"/>
      <c r="AH50" s="87"/>
      <c r="AI50" s="88"/>
      <c r="AJ50" s="87"/>
      <c r="AK50" s="88"/>
      <c r="AL50" s="87"/>
      <c r="AM50" s="88"/>
      <c r="AN50" s="87"/>
      <c r="AO50" s="88"/>
      <c r="AP50" s="87"/>
      <c r="AQ50" s="88"/>
      <c r="AR50" s="87"/>
      <c r="AS50" s="88"/>
      <c r="AT50" s="87"/>
      <c r="AU50" s="88"/>
      <c r="AV50" s="87"/>
      <c r="AW50" s="88"/>
      <c r="AX50" s="87"/>
      <c r="AY50" s="88"/>
      <c r="AZ50" s="87"/>
      <c r="BA50" s="88"/>
      <c r="BB50" s="87"/>
      <c r="BC50" s="88"/>
      <c r="BD50" s="87"/>
      <c r="BE50" s="88"/>
      <c r="BF50" s="87"/>
      <c r="BG50" s="88"/>
      <c r="BH50" s="87"/>
      <c r="BI50" s="88"/>
      <c r="BJ50" s="87"/>
      <c r="BK50" s="88"/>
      <c r="BL50" s="87"/>
      <c r="BM50" s="88"/>
      <c r="BN50" s="87"/>
      <c r="BO50" s="88"/>
      <c r="BP50" s="87"/>
      <c r="BQ50" s="88"/>
      <c r="BR50" s="87"/>
      <c r="BS50" s="88"/>
      <c r="BT50" s="87"/>
      <c r="BU50" s="88"/>
      <c r="BV50" s="87"/>
      <c r="BW50" s="88"/>
      <c r="BX50" s="87"/>
      <c r="BY50" s="88"/>
      <c r="BZ50" s="87"/>
      <c r="CA50" s="88"/>
      <c r="CB50" s="87"/>
      <c r="CC50" s="88"/>
      <c r="CD50" s="87"/>
    </row>
    <row r="51" spans="1:82" x14ac:dyDescent="0.25">
      <c r="A51" s="79">
        <v>1</v>
      </c>
      <c r="B51" s="80" t="s">
        <v>440</v>
      </c>
      <c r="C51" s="81">
        <v>5967000</v>
      </c>
      <c r="D51" s="82">
        <v>5363000</v>
      </c>
      <c r="E51" s="81">
        <v>4956000</v>
      </c>
      <c r="F51" s="82">
        <v>4352000</v>
      </c>
      <c r="G51" s="81">
        <v>6974000</v>
      </c>
      <c r="H51" s="82">
        <v>6370000</v>
      </c>
      <c r="I51" s="81">
        <v>6060000</v>
      </c>
      <c r="J51" s="82">
        <v>5456000</v>
      </c>
      <c r="K51" s="81">
        <v>8550000</v>
      </c>
      <c r="L51" s="82">
        <v>7946000</v>
      </c>
      <c r="M51" s="81">
        <v>4666000</v>
      </c>
      <c r="N51" s="82">
        <v>4062000</v>
      </c>
      <c r="O51" s="81">
        <v>6410000</v>
      </c>
      <c r="P51" s="82">
        <v>5806000</v>
      </c>
      <c r="Q51" s="81">
        <v>3987000</v>
      </c>
      <c r="R51" s="82">
        <v>3383000</v>
      </c>
      <c r="S51" s="81">
        <v>3801000</v>
      </c>
      <c r="T51" s="82">
        <v>3197000</v>
      </c>
      <c r="U51" s="81">
        <v>4211000</v>
      </c>
      <c r="V51" s="82">
        <v>3607000</v>
      </c>
      <c r="W51" s="81">
        <v>4301000</v>
      </c>
      <c r="X51" s="82">
        <v>3697000</v>
      </c>
      <c r="Y51" s="81">
        <v>4331000</v>
      </c>
      <c r="Z51" s="82">
        <v>3727000</v>
      </c>
      <c r="AA51" s="81">
        <v>4495000</v>
      </c>
      <c r="AB51" s="82">
        <v>3891000</v>
      </c>
      <c r="AC51" s="81">
        <v>4495000</v>
      </c>
      <c r="AD51" s="82">
        <v>3891000</v>
      </c>
      <c r="AE51" s="81">
        <v>4296000</v>
      </c>
      <c r="AF51" s="82">
        <v>3692000</v>
      </c>
      <c r="AG51" s="81">
        <v>4614000</v>
      </c>
      <c r="AH51" s="82">
        <v>4010000</v>
      </c>
      <c r="AI51" s="81">
        <v>3999000</v>
      </c>
      <c r="AJ51" s="82">
        <v>3395000</v>
      </c>
      <c r="AK51" s="81">
        <v>4498000</v>
      </c>
      <c r="AL51" s="82">
        <v>3894000</v>
      </c>
      <c r="AM51" s="81">
        <v>4626000</v>
      </c>
      <c r="AN51" s="82">
        <v>4022000</v>
      </c>
      <c r="AO51" s="81">
        <v>4498000</v>
      </c>
      <c r="AP51" s="82">
        <v>3894000</v>
      </c>
      <c r="AQ51" s="81">
        <v>4542000</v>
      </c>
      <c r="AR51" s="82">
        <v>3938000</v>
      </c>
      <c r="AS51" s="81">
        <v>4509000</v>
      </c>
      <c r="AT51" s="82">
        <v>3905000</v>
      </c>
      <c r="AU51" s="81">
        <v>4582000</v>
      </c>
      <c r="AV51" s="82">
        <v>3978000</v>
      </c>
      <c r="AW51" s="81">
        <v>4120000</v>
      </c>
      <c r="AX51" s="82">
        <v>3516000</v>
      </c>
      <c r="AY51" s="81">
        <v>4120000</v>
      </c>
      <c r="AZ51" s="82">
        <v>3516000</v>
      </c>
      <c r="BA51" s="81">
        <v>4120000</v>
      </c>
      <c r="BB51" s="82">
        <v>3516000</v>
      </c>
      <c r="BC51" s="81">
        <v>4120000</v>
      </c>
      <c r="BD51" s="82">
        <v>3516000</v>
      </c>
      <c r="BE51" s="81">
        <v>4111000</v>
      </c>
      <c r="BF51" s="82">
        <v>3507000</v>
      </c>
      <c r="BG51" s="81">
        <v>4166000</v>
      </c>
      <c r="BH51" s="82">
        <v>3562000</v>
      </c>
      <c r="BI51" s="81">
        <v>4166000</v>
      </c>
      <c r="BJ51" s="82">
        <v>3562000</v>
      </c>
      <c r="BK51" s="81">
        <v>4154000</v>
      </c>
      <c r="BL51" s="82">
        <v>3550000</v>
      </c>
      <c r="BM51" s="81">
        <v>4120000</v>
      </c>
      <c r="BN51" s="82">
        <v>3516000</v>
      </c>
      <c r="BO51" s="81">
        <v>4108000</v>
      </c>
      <c r="BP51" s="82">
        <v>3504000</v>
      </c>
      <c r="BQ51" s="81">
        <v>4108000</v>
      </c>
      <c r="BR51" s="82">
        <v>3504000</v>
      </c>
      <c r="BS51" s="81">
        <v>4108000</v>
      </c>
      <c r="BT51" s="82">
        <v>3504000</v>
      </c>
      <c r="BU51" s="81">
        <v>4066000</v>
      </c>
      <c r="BV51" s="82">
        <v>3462000</v>
      </c>
      <c r="BW51" s="81">
        <v>4010000</v>
      </c>
      <c r="BX51" s="82">
        <v>3406000</v>
      </c>
      <c r="BY51" s="81">
        <v>4010000</v>
      </c>
      <c r="BZ51" s="82">
        <v>3406000</v>
      </c>
      <c r="CA51" s="81">
        <v>4066000</v>
      </c>
      <c r="CB51" s="82">
        <v>3462000</v>
      </c>
      <c r="CC51" s="81">
        <v>4406000</v>
      </c>
      <c r="CD51" s="82">
        <v>3802000</v>
      </c>
    </row>
    <row r="52" spans="1:82" x14ac:dyDescent="0.25">
      <c r="A52" s="83">
        <v>2</v>
      </c>
      <c r="B52" s="84" t="s">
        <v>441</v>
      </c>
      <c r="C52" s="81">
        <v>6749000</v>
      </c>
      <c r="D52" s="82">
        <v>6088000</v>
      </c>
      <c r="E52" s="81">
        <v>5535000</v>
      </c>
      <c r="F52" s="82">
        <v>4874000</v>
      </c>
      <c r="G52" s="81">
        <v>7957000</v>
      </c>
      <c r="H52" s="82">
        <v>7296000</v>
      </c>
      <c r="I52" s="81">
        <v>6860000</v>
      </c>
      <c r="J52" s="82">
        <v>6199000</v>
      </c>
      <c r="K52" s="81">
        <v>9848000</v>
      </c>
      <c r="L52" s="82">
        <v>9187000</v>
      </c>
      <c r="M52" s="81">
        <v>5116000</v>
      </c>
      <c r="N52" s="82">
        <v>4455000</v>
      </c>
      <c r="O52" s="81">
        <v>7418000</v>
      </c>
      <c r="P52" s="82">
        <v>6757000</v>
      </c>
      <c r="Q52" s="81">
        <v>4366000</v>
      </c>
      <c r="R52" s="82">
        <v>3705000</v>
      </c>
      <c r="S52" s="81">
        <v>4143000</v>
      </c>
      <c r="T52" s="82">
        <v>3482000</v>
      </c>
      <c r="U52" s="81">
        <v>4627000</v>
      </c>
      <c r="V52" s="82">
        <v>3966000</v>
      </c>
      <c r="W52" s="81">
        <v>4731000</v>
      </c>
      <c r="X52" s="82">
        <v>4070000</v>
      </c>
      <c r="Y52" s="81">
        <v>4761000</v>
      </c>
      <c r="Z52" s="82">
        <v>4100000</v>
      </c>
      <c r="AA52" s="81">
        <v>4953000</v>
      </c>
      <c r="AB52" s="82">
        <v>4292000</v>
      </c>
      <c r="AC52" s="81">
        <v>4953000</v>
      </c>
      <c r="AD52" s="82">
        <v>4292000</v>
      </c>
      <c r="AE52" s="81">
        <v>4728000</v>
      </c>
      <c r="AF52" s="82">
        <v>4067000</v>
      </c>
      <c r="AG52" s="81">
        <v>5108000</v>
      </c>
      <c r="AH52" s="82">
        <v>4447000</v>
      </c>
      <c r="AI52" s="81">
        <v>4372000</v>
      </c>
      <c r="AJ52" s="82">
        <v>3711000</v>
      </c>
      <c r="AK52" s="81">
        <v>4967000</v>
      </c>
      <c r="AL52" s="82">
        <v>4306000</v>
      </c>
      <c r="AM52" s="81">
        <v>5120000</v>
      </c>
      <c r="AN52" s="82">
        <v>4459000</v>
      </c>
      <c r="AO52" s="81">
        <v>4967000</v>
      </c>
      <c r="AP52" s="82">
        <v>4306000</v>
      </c>
      <c r="AQ52" s="81">
        <v>5020000</v>
      </c>
      <c r="AR52" s="82">
        <v>4359000</v>
      </c>
      <c r="AS52" s="81">
        <v>4981000</v>
      </c>
      <c r="AT52" s="82">
        <v>4320000</v>
      </c>
      <c r="AU52" s="81">
        <v>5069000</v>
      </c>
      <c r="AV52" s="82">
        <v>4408000</v>
      </c>
      <c r="AW52" s="81">
        <v>4524000</v>
      </c>
      <c r="AX52" s="82">
        <v>3863000</v>
      </c>
      <c r="AY52" s="81">
        <v>4524000</v>
      </c>
      <c r="AZ52" s="82">
        <v>3863000</v>
      </c>
      <c r="BA52" s="81">
        <v>4524000</v>
      </c>
      <c r="BB52" s="82">
        <v>3863000</v>
      </c>
      <c r="BC52" s="81">
        <v>4524000</v>
      </c>
      <c r="BD52" s="82">
        <v>3863000</v>
      </c>
      <c r="BE52" s="81">
        <v>4514000</v>
      </c>
      <c r="BF52" s="82">
        <v>3853000</v>
      </c>
      <c r="BG52" s="81">
        <v>4580000</v>
      </c>
      <c r="BH52" s="82">
        <v>3919000</v>
      </c>
      <c r="BI52" s="81">
        <v>4580000</v>
      </c>
      <c r="BJ52" s="82">
        <v>3919000</v>
      </c>
      <c r="BK52" s="81">
        <v>4566000</v>
      </c>
      <c r="BL52" s="82">
        <v>3905000</v>
      </c>
      <c r="BM52" s="81">
        <v>4524000</v>
      </c>
      <c r="BN52" s="82">
        <v>3863000</v>
      </c>
      <c r="BO52" s="81">
        <v>4511000</v>
      </c>
      <c r="BP52" s="82">
        <v>3850000</v>
      </c>
      <c r="BQ52" s="81">
        <v>4511000</v>
      </c>
      <c r="BR52" s="82">
        <v>3850000</v>
      </c>
      <c r="BS52" s="81">
        <v>4511000</v>
      </c>
      <c r="BT52" s="82">
        <v>3850000</v>
      </c>
      <c r="BU52" s="81">
        <v>4441000</v>
      </c>
      <c r="BV52" s="82">
        <v>3780000</v>
      </c>
      <c r="BW52" s="81">
        <v>4374000</v>
      </c>
      <c r="BX52" s="82">
        <v>3713000</v>
      </c>
      <c r="BY52" s="81">
        <v>4374000</v>
      </c>
      <c r="BZ52" s="82">
        <v>3713000</v>
      </c>
      <c r="CA52" s="81">
        <v>4441000</v>
      </c>
      <c r="CB52" s="82">
        <v>3780000</v>
      </c>
      <c r="CC52" s="81">
        <v>4854000</v>
      </c>
      <c r="CD52" s="82">
        <v>4193000</v>
      </c>
    </row>
    <row r="53" spans="1:82" x14ac:dyDescent="0.25">
      <c r="A53" s="83">
        <v>3</v>
      </c>
      <c r="B53" s="84" t="s">
        <v>442</v>
      </c>
      <c r="C53" s="81">
        <v>6944000</v>
      </c>
      <c r="D53" s="82">
        <v>6269000</v>
      </c>
      <c r="E53" s="81">
        <v>5680000</v>
      </c>
      <c r="F53" s="82">
        <v>5005000</v>
      </c>
      <c r="G53" s="81">
        <v>8203000</v>
      </c>
      <c r="H53" s="82">
        <v>7528000</v>
      </c>
      <c r="I53" s="81">
        <v>7060000</v>
      </c>
      <c r="J53" s="82">
        <v>6385000</v>
      </c>
      <c r="K53" s="81">
        <v>10172000</v>
      </c>
      <c r="L53" s="82">
        <v>9497000</v>
      </c>
      <c r="M53" s="81">
        <v>5229000</v>
      </c>
      <c r="N53" s="82">
        <v>4554000</v>
      </c>
      <c r="O53" s="81">
        <v>7670000</v>
      </c>
      <c r="P53" s="82">
        <v>6995000</v>
      </c>
      <c r="Q53" s="81">
        <v>4461000</v>
      </c>
      <c r="R53" s="82">
        <v>3786000</v>
      </c>
      <c r="S53" s="81">
        <v>4228000</v>
      </c>
      <c r="T53" s="82">
        <v>3553000</v>
      </c>
      <c r="U53" s="81">
        <v>4731000</v>
      </c>
      <c r="V53" s="82">
        <v>4056000</v>
      </c>
      <c r="W53" s="81">
        <v>4839000</v>
      </c>
      <c r="X53" s="82">
        <v>4164000</v>
      </c>
      <c r="Y53" s="81">
        <v>4869000</v>
      </c>
      <c r="Z53" s="82">
        <v>4194000</v>
      </c>
      <c r="AA53" s="81">
        <v>5067000</v>
      </c>
      <c r="AB53" s="82">
        <v>4392000</v>
      </c>
      <c r="AC53" s="81">
        <v>5067000</v>
      </c>
      <c r="AD53" s="82">
        <v>4392000</v>
      </c>
      <c r="AE53" s="81">
        <v>4836000</v>
      </c>
      <c r="AF53" s="82">
        <v>4161000</v>
      </c>
      <c r="AG53" s="81">
        <v>5232000</v>
      </c>
      <c r="AH53" s="82">
        <v>4557000</v>
      </c>
      <c r="AI53" s="81">
        <v>4465000</v>
      </c>
      <c r="AJ53" s="82">
        <v>3790000</v>
      </c>
      <c r="AK53" s="81">
        <v>5084000</v>
      </c>
      <c r="AL53" s="82">
        <v>4409000</v>
      </c>
      <c r="AM53" s="81">
        <v>5244000</v>
      </c>
      <c r="AN53" s="82">
        <v>4569000</v>
      </c>
      <c r="AO53" s="81">
        <v>5084000</v>
      </c>
      <c r="AP53" s="82">
        <v>4409000</v>
      </c>
      <c r="AQ53" s="81">
        <v>5140000</v>
      </c>
      <c r="AR53" s="82">
        <v>4465000</v>
      </c>
      <c r="AS53" s="81">
        <v>5100000</v>
      </c>
      <c r="AT53" s="82">
        <v>4425000</v>
      </c>
      <c r="AU53" s="81">
        <v>5191000</v>
      </c>
      <c r="AV53" s="82">
        <v>4516000</v>
      </c>
      <c r="AW53" s="81">
        <v>4626000</v>
      </c>
      <c r="AX53" s="82">
        <v>3951000</v>
      </c>
      <c r="AY53" s="81">
        <v>4626000</v>
      </c>
      <c r="AZ53" s="82">
        <v>3951000</v>
      </c>
      <c r="BA53" s="81">
        <v>4626000</v>
      </c>
      <c r="BB53" s="82">
        <v>3951000</v>
      </c>
      <c r="BC53" s="81">
        <v>4626000</v>
      </c>
      <c r="BD53" s="82">
        <v>3951000</v>
      </c>
      <c r="BE53" s="81">
        <v>4615000</v>
      </c>
      <c r="BF53" s="82">
        <v>3940000</v>
      </c>
      <c r="BG53" s="81">
        <v>4684000</v>
      </c>
      <c r="BH53" s="82">
        <v>4009000</v>
      </c>
      <c r="BI53" s="81">
        <v>4684000</v>
      </c>
      <c r="BJ53" s="82">
        <v>4009000</v>
      </c>
      <c r="BK53" s="81">
        <v>4669000</v>
      </c>
      <c r="BL53" s="82">
        <v>3994000</v>
      </c>
      <c r="BM53" s="81">
        <v>4626000</v>
      </c>
      <c r="BN53" s="82">
        <v>3951000</v>
      </c>
      <c r="BO53" s="81">
        <v>4611000</v>
      </c>
      <c r="BP53" s="82">
        <v>3936000</v>
      </c>
      <c r="BQ53" s="81">
        <v>4611000</v>
      </c>
      <c r="BR53" s="82">
        <v>3936000</v>
      </c>
      <c r="BS53" s="81">
        <v>4611000</v>
      </c>
      <c r="BT53" s="82">
        <v>3936000</v>
      </c>
      <c r="BU53" s="81">
        <v>4535000</v>
      </c>
      <c r="BV53" s="82">
        <v>3860000</v>
      </c>
      <c r="BW53" s="81">
        <v>4466000</v>
      </c>
      <c r="BX53" s="82">
        <v>3791000</v>
      </c>
      <c r="BY53" s="81">
        <v>4466000</v>
      </c>
      <c r="BZ53" s="82">
        <v>3791000</v>
      </c>
      <c r="CA53" s="81">
        <v>4535000</v>
      </c>
      <c r="CB53" s="82">
        <v>3860000</v>
      </c>
      <c r="CC53" s="81">
        <v>4967000</v>
      </c>
      <c r="CD53" s="82">
        <v>4292000</v>
      </c>
    </row>
    <row r="54" spans="1:82" x14ac:dyDescent="0.25">
      <c r="A54" s="83">
        <v>4</v>
      </c>
      <c r="B54" s="84" t="s">
        <v>443</v>
      </c>
      <c r="C54" s="81">
        <v>7433000</v>
      </c>
      <c r="D54" s="82">
        <v>6722000</v>
      </c>
      <c r="E54" s="81">
        <v>6042000</v>
      </c>
      <c r="F54" s="82">
        <v>5331000</v>
      </c>
      <c r="G54" s="81">
        <v>8817000</v>
      </c>
      <c r="H54" s="82">
        <v>8106000</v>
      </c>
      <c r="I54" s="81">
        <v>7560000</v>
      </c>
      <c r="J54" s="82">
        <v>6849000</v>
      </c>
      <c r="K54" s="81">
        <v>10984000</v>
      </c>
      <c r="L54" s="82">
        <v>10273000</v>
      </c>
      <c r="M54" s="81">
        <v>5510000</v>
      </c>
      <c r="N54" s="82">
        <v>4799000</v>
      </c>
      <c r="O54" s="81">
        <v>8300000</v>
      </c>
      <c r="P54" s="82">
        <v>7589000</v>
      </c>
      <c r="Q54" s="81">
        <v>4698000</v>
      </c>
      <c r="R54" s="82">
        <v>3987000</v>
      </c>
      <c r="S54" s="81">
        <v>4442000</v>
      </c>
      <c r="T54" s="82">
        <v>3731000</v>
      </c>
      <c r="U54" s="81">
        <v>4991000</v>
      </c>
      <c r="V54" s="82">
        <v>4280000</v>
      </c>
      <c r="W54" s="81">
        <v>5107000</v>
      </c>
      <c r="X54" s="82">
        <v>4396000</v>
      </c>
      <c r="Y54" s="81">
        <v>5138000</v>
      </c>
      <c r="Z54" s="82">
        <v>4427000</v>
      </c>
      <c r="AA54" s="81">
        <v>5354000</v>
      </c>
      <c r="AB54" s="82">
        <v>4643000</v>
      </c>
      <c r="AC54" s="81">
        <v>5354000</v>
      </c>
      <c r="AD54" s="82">
        <v>4643000</v>
      </c>
      <c r="AE54" s="81">
        <v>5105000</v>
      </c>
      <c r="AF54" s="82">
        <v>4394000</v>
      </c>
      <c r="AG54" s="81">
        <v>5540000</v>
      </c>
      <c r="AH54" s="82">
        <v>4829000</v>
      </c>
      <c r="AI54" s="81">
        <v>4699000</v>
      </c>
      <c r="AJ54" s="82">
        <v>3988000</v>
      </c>
      <c r="AK54" s="81">
        <v>5377000</v>
      </c>
      <c r="AL54" s="82">
        <v>4666000</v>
      </c>
      <c r="AM54" s="81">
        <v>5553000</v>
      </c>
      <c r="AN54" s="82">
        <v>4842000</v>
      </c>
      <c r="AO54" s="81">
        <v>5377000</v>
      </c>
      <c r="AP54" s="82">
        <v>4666000</v>
      </c>
      <c r="AQ54" s="81">
        <v>5439000</v>
      </c>
      <c r="AR54" s="82">
        <v>4728000</v>
      </c>
      <c r="AS54" s="81">
        <v>5395000</v>
      </c>
      <c r="AT54" s="82">
        <v>4684000</v>
      </c>
      <c r="AU54" s="81">
        <v>5495000</v>
      </c>
      <c r="AV54" s="82">
        <v>4784000</v>
      </c>
      <c r="AW54" s="81">
        <v>4879000</v>
      </c>
      <c r="AX54" s="82">
        <v>4168000</v>
      </c>
      <c r="AY54" s="81">
        <v>4879000</v>
      </c>
      <c r="AZ54" s="82">
        <v>4168000</v>
      </c>
      <c r="BA54" s="81">
        <v>4879000</v>
      </c>
      <c r="BB54" s="82">
        <v>4168000</v>
      </c>
      <c r="BC54" s="81">
        <v>4879000</v>
      </c>
      <c r="BD54" s="82">
        <v>4168000</v>
      </c>
      <c r="BE54" s="81">
        <v>4867000</v>
      </c>
      <c r="BF54" s="82">
        <v>4156000</v>
      </c>
      <c r="BG54" s="81">
        <v>4943000</v>
      </c>
      <c r="BH54" s="82">
        <v>4232000</v>
      </c>
      <c r="BI54" s="81">
        <v>4943000</v>
      </c>
      <c r="BJ54" s="82">
        <v>4232000</v>
      </c>
      <c r="BK54" s="81">
        <v>4927000</v>
      </c>
      <c r="BL54" s="82">
        <v>4216000</v>
      </c>
      <c r="BM54" s="81">
        <v>4879000</v>
      </c>
      <c r="BN54" s="82">
        <v>4168000</v>
      </c>
      <c r="BO54" s="81">
        <v>4863000</v>
      </c>
      <c r="BP54" s="82">
        <v>4152000</v>
      </c>
      <c r="BQ54" s="81">
        <v>4863000</v>
      </c>
      <c r="BR54" s="82">
        <v>4152000</v>
      </c>
      <c r="BS54" s="81">
        <v>4863000</v>
      </c>
      <c r="BT54" s="82">
        <v>4152000</v>
      </c>
      <c r="BU54" s="81">
        <v>4770000</v>
      </c>
      <c r="BV54" s="82">
        <v>4059000</v>
      </c>
      <c r="BW54" s="81">
        <v>4693000</v>
      </c>
      <c r="BX54" s="82">
        <v>3982000</v>
      </c>
      <c r="BY54" s="81">
        <v>4693000</v>
      </c>
      <c r="BZ54" s="82">
        <v>3982000</v>
      </c>
      <c r="CA54" s="81">
        <v>4770000</v>
      </c>
      <c r="CB54" s="82">
        <v>4059000</v>
      </c>
      <c r="CC54" s="81">
        <v>5247000</v>
      </c>
      <c r="CD54" s="82">
        <v>4536000</v>
      </c>
    </row>
    <row r="55" spans="1:82" x14ac:dyDescent="0.25">
      <c r="A55" s="83">
        <v>5</v>
      </c>
      <c r="B55" s="84" t="s">
        <v>444</v>
      </c>
      <c r="C55" s="81">
        <v>7920000</v>
      </c>
      <c r="D55" s="82">
        <v>7174000</v>
      </c>
      <c r="E55" s="81">
        <v>6404000</v>
      </c>
      <c r="F55" s="82">
        <v>5658000</v>
      </c>
      <c r="G55" s="81">
        <v>9431000</v>
      </c>
      <c r="H55" s="82">
        <v>8685000</v>
      </c>
      <c r="I55" s="81">
        <v>8060000</v>
      </c>
      <c r="J55" s="82">
        <v>7314000</v>
      </c>
      <c r="K55" s="81">
        <v>11794000</v>
      </c>
      <c r="L55" s="82">
        <v>11048000</v>
      </c>
      <c r="M55" s="81">
        <v>5790000</v>
      </c>
      <c r="N55" s="82">
        <v>5044000</v>
      </c>
      <c r="O55" s="81">
        <v>8929000</v>
      </c>
      <c r="P55" s="82">
        <v>8183000</v>
      </c>
      <c r="Q55" s="81">
        <v>4934000</v>
      </c>
      <c r="R55" s="82">
        <v>4188000</v>
      </c>
      <c r="S55" s="81">
        <v>4655000</v>
      </c>
      <c r="T55" s="82">
        <v>3909000</v>
      </c>
      <c r="U55" s="81">
        <v>5250000</v>
      </c>
      <c r="V55" s="82">
        <v>4504000</v>
      </c>
      <c r="W55" s="81">
        <v>5375000</v>
      </c>
      <c r="X55" s="82">
        <v>4629000</v>
      </c>
      <c r="Y55" s="81">
        <v>5406000</v>
      </c>
      <c r="Z55" s="82">
        <v>4660000</v>
      </c>
      <c r="AA55" s="81">
        <v>5639000</v>
      </c>
      <c r="AB55" s="82">
        <v>4893000</v>
      </c>
      <c r="AC55" s="81">
        <v>5639000</v>
      </c>
      <c r="AD55" s="82">
        <v>4893000</v>
      </c>
      <c r="AE55" s="81">
        <v>5374000</v>
      </c>
      <c r="AF55" s="82">
        <v>4628000</v>
      </c>
      <c r="AG55" s="81">
        <v>5848000</v>
      </c>
      <c r="AH55" s="82">
        <v>5102000</v>
      </c>
      <c r="AI55" s="81">
        <v>4931000</v>
      </c>
      <c r="AJ55" s="82">
        <v>4185000</v>
      </c>
      <c r="AK55" s="81">
        <v>5669000</v>
      </c>
      <c r="AL55" s="82">
        <v>4923000</v>
      </c>
      <c r="AM55" s="81">
        <v>5860000</v>
      </c>
      <c r="AN55" s="82">
        <v>5114000</v>
      </c>
      <c r="AO55" s="81">
        <v>5669000</v>
      </c>
      <c r="AP55" s="82">
        <v>4923000</v>
      </c>
      <c r="AQ55" s="81">
        <v>5738000</v>
      </c>
      <c r="AR55" s="82">
        <v>4992000</v>
      </c>
      <c r="AS55" s="81">
        <v>5689000</v>
      </c>
      <c r="AT55" s="82">
        <v>4943000</v>
      </c>
      <c r="AU55" s="81">
        <v>5799000</v>
      </c>
      <c r="AV55" s="82">
        <v>5053000</v>
      </c>
      <c r="AW55" s="81">
        <v>5131000</v>
      </c>
      <c r="AX55" s="82">
        <v>4385000</v>
      </c>
      <c r="AY55" s="81">
        <v>5131000</v>
      </c>
      <c r="AZ55" s="82">
        <v>4385000</v>
      </c>
      <c r="BA55" s="81">
        <v>5131000</v>
      </c>
      <c r="BB55" s="82">
        <v>4385000</v>
      </c>
      <c r="BC55" s="81">
        <v>5131000</v>
      </c>
      <c r="BD55" s="82">
        <v>4385000</v>
      </c>
      <c r="BE55" s="81">
        <v>5118000</v>
      </c>
      <c r="BF55" s="82">
        <v>4372000</v>
      </c>
      <c r="BG55" s="81">
        <v>5201000</v>
      </c>
      <c r="BH55" s="82">
        <v>4455000</v>
      </c>
      <c r="BI55" s="81">
        <v>5201000</v>
      </c>
      <c r="BJ55" s="82">
        <v>4455000</v>
      </c>
      <c r="BK55" s="81">
        <v>5183000</v>
      </c>
      <c r="BL55" s="82">
        <v>4437000</v>
      </c>
      <c r="BM55" s="81">
        <v>5131000</v>
      </c>
      <c r="BN55" s="82">
        <v>4385000</v>
      </c>
      <c r="BO55" s="81">
        <v>5114000</v>
      </c>
      <c r="BP55" s="82">
        <v>4368000</v>
      </c>
      <c r="BQ55" s="81">
        <v>5114000</v>
      </c>
      <c r="BR55" s="82">
        <v>4368000</v>
      </c>
      <c r="BS55" s="81">
        <v>5114000</v>
      </c>
      <c r="BT55" s="82">
        <v>4368000</v>
      </c>
      <c r="BU55" s="81">
        <v>5004000</v>
      </c>
      <c r="BV55" s="82">
        <v>4258000</v>
      </c>
      <c r="BW55" s="81">
        <v>4920000</v>
      </c>
      <c r="BX55" s="82">
        <v>4174000</v>
      </c>
      <c r="BY55" s="81">
        <v>4920000</v>
      </c>
      <c r="BZ55" s="82">
        <v>4174000</v>
      </c>
      <c r="CA55" s="81">
        <v>5004000</v>
      </c>
      <c r="CB55" s="82">
        <v>4258000</v>
      </c>
      <c r="CC55" s="81">
        <v>5526000</v>
      </c>
      <c r="CD55" s="82">
        <v>4780000</v>
      </c>
    </row>
    <row r="56" spans="1:82" x14ac:dyDescent="0.25">
      <c r="A56" s="83">
        <v>6</v>
      </c>
      <c r="B56" s="84" t="s">
        <v>445</v>
      </c>
      <c r="C56" s="81">
        <v>10351000</v>
      </c>
      <c r="D56" s="82">
        <v>9463000</v>
      </c>
      <c r="E56" s="81">
        <v>8328000</v>
      </c>
      <c r="F56" s="82">
        <v>7440000</v>
      </c>
      <c r="G56" s="81">
        <v>12364000</v>
      </c>
      <c r="H56" s="82">
        <v>11476000</v>
      </c>
      <c r="I56" s="81">
        <v>10536000</v>
      </c>
      <c r="J56" s="82">
        <v>9648000</v>
      </c>
      <c r="K56" s="81">
        <v>15516000</v>
      </c>
      <c r="L56" s="82">
        <v>14628000</v>
      </c>
      <c r="M56" s="81">
        <v>7392000</v>
      </c>
      <c r="N56" s="82">
        <v>6504000</v>
      </c>
      <c r="O56" s="81">
        <v>11926000</v>
      </c>
      <c r="P56" s="82">
        <v>11038000</v>
      </c>
      <c r="Q56" s="81">
        <v>6358000</v>
      </c>
      <c r="R56" s="82">
        <v>5470000</v>
      </c>
      <c r="S56" s="81">
        <v>6018000</v>
      </c>
      <c r="T56" s="82">
        <v>5130000</v>
      </c>
      <c r="U56" s="81">
        <v>6839000</v>
      </c>
      <c r="V56" s="82">
        <v>5951000</v>
      </c>
      <c r="W56" s="81">
        <v>7019000</v>
      </c>
      <c r="X56" s="82">
        <v>6131000</v>
      </c>
      <c r="Y56" s="81">
        <v>7079000</v>
      </c>
      <c r="Z56" s="82">
        <v>6191000</v>
      </c>
      <c r="AA56" s="81">
        <v>7406000</v>
      </c>
      <c r="AB56" s="82">
        <v>6518000</v>
      </c>
      <c r="AC56" s="81">
        <v>7406000</v>
      </c>
      <c r="AD56" s="82">
        <v>6518000</v>
      </c>
      <c r="AE56" s="81">
        <v>7009000</v>
      </c>
      <c r="AF56" s="82">
        <v>6121000</v>
      </c>
      <c r="AG56" s="81">
        <v>7645000</v>
      </c>
      <c r="AH56" s="82">
        <v>6757000</v>
      </c>
      <c r="AI56" s="81">
        <v>6414000</v>
      </c>
      <c r="AJ56" s="82">
        <v>5526000</v>
      </c>
      <c r="AK56" s="81">
        <v>7413000</v>
      </c>
      <c r="AL56" s="82">
        <v>6525000</v>
      </c>
      <c r="AM56" s="81">
        <v>7668000</v>
      </c>
      <c r="AN56" s="82">
        <v>6780000</v>
      </c>
      <c r="AO56" s="81">
        <v>7413000</v>
      </c>
      <c r="AP56" s="82">
        <v>6525000</v>
      </c>
      <c r="AQ56" s="81">
        <v>7500000</v>
      </c>
      <c r="AR56" s="82">
        <v>6612000</v>
      </c>
      <c r="AS56" s="81">
        <v>7435000</v>
      </c>
      <c r="AT56" s="82">
        <v>6547000</v>
      </c>
      <c r="AU56" s="81">
        <v>7581000</v>
      </c>
      <c r="AV56" s="82">
        <v>6693000</v>
      </c>
      <c r="AW56" s="81">
        <v>6656000</v>
      </c>
      <c r="AX56" s="82">
        <v>5768000</v>
      </c>
      <c r="AY56" s="81">
        <v>6656000</v>
      </c>
      <c r="AZ56" s="82">
        <v>5768000</v>
      </c>
      <c r="BA56" s="81">
        <v>6656000</v>
      </c>
      <c r="BB56" s="82">
        <v>5768000</v>
      </c>
      <c r="BC56" s="81">
        <v>6656000</v>
      </c>
      <c r="BD56" s="82">
        <v>5768000</v>
      </c>
      <c r="BE56" s="81">
        <v>6638000</v>
      </c>
      <c r="BF56" s="82">
        <v>5750000</v>
      </c>
      <c r="BG56" s="81">
        <v>6749000</v>
      </c>
      <c r="BH56" s="82">
        <v>5861000</v>
      </c>
      <c r="BI56" s="81">
        <v>6749000</v>
      </c>
      <c r="BJ56" s="82">
        <v>5861000</v>
      </c>
      <c r="BK56" s="81">
        <v>6725000</v>
      </c>
      <c r="BL56" s="82">
        <v>5837000</v>
      </c>
      <c r="BM56" s="81">
        <v>6656000</v>
      </c>
      <c r="BN56" s="82">
        <v>5768000</v>
      </c>
      <c r="BO56" s="81">
        <v>6633000</v>
      </c>
      <c r="BP56" s="82">
        <v>5745000</v>
      </c>
      <c r="BQ56" s="81">
        <v>6633000</v>
      </c>
      <c r="BR56" s="82">
        <v>5745000</v>
      </c>
      <c r="BS56" s="81">
        <v>6633000</v>
      </c>
      <c r="BT56" s="82">
        <v>5745000</v>
      </c>
      <c r="BU56" s="81">
        <v>6549000</v>
      </c>
      <c r="BV56" s="82">
        <v>5661000</v>
      </c>
      <c r="BW56" s="81">
        <v>6437000</v>
      </c>
      <c r="BX56" s="82">
        <v>5549000</v>
      </c>
      <c r="BY56" s="81">
        <v>6437000</v>
      </c>
      <c r="BZ56" s="82">
        <v>5549000</v>
      </c>
      <c r="CA56" s="81">
        <v>6549000</v>
      </c>
      <c r="CB56" s="82">
        <v>5661000</v>
      </c>
      <c r="CC56" s="81">
        <v>7229000</v>
      </c>
      <c r="CD56" s="82">
        <v>6341000</v>
      </c>
    </row>
    <row r="57" spans="1:82" x14ac:dyDescent="0.25">
      <c r="A57" s="83">
        <v>7</v>
      </c>
      <c r="B57" s="84" t="s">
        <v>446</v>
      </c>
      <c r="C57" s="81">
        <v>11914000</v>
      </c>
      <c r="D57" s="82">
        <v>10912000</v>
      </c>
      <c r="E57" s="81">
        <v>9487000</v>
      </c>
      <c r="F57" s="82">
        <v>8485000</v>
      </c>
      <c r="G57" s="81">
        <v>14330000</v>
      </c>
      <c r="H57" s="82">
        <v>13328000</v>
      </c>
      <c r="I57" s="81">
        <v>12137000</v>
      </c>
      <c r="J57" s="82">
        <v>11135000</v>
      </c>
      <c r="K57" s="81">
        <v>18112000</v>
      </c>
      <c r="L57" s="82">
        <v>17110000</v>
      </c>
      <c r="M57" s="81">
        <v>8291000</v>
      </c>
      <c r="N57" s="82">
        <v>7289000</v>
      </c>
      <c r="O57" s="81">
        <v>13942000</v>
      </c>
      <c r="P57" s="82">
        <v>12940000</v>
      </c>
      <c r="Q57" s="81">
        <v>7116000</v>
      </c>
      <c r="R57" s="82">
        <v>6114000</v>
      </c>
      <c r="S57" s="81">
        <v>6702000</v>
      </c>
      <c r="T57" s="82">
        <v>5700000</v>
      </c>
      <c r="U57" s="81">
        <v>7670000</v>
      </c>
      <c r="V57" s="82">
        <v>6668000</v>
      </c>
      <c r="W57" s="81">
        <v>7878000</v>
      </c>
      <c r="X57" s="82">
        <v>6876000</v>
      </c>
      <c r="Y57" s="81">
        <v>7939000</v>
      </c>
      <c r="Z57" s="82">
        <v>6937000</v>
      </c>
      <c r="AA57" s="81">
        <v>8322000</v>
      </c>
      <c r="AB57" s="82">
        <v>7320000</v>
      </c>
      <c r="AC57" s="81">
        <v>8322000</v>
      </c>
      <c r="AD57" s="82">
        <v>7320000</v>
      </c>
      <c r="AE57" s="81">
        <v>7872000</v>
      </c>
      <c r="AF57" s="82">
        <v>6870000</v>
      </c>
      <c r="AG57" s="81">
        <v>8632000</v>
      </c>
      <c r="AH57" s="82">
        <v>7630000</v>
      </c>
      <c r="AI57" s="81">
        <v>7160000</v>
      </c>
      <c r="AJ57" s="82">
        <v>6158000</v>
      </c>
      <c r="AK57" s="81">
        <v>8350000</v>
      </c>
      <c r="AL57" s="82">
        <v>7348000</v>
      </c>
      <c r="AM57" s="81">
        <v>8656000</v>
      </c>
      <c r="AN57" s="82">
        <v>7654000</v>
      </c>
      <c r="AO57" s="81">
        <v>8350000</v>
      </c>
      <c r="AP57" s="82">
        <v>7348000</v>
      </c>
      <c r="AQ57" s="81">
        <v>8457000</v>
      </c>
      <c r="AR57" s="82">
        <v>7455000</v>
      </c>
      <c r="AS57" s="81">
        <v>8379000</v>
      </c>
      <c r="AT57" s="82">
        <v>7377000</v>
      </c>
      <c r="AU57" s="81">
        <v>8555000</v>
      </c>
      <c r="AV57" s="82">
        <v>7553000</v>
      </c>
      <c r="AW57" s="81">
        <v>7465000</v>
      </c>
      <c r="AX57" s="82">
        <v>6463000</v>
      </c>
      <c r="AY57" s="81">
        <v>7465000</v>
      </c>
      <c r="AZ57" s="82">
        <v>6463000</v>
      </c>
      <c r="BA57" s="81">
        <v>7465000</v>
      </c>
      <c r="BB57" s="82">
        <v>6463000</v>
      </c>
      <c r="BC57" s="81">
        <v>7465000</v>
      </c>
      <c r="BD57" s="82">
        <v>6463000</v>
      </c>
      <c r="BE57" s="81">
        <v>7445000</v>
      </c>
      <c r="BF57" s="82">
        <v>6443000</v>
      </c>
      <c r="BG57" s="81">
        <v>7577000</v>
      </c>
      <c r="BH57" s="82">
        <v>6575000</v>
      </c>
      <c r="BI57" s="81">
        <v>7577000</v>
      </c>
      <c r="BJ57" s="82">
        <v>6575000</v>
      </c>
      <c r="BK57" s="81">
        <v>7549000</v>
      </c>
      <c r="BL57" s="82">
        <v>6547000</v>
      </c>
      <c r="BM57" s="81">
        <v>7465000</v>
      </c>
      <c r="BN57" s="82">
        <v>6463000</v>
      </c>
      <c r="BO57" s="81">
        <v>7438000</v>
      </c>
      <c r="BP57" s="82">
        <v>6436000</v>
      </c>
      <c r="BQ57" s="81">
        <v>7438000</v>
      </c>
      <c r="BR57" s="82">
        <v>6436000</v>
      </c>
      <c r="BS57" s="81">
        <v>7438000</v>
      </c>
      <c r="BT57" s="82">
        <v>6436000</v>
      </c>
      <c r="BU57" s="81">
        <v>7299000</v>
      </c>
      <c r="BV57" s="82">
        <v>6297000</v>
      </c>
      <c r="BW57" s="81">
        <v>7165000</v>
      </c>
      <c r="BX57" s="82">
        <v>6163000</v>
      </c>
      <c r="BY57" s="81">
        <v>7165000</v>
      </c>
      <c r="BZ57" s="82">
        <v>6163000</v>
      </c>
      <c r="CA57" s="81">
        <v>7299000</v>
      </c>
      <c r="CB57" s="82">
        <v>6297000</v>
      </c>
      <c r="CC57" s="81">
        <v>8125000</v>
      </c>
      <c r="CD57" s="82">
        <v>7123000</v>
      </c>
    </row>
    <row r="58" spans="1:82" x14ac:dyDescent="0.25">
      <c r="A58" s="83">
        <v>8</v>
      </c>
      <c r="B58" s="84" t="s">
        <v>447</v>
      </c>
      <c r="C58" s="81">
        <v>12304000</v>
      </c>
      <c r="D58" s="82">
        <v>11274000</v>
      </c>
      <c r="E58" s="81">
        <v>9776000</v>
      </c>
      <c r="F58" s="82">
        <v>8746000</v>
      </c>
      <c r="G58" s="81">
        <v>14821000</v>
      </c>
      <c r="H58" s="82">
        <v>13791000</v>
      </c>
      <c r="I58" s="81">
        <v>12536000</v>
      </c>
      <c r="J58" s="82">
        <v>11506000</v>
      </c>
      <c r="K58" s="81">
        <v>18760000</v>
      </c>
      <c r="L58" s="82">
        <v>17730000</v>
      </c>
      <c r="M58" s="81">
        <v>8516000</v>
      </c>
      <c r="N58" s="82">
        <v>7486000</v>
      </c>
      <c r="O58" s="81">
        <v>14445000</v>
      </c>
      <c r="P58" s="82">
        <v>13415000</v>
      </c>
      <c r="Q58" s="81">
        <v>7305000</v>
      </c>
      <c r="R58" s="82">
        <v>6275000</v>
      </c>
      <c r="S58" s="81">
        <v>6872000</v>
      </c>
      <c r="T58" s="82">
        <v>5842000</v>
      </c>
      <c r="U58" s="81">
        <v>7877000</v>
      </c>
      <c r="V58" s="82">
        <v>6847000</v>
      </c>
      <c r="W58" s="81">
        <v>8093000</v>
      </c>
      <c r="X58" s="82">
        <v>7063000</v>
      </c>
      <c r="Y58" s="81">
        <v>8154000</v>
      </c>
      <c r="Z58" s="82">
        <v>7124000</v>
      </c>
      <c r="AA58" s="81">
        <v>8550000</v>
      </c>
      <c r="AB58" s="82">
        <v>7520000</v>
      </c>
      <c r="AC58" s="81">
        <v>8550000</v>
      </c>
      <c r="AD58" s="82">
        <v>7520000</v>
      </c>
      <c r="AE58" s="81">
        <v>8087000</v>
      </c>
      <c r="AF58" s="82">
        <v>7057000</v>
      </c>
      <c r="AG58" s="81">
        <v>8879000</v>
      </c>
      <c r="AH58" s="82">
        <v>7849000</v>
      </c>
      <c r="AI58" s="81">
        <v>7346000</v>
      </c>
      <c r="AJ58" s="82">
        <v>6316000</v>
      </c>
      <c r="AK58" s="81">
        <v>8584000</v>
      </c>
      <c r="AL58" s="82">
        <v>7554000</v>
      </c>
      <c r="AM58" s="81">
        <v>8903000</v>
      </c>
      <c r="AN58" s="82">
        <v>7873000</v>
      </c>
      <c r="AO58" s="81">
        <v>8584000</v>
      </c>
      <c r="AP58" s="82">
        <v>7554000</v>
      </c>
      <c r="AQ58" s="81">
        <v>8696000</v>
      </c>
      <c r="AR58" s="82">
        <v>7666000</v>
      </c>
      <c r="AS58" s="81">
        <v>8615000</v>
      </c>
      <c r="AT58" s="82">
        <v>7585000</v>
      </c>
      <c r="AU58" s="81">
        <v>8798000</v>
      </c>
      <c r="AV58" s="82">
        <v>7768000</v>
      </c>
      <c r="AW58" s="81">
        <v>7667000</v>
      </c>
      <c r="AX58" s="82">
        <v>6637000</v>
      </c>
      <c r="AY58" s="81">
        <v>7667000</v>
      </c>
      <c r="AZ58" s="82">
        <v>6637000</v>
      </c>
      <c r="BA58" s="81">
        <v>7667000</v>
      </c>
      <c r="BB58" s="82">
        <v>6637000</v>
      </c>
      <c r="BC58" s="81">
        <v>7667000</v>
      </c>
      <c r="BD58" s="82">
        <v>6637000</v>
      </c>
      <c r="BE58" s="81">
        <v>7646000</v>
      </c>
      <c r="BF58" s="82">
        <v>6616000</v>
      </c>
      <c r="BG58" s="81">
        <v>7783000</v>
      </c>
      <c r="BH58" s="82">
        <v>6753000</v>
      </c>
      <c r="BI58" s="81">
        <v>7783000</v>
      </c>
      <c r="BJ58" s="82">
        <v>6753000</v>
      </c>
      <c r="BK58" s="81">
        <v>7754000</v>
      </c>
      <c r="BL58" s="82">
        <v>6724000</v>
      </c>
      <c r="BM58" s="81">
        <v>7667000</v>
      </c>
      <c r="BN58" s="82">
        <v>6637000</v>
      </c>
      <c r="BO58" s="81">
        <v>7638000</v>
      </c>
      <c r="BP58" s="82">
        <v>6608000</v>
      </c>
      <c r="BQ58" s="81">
        <v>7638000</v>
      </c>
      <c r="BR58" s="82">
        <v>6608000</v>
      </c>
      <c r="BS58" s="81">
        <v>7638000</v>
      </c>
      <c r="BT58" s="82">
        <v>6608000</v>
      </c>
      <c r="BU58" s="81">
        <v>7486000</v>
      </c>
      <c r="BV58" s="82">
        <v>6456000</v>
      </c>
      <c r="BW58" s="81">
        <v>7347000</v>
      </c>
      <c r="BX58" s="82">
        <v>6317000</v>
      </c>
      <c r="BY58" s="81">
        <v>7347000</v>
      </c>
      <c r="BZ58" s="82">
        <v>6317000</v>
      </c>
      <c r="CA58" s="81">
        <v>7486000</v>
      </c>
      <c r="CB58" s="82">
        <v>6456000</v>
      </c>
      <c r="CC58" s="81">
        <v>8349000</v>
      </c>
      <c r="CD58" s="82">
        <v>7319000</v>
      </c>
    </row>
    <row r="59" spans="1:82" x14ac:dyDescent="0.25">
      <c r="A59" s="83">
        <v>9</v>
      </c>
      <c r="B59" s="84" t="s">
        <v>448</v>
      </c>
      <c r="C59" s="81">
        <v>13280000</v>
      </c>
      <c r="D59" s="82">
        <v>12180000</v>
      </c>
      <c r="E59" s="81">
        <v>10499000</v>
      </c>
      <c r="F59" s="82">
        <v>9399000</v>
      </c>
      <c r="G59" s="81">
        <v>16049000</v>
      </c>
      <c r="H59" s="82">
        <v>14949000</v>
      </c>
      <c r="I59" s="81">
        <v>13535000</v>
      </c>
      <c r="J59" s="82">
        <v>12435000</v>
      </c>
      <c r="K59" s="81">
        <v>20382000</v>
      </c>
      <c r="L59" s="82">
        <v>19282000</v>
      </c>
      <c r="M59" s="81">
        <v>9077000</v>
      </c>
      <c r="N59" s="82">
        <v>7977000</v>
      </c>
      <c r="O59" s="81">
        <v>15704000</v>
      </c>
      <c r="P59" s="82">
        <v>14604000</v>
      </c>
      <c r="Q59" s="81">
        <v>7778000</v>
      </c>
      <c r="R59" s="82">
        <v>6678000</v>
      </c>
      <c r="S59" s="81">
        <v>7298000</v>
      </c>
      <c r="T59" s="82">
        <v>6198000</v>
      </c>
      <c r="U59" s="81">
        <v>8396000</v>
      </c>
      <c r="V59" s="82">
        <v>7296000</v>
      </c>
      <c r="W59" s="81">
        <v>8629000</v>
      </c>
      <c r="X59" s="82">
        <v>7529000</v>
      </c>
      <c r="Y59" s="81">
        <v>8691000</v>
      </c>
      <c r="Z59" s="82">
        <v>7591000</v>
      </c>
      <c r="AA59" s="81">
        <v>9122000</v>
      </c>
      <c r="AB59" s="82">
        <v>8022000</v>
      </c>
      <c r="AC59" s="81">
        <v>9122000</v>
      </c>
      <c r="AD59" s="82">
        <v>8022000</v>
      </c>
      <c r="AE59" s="81">
        <v>8625000</v>
      </c>
      <c r="AF59" s="82">
        <v>7525000</v>
      </c>
      <c r="AG59" s="81">
        <v>9495000</v>
      </c>
      <c r="AH59" s="82">
        <v>8395000</v>
      </c>
      <c r="AI59" s="81">
        <v>7812000</v>
      </c>
      <c r="AJ59" s="82">
        <v>6712000</v>
      </c>
      <c r="AK59" s="81">
        <v>9168000</v>
      </c>
      <c r="AL59" s="82">
        <v>8068000</v>
      </c>
      <c r="AM59" s="81">
        <v>9520000</v>
      </c>
      <c r="AN59" s="82">
        <v>8420000</v>
      </c>
      <c r="AO59" s="81">
        <v>9168000</v>
      </c>
      <c r="AP59" s="82">
        <v>8068000</v>
      </c>
      <c r="AQ59" s="81">
        <v>9293000</v>
      </c>
      <c r="AR59" s="82">
        <v>8193000</v>
      </c>
      <c r="AS59" s="81">
        <v>9204000</v>
      </c>
      <c r="AT59" s="82">
        <v>8104000</v>
      </c>
      <c r="AU59" s="81">
        <v>9405000</v>
      </c>
      <c r="AV59" s="82">
        <v>8305000</v>
      </c>
      <c r="AW59" s="81">
        <v>8173000</v>
      </c>
      <c r="AX59" s="82">
        <v>7073000</v>
      </c>
      <c r="AY59" s="81">
        <v>8173000</v>
      </c>
      <c r="AZ59" s="82">
        <v>7073000</v>
      </c>
      <c r="BA59" s="81">
        <v>8173000</v>
      </c>
      <c r="BB59" s="82">
        <v>7073000</v>
      </c>
      <c r="BC59" s="81">
        <v>8173000</v>
      </c>
      <c r="BD59" s="82">
        <v>7073000</v>
      </c>
      <c r="BE59" s="81">
        <v>8149000</v>
      </c>
      <c r="BF59" s="82">
        <v>7049000</v>
      </c>
      <c r="BG59" s="81">
        <v>8300000</v>
      </c>
      <c r="BH59" s="82">
        <v>7200000</v>
      </c>
      <c r="BI59" s="81">
        <v>8300000</v>
      </c>
      <c r="BJ59" s="82">
        <v>7200000</v>
      </c>
      <c r="BK59" s="81">
        <v>8268000</v>
      </c>
      <c r="BL59" s="82">
        <v>7168000</v>
      </c>
      <c r="BM59" s="81">
        <v>8173000</v>
      </c>
      <c r="BN59" s="82">
        <v>7073000</v>
      </c>
      <c r="BO59" s="81">
        <v>8141000</v>
      </c>
      <c r="BP59" s="82">
        <v>7041000</v>
      </c>
      <c r="BQ59" s="81">
        <v>8141000</v>
      </c>
      <c r="BR59" s="82">
        <v>7041000</v>
      </c>
      <c r="BS59" s="81">
        <v>8141000</v>
      </c>
      <c r="BT59" s="82">
        <v>7041000</v>
      </c>
      <c r="BU59" s="81">
        <v>7955000</v>
      </c>
      <c r="BV59" s="82">
        <v>6855000</v>
      </c>
      <c r="BW59" s="81">
        <v>7801000</v>
      </c>
      <c r="BX59" s="82">
        <v>6701000</v>
      </c>
      <c r="BY59" s="81">
        <v>7801000</v>
      </c>
      <c r="BZ59" s="82">
        <v>6701000</v>
      </c>
      <c r="CA59" s="81">
        <v>7955000</v>
      </c>
      <c r="CB59" s="82">
        <v>6855000</v>
      </c>
      <c r="CC59" s="81">
        <v>8909000</v>
      </c>
      <c r="CD59" s="82">
        <v>7809000</v>
      </c>
    </row>
    <row r="60" spans="1:82" x14ac:dyDescent="0.25">
      <c r="A60" s="83">
        <v>10</v>
      </c>
      <c r="B60" s="84" t="s">
        <v>449</v>
      </c>
      <c r="C60" s="81">
        <v>14257000</v>
      </c>
      <c r="D60" s="82">
        <v>13085000</v>
      </c>
      <c r="E60" s="81">
        <v>11224000</v>
      </c>
      <c r="F60" s="82">
        <v>10052000</v>
      </c>
      <c r="G60" s="81">
        <v>17278000</v>
      </c>
      <c r="H60" s="82">
        <v>16106000</v>
      </c>
      <c r="I60" s="81">
        <v>14536000</v>
      </c>
      <c r="J60" s="82">
        <v>13364000</v>
      </c>
      <c r="K60" s="81">
        <v>22005000</v>
      </c>
      <c r="L60" s="82">
        <v>20833000</v>
      </c>
      <c r="M60" s="81">
        <v>9640000</v>
      </c>
      <c r="N60" s="82">
        <v>8468000</v>
      </c>
      <c r="O60" s="81">
        <v>16965000</v>
      </c>
      <c r="P60" s="82">
        <v>15793000</v>
      </c>
      <c r="Q60" s="81">
        <v>8252000</v>
      </c>
      <c r="R60" s="82">
        <v>7080000</v>
      </c>
      <c r="S60" s="81">
        <v>7726000</v>
      </c>
      <c r="T60" s="82">
        <v>6554000</v>
      </c>
      <c r="U60" s="81">
        <v>8916000</v>
      </c>
      <c r="V60" s="82">
        <v>7744000</v>
      </c>
      <c r="W60" s="81">
        <v>9167000</v>
      </c>
      <c r="X60" s="82">
        <v>7995000</v>
      </c>
      <c r="Y60" s="81">
        <v>9229000</v>
      </c>
      <c r="Z60" s="82">
        <v>8057000</v>
      </c>
      <c r="AA60" s="81">
        <v>9695000</v>
      </c>
      <c r="AB60" s="82">
        <v>8523000</v>
      </c>
      <c r="AC60" s="81">
        <v>9695000</v>
      </c>
      <c r="AD60" s="82">
        <v>8523000</v>
      </c>
      <c r="AE60" s="81">
        <v>9164000</v>
      </c>
      <c r="AF60" s="82">
        <v>7992000</v>
      </c>
      <c r="AG60" s="81">
        <v>10112000</v>
      </c>
      <c r="AH60" s="82">
        <v>8940000</v>
      </c>
      <c r="AI60" s="81">
        <v>8279000</v>
      </c>
      <c r="AJ60" s="82">
        <v>7107000</v>
      </c>
      <c r="AK60" s="81">
        <v>9754000</v>
      </c>
      <c r="AL60" s="82">
        <v>8582000</v>
      </c>
      <c r="AM60" s="81">
        <v>10137000</v>
      </c>
      <c r="AN60" s="82">
        <v>8965000</v>
      </c>
      <c r="AO60" s="81">
        <v>9754000</v>
      </c>
      <c r="AP60" s="82">
        <v>8582000</v>
      </c>
      <c r="AQ60" s="81">
        <v>9892000</v>
      </c>
      <c r="AR60" s="82">
        <v>8720000</v>
      </c>
      <c r="AS60" s="81">
        <v>9794000</v>
      </c>
      <c r="AT60" s="82">
        <v>8622000</v>
      </c>
      <c r="AU60" s="81">
        <v>10014000</v>
      </c>
      <c r="AV60" s="82">
        <v>8842000</v>
      </c>
      <c r="AW60" s="81">
        <v>8679000</v>
      </c>
      <c r="AX60" s="82">
        <v>7507000</v>
      </c>
      <c r="AY60" s="81">
        <v>8679000</v>
      </c>
      <c r="AZ60" s="82">
        <v>7507000</v>
      </c>
      <c r="BA60" s="81">
        <v>8679000</v>
      </c>
      <c r="BB60" s="82">
        <v>7507000</v>
      </c>
      <c r="BC60" s="81">
        <v>8679000</v>
      </c>
      <c r="BD60" s="82">
        <v>7507000</v>
      </c>
      <c r="BE60" s="81">
        <v>8653000</v>
      </c>
      <c r="BF60" s="82">
        <v>7481000</v>
      </c>
      <c r="BG60" s="81">
        <v>8818000</v>
      </c>
      <c r="BH60" s="82">
        <v>7646000</v>
      </c>
      <c r="BI60" s="81">
        <v>8818000</v>
      </c>
      <c r="BJ60" s="82">
        <v>7646000</v>
      </c>
      <c r="BK60" s="81">
        <v>8783000</v>
      </c>
      <c r="BL60" s="82">
        <v>7611000</v>
      </c>
      <c r="BM60" s="81">
        <v>8679000</v>
      </c>
      <c r="BN60" s="82">
        <v>7507000</v>
      </c>
      <c r="BO60" s="81">
        <v>8644000</v>
      </c>
      <c r="BP60" s="82">
        <v>7472000</v>
      </c>
      <c r="BQ60" s="81">
        <v>8644000</v>
      </c>
      <c r="BR60" s="82">
        <v>7472000</v>
      </c>
      <c r="BS60" s="81">
        <v>8644000</v>
      </c>
      <c r="BT60" s="82">
        <v>7472000</v>
      </c>
      <c r="BU60" s="81">
        <v>8424000</v>
      </c>
      <c r="BV60" s="82">
        <v>7252000</v>
      </c>
      <c r="BW60" s="81">
        <v>8257000</v>
      </c>
      <c r="BX60" s="82">
        <v>7085000</v>
      </c>
      <c r="BY60" s="81">
        <v>8257000</v>
      </c>
      <c r="BZ60" s="82">
        <v>7085000</v>
      </c>
      <c r="CA60" s="81">
        <v>8424000</v>
      </c>
      <c r="CB60" s="82">
        <v>7252000</v>
      </c>
      <c r="CC60" s="81">
        <v>9469000</v>
      </c>
      <c r="CD60" s="82">
        <v>8297000</v>
      </c>
    </row>
    <row r="61" spans="1:82" ht="18" x14ac:dyDescent="0.25">
      <c r="A61" s="92"/>
      <c r="B61" s="93" t="s">
        <v>91</v>
      </c>
      <c r="C61" s="86"/>
      <c r="D61" s="87"/>
      <c r="E61" s="86"/>
      <c r="F61" s="87"/>
      <c r="G61" s="86"/>
      <c r="H61" s="87"/>
      <c r="I61" s="86"/>
      <c r="J61" s="87"/>
      <c r="K61" s="86"/>
      <c r="L61" s="87"/>
      <c r="M61" s="88"/>
      <c r="N61" s="87"/>
      <c r="O61" s="88"/>
      <c r="P61" s="87"/>
      <c r="Q61" s="88"/>
      <c r="R61" s="87"/>
      <c r="S61" s="88"/>
      <c r="T61" s="87"/>
      <c r="U61" s="88"/>
      <c r="V61" s="87"/>
      <c r="W61" s="88"/>
      <c r="X61" s="87"/>
      <c r="Y61" s="88"/>
      <c r="Z61" s="87"/>
      <c r="AA61" s="88"/>
      <c r="AB61" s="87"/>
      <c r="AC61" s="88"/>
      <c r="AD61" s="87"/>
      <c r="AE61" s="88"/>
      <c r="AF61" s="87"/>
      <c r="AG61" s="88"/>
      <c r="AH61" s="87"/>
      <c r="AI61" s="88"/>
      <c r="AJ61" s="87"/>
      <c r="AK61" s="88"/>
      <c r="AL61" s="87"/>
      <c r="AM61" s="88"/>
      <c r="AN61" s="87"/>
      <c r="AO61" s="88"/>
      <c r="AP61" s="87"/>
      <c r="AQ61" s="88"/>
      <c r="AR61" s="87"/>
      <c r="AS61" s="88"/>
      <c r="AT61" s="87"/>
      <c r="AU61" s="88"/>
      <c r="AV61" s="87"/>
      <c r="AW61" s="88"/>
      <c r="AX61" s="87"/>
      <c r="AY61" s="88"/>
      <c r="AZ61" s="87"/>
      <c r="BA61" s="88"/>
      <c r="BB61" s="87"/>
      <c r="BC61" s="88"/>
      <c r="BD61" s="87"/>
      <c r="BE61" s="88"/>
      <c r="BF61" s="87"/>
      <c r="BG61" s="88"/>
      <c r="BH61" s="87"/>
      <c r="BI61" s="88"/>
      <c r="BJ61" s="87"/>
      <c r="BK61" s="88"/>
      <c r="BL61" s="87"/>
      <c r="BM61" s="88"/>
      <c r="BN61" s="87"/>
      <c r="BO61" s="88"/>
      <c r="BP61" s="87"/>
      <c r="BQ61" s="88"/>
      <c r="BR61" s="87"/>
      <c r="BS61" s="88"/>
      <c r="BT61" s="87"/>
      <c r="BU61" s="88"/>
      <c r="BV61" s="87"/>
      <c r="BW61" s="88"/>
      <c r="BX61" s="87"/>
      <c r="BY61" s="88"/>
      <c r="BZ61" s="87"/>
      <c r="CA61" s="88"/>
      <c r="CB61" s="87"/>
      <c r="CC61" s="88"/>
      <c r="CD61" s="87"/>
    </row>
    <row r="62" spans="1:82" x14ac:dyDescent="0.25">
      <c r="A62" s="79">
        <v>1</v>
      </c>
      <c r="B62" s="80" t="s">
        <v>451</v>
      </c>
      <c r="C62" s="81">
        <v>1141000</v>
      </c>
      <c r="D62" s="82">
        <v>865000</v>
      </c>
      <c r="E62" s="81">
        <v>671000</v>
      </c>
      <c r="F62" s="82">
        <v>509000</v>
      </c>
      <c r="G62" s="94"/>
      <c r="H62" s="60"/>
      <c r="I62" s="81">
        <v>1184000</v>
      </c>
      <c r="J62" s="82">
        <v>898000</v>
      </c>
      <c r="K62" s="94"/>
      <c r="L62" s="60"/>
      <c r="M62" s="81">
        <v>715000</v>
      </c>
      <c r="N62" s="82">
        <v>573000</v>
      </c>
      <c r="O62" s="94"/>
      <c r="P62" s="60"/>
      <c r="Q62" s="81">
        <v>227000</v>
      </c>
      <c r="R62" s="82">
        <v>175000</v>
      </c>
      <c r="S62" s="81">
        <v>140000</v>
      </c>
      <c r="T62" s="82">
        <v>109000</v>
      </c>
      <c r="U62" s="81">
        <v>339000</v>
      </c>
      <c r="V62" s="82">
        <v>263000</v>
      </c>
      <c r="W62" s="81">
        <v>385000</v>
      </c>
      <c r="X62" s="82">
        <v>298000</v>
      </c>
      <c r="Y62" s="81">
        <v>404000</v>
      </c>
      <c r="Z62" s="82">
        <v>315000</v>
      </c>
      <c r="AA62" s="81">
        <v>485000</v>
      </c>
      <c r="AB62" s="82">
        <v>378000</v>
      </c>
      <c r="AC62" s="81">
        <v>485000</v>
      </c>
      <c r="AD62" s="82">
        <v>378000</v>
      </c>
      <c r="AE62" s="81">
        <v>380000</v>
      </c>
      <c r="AF62" s="82">
        <v>294000</v>
      </c>
      <c r="AG62" s="81">
        <v>529000</v>
      </c>
      <c r="AH62" s="82">
        <v>408000</v>
      </c>
      <c r="AI62" s="81">
        <v>240000</v>
      </c>
      <c r="AJ62" s="82">
        <v>187000</v>
      </c>
      <c r="AK62" s="81">
        <v>477000</v>
      </c>
      <c r="AL62" s="82">
        <v>369000</v>
      </c>
      <c r="AM62" s="81">
        <v>536000</v>
      </c>
      <c r="AN62" s="82">
        <v>414000</v>
      </c>
      <c r="AO62" s="81">
        <v>477000</v>
      </c>
      <c r="AP62" s="82">
        <v>369000</v>
      </c>
      <c r="AQ62" s="81">
        <v>496000</v>
      </c>
      <c r="AR62" s="82">
        <v>382000</v>
      </c>
      <c r="AS62" s="81">
        <v>481000</v>
      </c>
      <c r="AT62" s="82">
        <v>371000</v>
      </c>
      <c r="AU62" s="81">
        <v>515000</v>
      </c>
      <c r="AV62" s="82">
        <v>397000</v>
      </c>
      <c r="AW62" s="81">
        <v>289000</v>
      </c>
      <c r="AX62" s="82">
        <v>222000</v>
      </c>
      <c r="AY62" s="81">
        <v>289000</v>
      </c>
      <c r="AZ62" s="82">
        <v>222000</v>
      </c>
      <c r="BA62" s="81">
        <v>289000</v>
      </c>
      <c r="BB62" s="82">
        <v>222000</v>
      </c>
      <c r="BC62" s="81">
        <v>289000</v>
      </c>
      <c r="BD62" s="82">
        <v>222000</v>
      </c>
      <c r="BE62" s="81">
        <v>285000</v>
      </c>
      <c r="BF62" s="82">
        <v>219000</v>
      </c>
      <c r="BG62" s="81">
        <v>311000</v>
      </c>
      <c r="BH62" s="82">
        <v>238000</v>
      </c>
      <c r="BI62" s="81">
        <v>311000</v>
      </c>
      <c r="BJ62" s="82">
        <v>238000</v>
      </c>
      <c r="BK62" s="81">
        <v>305000</v>
      </c>
      <c r="BL62" s="82">
        <v>234000</v>
      </c>
      <c r="BM62" s="81">
        <v>289000</v>
      </c>
      <c r="BN62" s="82">
        <v>222000</v>
      </c>
      <c r="BO62" s="81">
        <v>284000</v>
      </c>
      <c r="BP62" s="82">
        <v>218000</v>
      </c>
      <c r="BQ62" s="81">
        <v>284000</v>
      </c>
      <c r="BR62" s="82">
        <v>218000</v>
      </c>
      <c r="BS62" s="81">
        <v>284000</v>
      </c>
      <c r="BT62" s="82">
        <v>218000</v>
      </c>
      <c r="BU62" s="81">
        <v>283000</v>
      </c>
      <c r="BV62" s="82">
        <v>224000</v>
      </c>
      <c r="BW62" s="81">
        <v>257000</v>
      </c>
      <c r="BX62" s="82">
        <v>204000</v>
      </c>
      <c r="BY62" s="81">
        <v>257000</v>
      </c>
      <c r="BZ62" s="82">
        <v>204000</v>
      </c>
      <c r="CA62" s="81">
        <v>283000</v>
      </c>
      <c r="CB62" s="82">
        <v>224000</v>
      </c>
      <c r="CC62" s="81">
        <v>436000</v>
      </c>
      <c r="CD62" s="82">
        <v>338000</v>
      </c>
    </row>
    <row r="63" spans="1:82" x14ac:dyDescent="0.25">
      <c r="A63" s="83">
        <v>2</v>
      </c>
      <c r="B63" s="84" t="s">
        <v>452</v>
      </c>
      <c r="C63" s="81">
        <v>1521000</v>
      </c>
      <c r="D63" s="82">
        <v>1153000</v>
      </c>
      <c r="E63" s="81">
        <v>894000</v>
      </c>
      <c r="F63" s="82">
        <v>678000</v>
      </c>
      <c r="G63" s="94"/>
      <c r="H63" s="60"/>
      <c r="I63" s="81">
        <v>1579000</v>
      </c>
      <c r="J63" s="82">
        <v>1197000</v>
      </c>
      <c r="K63" s="94"/>
      <c r="L63" s="60"/>
      <c r="M63" s="81">
        <v>840000</v>
      </c>
      <c r="N63" s="82">
        <v>676000</v>
      </c>
      <c r="O63" s="94"/>
      <c r="P63" s="60"/>
      <c r="Q63" s="81">
        <v>297000</v>
      </c>
      <c r="R63" s="82">
        <v>228000</v>
      </c>
      <c r="S63" s="81">
        <v>181000</v>
      </c>
      <c r="T63" s="82">
        <v>141000</v>
      </c>
      <c r="U63" s="81">
        <v>439000</v>
      </c>
      <c r="V63" s="82">
        <v>340000</v>
      </c>
      <c r="W63" s="81">
        <v>497000</v>
      </c>
      <c r="X63" s="82">
        <v>386000</v>
      </c>
      <c r="Y63" s="81">
        <v>518000</v>
      </c>
      <c r="Z63" s="82">
        <v>404000</v>
      </c>
      <c r="AA63" s="81">
        <v>621000</v>
      </c>
      <c r="AB63" s="82">
        <v>485000</v>
      </c>
      <c r="AC63" s="81">
        <v>621000</v>
      </c>
      <c r="AD63" s="82">
        <v>485000</v>
      </c>
      <c r="AE63" s="81">
        <v>492000</v>
      </c>
      <c r="AF63" s="82">
        <v>381000</v>
      </c>
      <c r="AG63" s="81">
        <v>690000</v>
      </c>
      <c r="AH63" s="82">
        <v>532000</v>
      </c>
      <c r="AI63" s="81">
        <v>307000</v>
      </c>
      <c r="AJ63" s="82">
        <v>240000</v>
      </c>
      <c r="AK63" s="81">
        <v>619000</v>
      </c>
      <c r="AL63" s="82">
        <v>479000</v>
      </c>
      <c r="AM63" s="81">
        <v>698000</v>
      </c>
      <c r="AN63" s="82">
        <v>539000</v>
      </c>
      <c r="AO63" s="81">
        <v>619000</v>
      </c>
      <c r="AP63" s="82">
        <v>479000</v>
      </c>
      <c r="AQ63" s="81">
        <v>645000</v>
      </c>
      <c r="AR63" s="82">
        <v>498000</v>
      </c>
      <c r="AS63" s="81">
        <v>625000</v>
      </c>
      <c r="AT63" s="82">
        <v>483000</v>
      </c>
      <c r="AU63" s="81">
        <v>671000</v>
      </c>
      <c r="AV63" s="82">
        <v>517000</v>
      </c>
      <c r="AW63" s="81">
        <v>379000</v>
      </c>
      <c r="AX63" s="82">
        <v>291000</v>
      </c>
      <c r="AY63" s="81">
        <v>379000</v>
      </c>
      <c r="AZ63" s="82">
        <v>291000</v>
      </c>
      <c r="BA63" s="81">
        <v>379000</v>
      </c>
      <c r="BB63" s="82">
        <v>291000</v>
      </c>
      <c r="BC63" s="81">
        <v>379000</v>
      </c>
      <c r="BD63" s="82">
        <v>291000</v>
      </c>
      <c r="BE63" s="81">
        <v>374000</v>
      </c>
      <c r="BF63" s="82">
        <v>287000</v>
      </c>
      <c r="BG63" s="81">
        <v>408000</v>
      </c>
      <c r="BH63" s="82">
        <v>313000</v>
      </c>
      <c r="BI63" s="81">
        <v>408000</v>
      </c>
      <c r="BJ63" s="82">
        <v>313000</v>
      </c>
      <c r="BK63" s="81">
        <v>401000</v>
      </c>
      <c r="BL63" s="82">
        <v>307000</v>
      </c>
      <c r="BM63" s="81">
        <v>379000</v>
      </c>
      <c r="BN63" s="82">
        <v>291000</v>
      </c>
      <c r="BO63" s="81">
        <v>372000</v>
      </c>
      <c r="BP63" s="82">
        <v>285000</v>
      </c>
      <c r="BQ63" s="81">
        <v>372000</v>
      </c>
      <c r="BR63" s="82">
        <v>285000</v>
      </c>
      <c r="BS63" s="81">
        <v>372000</v>
      </c>
      <c r="BT63" s="82">
        <v>285000</v>
      </c>
      <c r="BU63" s="81">
        <v>354000</v>
      </c>
      <c r="BV63" s="82">
        <v>281000</v>
      </c>
      <c r="BW63" s="81">
        <v>320000</v>
      </c>
      <c r="BX63" s="82">
        <v>255000</v>
      </c>
      <c r="BY63" s="81">
        <v>320000</v>
      </c>
      <c r="BZ63" s="82">
        <v>255000</v>
      </c>
      <c r="CA63" s="81">
        <v>354000</v>
      </c>
      <c r="CB63" s="82">
        <v>281000</v>
      </c>
      <c r="CC63" s="81">
        <v>563000</v>
      </c>
      <c r="CD63" s="82">
        <v>437000</v>
      </c>
    </row>
    <row r="64" spans="1:82" x14ac:dyDescent="0.25">
      <c r="A64" s="83">
        <v>3</v>
      </c>
      <c r="B64" s="84" t="s">
        <v>453</v>
      </c>
      <c r="C64" s="81">
        <v>1901000</v>
      </c>
      <c r="D64" s="82">
        <v>1441000</v>
      </c>
      <c r="E64" s="81">
        <v>1118000</v>
      </c>
      <c r="F64" s="82">
        <v>847000</v>
      </c>
      <c r="G64" s="94"/>
      <c r="H64" s="60"/>
      <c r="I64" s="81">
        <v>1973000</v>
      </c>
      <c r="J64" s="82">
        <v>1496000</v>
      </c>
      <c r="K64" s="94"/>
      <c r="L64" s="60"/>
      <c r="M64" s="81">
        <v>965000</v>
      </c>
      <c r="N64" s="82">
        <v>778000</v>
      </c>
      <c r="O64" s="94"/>
      <c r="P64" s="60"/>
      <c r="Q64" s="81">
        <v>366000</v>
      </c>
      <c r="R64" s="82">
        <v>282000</v>
      </c>
      <c r="S64" s="81">
        <v>222000</v>
      </c>
      <c r="T64" s="82">
        <v>172000</v>
      </c>
      <c r="U64" s="81">
        <v>539000</v>
      </c>
      <c r="V64" s="82">
        <v>418000</v>
      </c>
      <c r="W64" s="81">
        <v>609000</v>
      </c>
      <c r="X64" s="82">
        <v>473000</v>
      </c>
      <c r="Y64" s="81">
        <v>631000</v>
      </c>
      <c r="Z64" s="82">
        <v>493000</v>
      </c>
      <c r="AA64" s="81">
        <v>758000</v>
      </c>
      <c r="AB64" s="82">
        <v>592000</v>
      </c>
      <c r="AC64" s="81">
        <v>758000</v>
      </c>
      <c r="AD64" s="82">
        <v>592000</v>
      </c>
      <c r="AE64" s="81">
        <v>605000</v>
      </c>
      <c r="AF64" s="82">
        <v>468000</v>
      </c>
      <c r="AG64" s="81">
        <v>851000</v>
      </c>
      <c r="AH64" s="82">
        <v>656000</v>
      </c>
      <c r="AI64" s="81">
        <v>374000</v>
      </c>
      <c r="AJ64" s="82">
        <v>293000</v>
      </c>
      <c r="AK64" s="81">
        <v>761000</v>
      </c>
      <c r="AL64" s="82">
        <v>589000</v>
      </c>
      <c r="AM64" s="81">
        <v>860000</v>
      </c>
      <c r="AN64" s="82">
        <v>664000</v>
      </c>
      <c r="AO64" s="81">
        <v>761000</v>
      </c>
      <c r="AP64" s="82">
        <v>589000</v>
      </c>
      <c r="AQ64" s="81">
        <v>795000</v>
      </c>
      <c r="AR64" s="82">
        <v>614000</v>
      </c>
      <c r="AS64" s="81">
        <v>770000</v>
      </c>
      <c r="AT64" s="82">
        <v>595000</v>
      </c>
      <c r="AU64" s="81">
        <v>827000</v>
      </c>
      <c r="AV64" s="82">
        <v>637000</v>
      </c>
      <c r="AW64" s="81">
        <v>469000</v>
      </c>
      <c r="AX64" s="82">
        <v>360000</v>
      </c>
      <c r="AY64" s="81">
        <v>469000</v>
      </c>
      <c r="AZ64" s="82">
        <v>360000</v>
      </c>
      <c r="BA64" s="81">
        <v>469000</v>
      </c>
      <c r="BB64" s="82">
        <v>360000</v>
      </c>
      <c r="BC64" s="81">
        <v>469000</v>
      </c>
      <c r="BD64" s="82">
        <v>360000</v>
      </c>
      <c r="BE64" s="81">
        <v>462000</v>
      </c>
      <c r="BF64" s="82">
        <v>355000</v>
      </c>
      <c r="BG64" s="81">
        <v>505000</v>
      </c>
      <c r="BH64" s="82">
        <v>387000</v>
      </c>
      <c r="BI64" s="81">
        <v>505000</v>
      </c>
      <c r="BJ64" s="82">
        <v>387000</v>
      </c>
      <c r="BK64" s="81">
        <v>496000</v>
      </c>
      <c r="BL64" s="82">
        <v>380000</v>
      </c>
      <c r="BM64" s="81">
        <v>469000</v>
      </c>
      <c r="BN64" s="82">
        <v>360000</v>
      </c>
      <c r="BO64" s="81">
        <v>460000</v>
      </c>
      <c r="BP64" s="82">
        <v>353000</v>
      </c>
      <c r="BQ64" s="81">
        <v>460000</v>
      </c>
      <c r="BR64" s="82">
        <v>353000</v>
      </c>
      <c r="BS64" s="81">
        <v>460000</v>
      </c>
      <c r="BT64" s="82">
        <v>353000</v>
      </c>
      <c r="BU64" s="81">
        <v>426000</v>
      </c>
      <c r="BV64" s="82">
        <v>339000</v>
      </c>
      <c r="BW64" s="81">
        <v>383000</v>
      </c>
      <c r="BX64" s="82">
        <v>306000</v>
      </c>
      <c r="BY64" s="81">
        <v>383000</v>
      </c>
      <c r="BZ64" s="82">
        <v>306000</v>
      </c>
      <c r="CA64" s="81">
        <v>426000</v>
      </c>
      <c r="CB64" s="82">
        <v>339000</v>
      </c>
      <c r="CC64" s="81">
        <v>690000</v>
      </c>
      <c r="CD64" s="82">
        <v>536000</v>
      </c>
    </row>
    <row r="65" spans="1:82" x14ac:dyDescent="0.25">
      <c r="A65" s="83">
        <v>4</v>
      </c>
      <c r="B65" s="84" t="s">
        <v>454</v>
      </c>
      <c r="C65" s="81">
        <v>2535000</v>
      </c>
      <c r="D65" s="82">
        <v>1922000</v>
      </c>
      <c r="E65" s="81">
        <v>1490000</v>
      </c>
      <c r="F65" s="82">
        <v>1130000</v>
      </c>
      <c r="G65" s="94"/>
      <c r="H65" s="60"/>
      <c r="I65" s="81">
        <v>2631000</v>
      </c>
      <c r="J65" s="82">
        <v>1994000</v>
      </c>
      <c r="K65" s="94"/>
      <c r="L65" s="60"/>
      <c r="M65" s="81">
        <v>1173000</v>
      </c>
      <c r="N65" s="82">
        <v>949000</v>
      </c>
      <c r="O65" s="94"/>
      <c r="P65" s="60"/>
      <c r="Q65" s="81">
        <v>483000</v>
      </c>
      <c r="R65" s="82">
        <v>371000</v>
      </c>
      <c r="S65" s="81">
        <v>290000</v>
      </c>
      <c r="T65" s="82">
        <v>225000</v>
      </c>
      <c r="U65" s="81">
        <v>706000</v>
      </c>
      <c r="V65" s="82">
        <v>547000</v>
      </c>
      <c r="W65" s="81">
        <v>795000</v>
      </c>
      <c r="X65" s="82">
        <v>618000</v>
      </c>
      <c r="Y65" s="81">
        <v>821000</v>
      </c>
      <c r="Z65" s="82">
        <v>642000</v>
      </c>
      <c r="AA65" s="81">
        <v>985000</v>
      </c>
      <c r="AB65" s="82">
        <v>770000</v>
      </c>
      <c r="AC65" s="81">
        <v>985000</v>
      </c>
      <c r="AD65" s="82">
        <v>770000</v>
      </c>
      <c r="AE65" s="81">
        <v>793000</v>
      </c>
      <c r="AF65" s="82">
        <v>614000</v>
      </c>
      <c r="AG65" s="81">
        <v>1120000</v>
      </c>
      <c r="AH65" s="82">
        <v>863000</v>
      </c>
      <c r="AI65" s="81">
        <v>487000</v>
      </c>
      <c r="AJ65" s="82">
        <v>381000</v>
      </c>
      <c r="AK65" s="81">
        <v>998000</v>
      </c>
      <c r="AL65" s="82">
        <v>772000</v>
      </c>
      <c r="AM65" s="81">
        <v>1130000</v>
      </c>
      <c r="AN65" s="82">
        <v>873000</v>
      </c>
      <c r="AO65" s="81">
        <v>998000</v>
      </c>
      <c r="AP65" s="82">
        <v>772000</v>
      </c>
      <c r="AQ65" s="81">
        <v>1045000</v>
      </c>
      <c r="AR65" s="82">
        <v>806000</v>
      </c>
      <c r="AS65" s="81">
        <v>1011000</v>
      </c>
      <c r="AT65" s="82">
        <v>781000</v>
      </c>
      <c r="AU65" s="81">
        <v>1087000</v>
      </c>
      <c r="AV65" s="82">
        <v>838000</v>
      </c>
      <c r="AW65" s="81">
        <v>619000</v>
      </c>
      <c r="AX65" s="82">
        <v>475000</v>
      </c>
      <c r="AY65" s="81">
        <v>619000</v>
      </c>
      <c r="AZ65" s="82">
        <v>475000</v>
      </c>
      <c r="BA65" s="81">
        <v>619000</v>
      </c>
      <c r="BB65" s="82">
        <v>475000</v>
      </c>
      <c r="BC65" s="81">
        <v>619000</v>
      </c>
      <c r="BD65" s="82">
        <v>475000</v>
      </c>
      <c r="BE65" s="81">
        <v>610000</v>
      </c>
      <c r="BF65" s="82">
        <v>468000</v>
      </c>
      <c r="BG65" s="81">
        <v>667000</v>
      </c>
      <c r="BH65" s="82">
        <v>511000</v>
      </c>
      <c r="BI65" s="81">
        <v>667000</v>
      </c>
      <c r="BJ65" s="82">
        <v>511000</v>
      </c>
      <c r="BK65" s="81">
        <v>655000</v>
      </c>
      <c r="BL65" s="82">
        <v>502000</v>
      </c>
      <c r="BM65" s="81">
        <v>619000</v>
      </c>
      <c r="BN65" s="82">
        <v>475000</v>
      </c>
      <c r="BO65" s="81">
        <v>607000</v>
      </c>
      <c r="BP65" s="82">
        <v>466000</v>
      </c>
      <c r="BQ65" s="81">
        <v>607000</v>
      </c>
      <c r="BR65" s="82">
        <v>466000</v>
      </c>
      <c r="BS65" s="81">
        <v>607000</v>
      </c>
      <c r="BT65" s="82">
        <v>466000</v>
      </c>
      <c r="BU65" s="81">
        <v>545000</v>
      </c>
      <c r="BV65" s="82">
        <v>434000</v>
      </c>
      <c r="BW65" s="81">
        <v>488000</v>
      </c>
      <c r="BX65" s="82">
        <v>391000</v>
      </c>
      <c r="BY65" s="81">
        <v>488000</v>
      </c>
      <c r="BZ65" s="82">
        <v>391000</v>
      </c>
      <c r="CA65" s="81">
        <v>545000</v>
      </c>
      <c r="CB65" s="82">
        <v>434000</v>
      </c>
      <c r="CC65" s="81">
        <v>901000</v>
      </c>
      <c r="CD65" s="82">
        <v>700000</v>
      </c>
    </row>
    <row r="66" spans="1:82" x14ac:dyDescent="0.25">
      <c r="A66" s="83">
        <v>5</v>
      </c>
      <c r="B66" s="84" t="s">
        <v>455</v>
      </c>
      <c r="C66" s="81">
        <v>3168000</v>
      </c>
      <c r="D66" s="82">
        <v>2402000</v>
      </c>
      <c r="E66" s="81">
        <v>1862000</v>
      </c>
      <c r="F66" s="82">
        <v>1412000</v>
      </c>
      <c r="G66" s="94"/>
      <c r="H66" s="60"/>
      <c r="I66" s="81">
        <v>3288000</v>
      </c>
      <c r="J66" s="82">
        <v>2493000</v>
      </c>
      <c r="K66" s="94"/>
      <c r="L66" s="60"/>
      <c r="M66" s="81">
        <v>1381000</v>
      </c>
      <c r="N66" s="82">
        <v>1120000</v>
      </c>
      <c r="O66" s="94"/>
      <c r="P66" s="60"/>
      <c r="Q66" s="81">
        <v>599000</v>
      </c>
      <c r="R66" s="82">
        <v>461000</v>
      </c>
      <c r="S66" s="81">
        <v>358000</v>
      </c>
      <c r="T66" s="82">
        <v>278000</v>
      </c>
      <c r="U66" s="81">
        <v>873000</v>
      </c>
      <c r="V66" s="82">
        <v>677000</v>
      </c>
      <c r="W66" s="81">
        <v>982000</v>
      </c>
      <c r="X66" s="82">
        <v>763000</v>
      </c>
      <c r="Y66" s="81">
        <v>1011000</v>
      </c>
      <c r="Z66" s="82">
        <v>790000</v>
      </c>
      <c r="AA66" s="81">
        <v>1213000</v>
      </c>
      <c r="AB66" s="82">
        <v>949000</v>
      </c>
      <c r="AC66" s="81">
        <v>1213000</v>
      </c>
      <c r="AD66" s="82">
        <v>949000</v>
      </c>
      <c r="AE66" s="81">
        <v>980000</v>
      </c>
      <c r="AF66" s="82">
        <v>759000</v>
      </c>
      <c r="AG66" s="81">
        <v>1389000</v>
      </c>
      <c r="AH66" s="82">
        <v>1070000</v>
      </c>
      <c r="AI66" s="81">
        <v>599000</v>
      </c>
      <c r="AJ66" s="82">
        <v>469000</v>
      </c>
      <c r="AK66" s="81">
        <v>1235000</v>
      </c>
      <c r="AL66" s="82">
        <v>956000</v>
      </c>
      <c r="AM66" s="81">
        <v>1400000</v>
      </c>
      <c r="AN66" s="82">
        <v>1081000</v>
      </c>
      <c r="AO66" s="81">
        <v>1235000</v>
      </c>
      <c r="AP66" s="82">
        <v>956000</v>
      </c>
      <c r="AQ66" s="81">
        <v>1294000</v>
      </c>
      <c r="AR66" s="82">
        <v>999000</v>
      </c>
      <c r="AS66" s="81">
        <v>1252000</v>
      </c>
      <c r="AT66" s="82">
        <v>967000</v>
      </c>
      <c r="AU66" s="81">
        <v>1347000</v>
      </c>
      <c r="AV66" s="82">
        <v>1039000</v>
      </c>
      <c r="AW66" s="81">
        <v>769000</v>
      </c>
      <c r="AX66" s="82">
        <v>590000</v>
      </c>
      <c r="AY66" s="81">
        <v>769000</v>
      </c>
      <c r="AZ66" s="82">
        <v>590000</v>
      </c>
      <c r="BA66" s="81">
        <v>769000</v>
      </c>
      <c r="BB66" s="82">
        <v>590000</v>
      </c>
      <c r="BC66" s="81">
        <v>769000</v>
      </c>
      <c r="BD66" s="82">
        <v>590000</v>
      </c>
      <c r="BE66" s="81">
        <v>757000</v>
      </c>
      <c r="BF66" s="82">
        <v>582000</v>
      </c>
      <c r="BG66" s="81">
        <v>829000</v>
      </c>
      <c r="BH66" s="82">
        <v>636000</v>
      </c>
      <c r="BI66" s="81">
        <v>829000</v>
      </c>
      <c r="BJ66" s="82">
        <v>636000</v>
      </c>
      <c r="BK66" s="81">
        <v>814000</v>
      </c>
      <c r="BL66" s="82">
        <v>624000</v>
      </c>
      <c r="BM66" s="81">
        <v>769000</v>
      </c>
      <c r="BN66" s="82">
        <v>590000</v>
      </c>
      <c r="BO66" s="81">
        <v>754000</v>
      </c>
      <c r="BP66" s="82">
        <v>579000</v>
      </c>
      <c r="BQ66" s="81">
        <v>754000</v>
      </c>
      <c r="BR66" s="82">
        <v>579000</v>
      </c>
      <c r="BS66" s="81">
        <v>754000</v>
      </c>
      <c r="BT66" s="82">
        <v>579000</v>
      </c>
      <c r="BU66" s="81">
        <v>665000</v>
      </c>
      <c r="BV66" s="82">
        <v>530000</v>
      </c>
      <c r="BW66" s="81">
        <v>592000</v>
      </c>
      <c r="BX66" s="82">
        <v>476000</v>
      </c>
      <c r="BY66" s="81">
        <v>592000</v>
      </c>
      <c r="BZ66" s="82">
        <v>476000</v>
      </c>
      <c r="CA66" s="81">
        <v>665000</v>
      </c>
      <c r="CB66" s="82">
        <v>530000</v>
      </c>
      <c r="CC66" s="81">
        <v>1113000</v>
      </c>
      <c r="CD66" s="82">
        <v>865000</v>
      </c>
    </row>
    <row r="67" spans="1:82" x14ac:dyDescent="0.25">
      <c r="A67" s="83">
        <v>6</v>
      </c>
      <c r="B67" s="84" t="s">
        <v>456</v>
      </c>
      <c r="C67" s="81">
        <v>3802000</v>
      </c>
      <c r="D67" s="82">
        <v>2882000</v>
      </c>
      <c r="E67" s="81">
        <v>2235000</v>
      </c>
      <c r="F67" s="82">
        <v>1694000</v>
      </c>
      <c r="G67" s="94"/>
      <c r="H67" s="60"/>
      <c r="I67" s="81">
        <v>3946000</v>
      </c>
      <c r="J67" s="82">
        <v>2991000</v>
      </c>
      <c r="K67" s="94"/>
      <c r="L67" s="60"/>
      <c r="M67" s="81">
        <v>1589000</v>
      </c>
      <c r="N67" s="82">
        <v>1291000</v>
      </c>
      <c r="O67" s="94"/>
      <c r="P67" s="60"/>
      <c r="Q67" s="81">
        <v>715000</v>
      </c>
      <c r="R67" s="82">
        <v>550000</v>
      </c>
      <c r="S67" s="81">
        <v>426000</v>
      </c>
      <c r="T67" s="82">
        <v>331000</v>
      </c>
      <c r="U67" s="81">
        <v>1040000</v>
      </c>
      <c r="V67" s="82">
        <v>806000</v>
      </c>
      <c r="W67" s="81">
        <v>1169000</v>
      </c>
      <c r="X67" s="82">
        <v>909000</v>
      </c>
      <c r="Y67" s="81">
        <v>1200000</v>
      </c>
      <c r="Z67" s="82">
        <v>939000</v>
      </c>
      <c r="AA67" s="81">
        <v>1440000</v>
      </c>
      <c r="AB67" s="82">
        <v>1127000</v>
      </c>
      <c r="AC67" s="81">
        <v>1440000</v>
      </c>
      <c r="AD67" s="82">
        <v>1127000</v>
      </c>
      <c r="AE67" s="81">
        <v>1168000</v>
      </c>
      <c r="AF67" s="82">
        <v>905000</v>
      </c>
      <c r="AG67" s="81">
        <v>1657000</v>
      </c>
      <c r="AH67" s="82">
        <v>1278000</v>
      </c>
      <c r="AI67" s="81">
        <v>711000</v>
      </c>
      <c r="AJ67" s="82">
        <v>557000</v>
      </c>
      <c r="AK67" s="81">
        <v>1472000</v>
      </c>
      <c r="AL67" s="82">
        <v>1139000</v>
      </c>
      <c r="AM67" s="81">
        <v>1670000</v>
      </c>
      <c r="AN67" s="82">
        <v>1290000</v>
      </c>
      <c r="AO67" s="81">
        <v>1472000</v>
      </c>
      <c r="AP67" s="82">
        <v>1139000</v>
      </c>
      <c r="AQ67" s="81">
        <v>1544000</v>
      </c>
      <c r="AR67" s="82">
        <v>1192000</v>
      </c>
      <c r="AS67" s="81">
        <v>1493000</v>
      </c>
      <c r="AT67" s="82">
        <v>1154000</v>
      </c>
      <c r="AU67" s="81">
        <v>1607000</v>
      </c>
      <c r="AV67" s="82">
        <v>1240000</v>
      </c>
      <c r="AW67" s="81">
        <v>919000</v>
      </c>
      <c r="AX67" s="82">
        <v>705000</v>
      </c>
      <c r="AY67" s="81">
        <v>919000</v>
      </c>
      <c r="AZ67" s="82">
        <v>705000</v>
      </c>
      <c r="BA67" s="81">
        <v>919000</v>
      </c>
      <c r="BB67" s="82">
        <v>705000</v>
      </c>
      <c r="BC67" s="81">
        <v>919000</v>
      </c>
      <c r="BD67" s="82">
        <v>705000</v>
      </c>
      <c r="BE67" s="81">
        <v>905000</v>
      </c>
      <c r="BF67" s="82">
        <v>695000</v>
      </c>
      <c r="BG67" s="81">
        <v>991000</v>
      </c>
      <c r="BH67" s="82">
        <v>760000</v>
      </c>
      <c r="BI67" s="81">
        <v>991000</v>
      </c>
      <c r="BJ67" s="82">
        <v>760000</v>
      </c>
      <c r="BK67" s="81">
        <v>973000</v>
      </c>
      <c r="BL67" s="82">
        <v>746000</v>
      </c>
      <c r="BM67" s="81">
        <v>919000</v>
      </c>
      <c r="BN67" s="82">
        <v>705000</v>
      </c>
      <c r="BO67" s="81">
        <v>901000</v>
      </c>
      <c r="BP67" s="82">
        <v>692000</v>
      </c>
      <c r="BQ67" s="81">
        <v>901000</v>
      </c>
      <c r="BR67" s="82">
        <v>692000</v>
      </c>
      <c r="BS67" s="81">
        <v>901000</v>
      </c>
      <c r="BT67" s="82">
        <v>692000</v>
      </c>
      <c r="BU67" s="81">
        <v>784000</v>
      </c>
      <c r="BV67" s="82">
        <v>626000</v>
      </c>
      <c r="BW67" s="81">
        <v>697000</v>
      </c>
      <c r="BX67" s="82">
        <v>560000</v>
      </c>
      <c r="BY67" s="81">
        <v>697000</v>
      </c>
      <c r="BZ67" s="82">
        <v>560000</v>
      </c>
      <c r="CA67" s="81">
        <v>784000</v>
      </c>
      <c r="CB67" s="82">
        <v>626000</v>
      </c>
      <c r="CC67" s="81">
        <v>1325000</v>
      </c>
      <c r="CD67" s="82">
        <v>1030000</v>
      </c>
    </row>
    <row r="68" spans="1:82" ht="18" x14ac:dyDescent="0.25">
      <c r="A68" s="92"/>
      <c r="B68" s="93" t="s">
        <v>457</v>
      </c>
      <c r="C68" s="86"/>
      <c r="D68" s="87"/>
      <c r="E68" s="86"/>
      <c r="F68" s="87"/>
      <c r="G68" s="86"/>
      <c r="H68" s="87"/>
      <c r="I68" s="86"/>
      <c r="J68" s="87"/>
      <c r="K68" s="86"/>
      <c r="L68" s="87"/>
      <c r="M68" s="88"/>
      <c r="N68" s="87"/>
      <c r="O68" s="88"/>
      <c r="P68" s="87"/>
      <c r="Q68" s="88"/>
      <c r="R68" s="87"/>
      <c r="S68" s="88"/>
      <c r="T68" s="87"/>
      <c r="U68" s="88"/>
      <c r="V68" s="87"/>
      <c r="W68" s="88"/>
      <c r="X68" s="87"/>
      <c r="Y68" s="88"/>
      <c r="Z68" s="87"/>
      <c r="AA68" s="88"/>
      <c r="AB68" s="87"/>
      <c r="AC68" s="88"/>
      <c r="AD68" s="87"/>
      <c r="AE68" s="88"/>
      <c r="AF68" s="87"/>
      <c r="AG68" s="88"/>
      <c r="AH68" s="87"/>
      <c r="AI68" s="88"/>
      <c r="AJ68" s="87"/>
      <c r="AK68" s="88"/>
      <c r="AL68" s="87"/>
      <c r="AM68" s="88"/>
      <c r="AN68" s="87"/>
      <c r="AO68" s="88"/>
      <c r="AP68" s="87"/>
      <c r="AQ68" s="88"/>
      <c r="AR68" s="87"/>
      <c r="AS68" s="88"/>
      <c r="AT68" s="87"/>
      <c r="AU68" s="88"/>
      <c r="AV68" s="87"/>
      <c r="AW68" s="88"/>
      <c r="AX68" s="87"/>
      <c r="AY68" s="88"/>
      <c r="AZ68" s="87"/>
      <c r="BA68" s="88"/>
      <c r="BB68" s="87"/>
      <c r="BC68" s="88"/>
      <c r="BD68" s="87"/>
      <c r="BE68" s="88"/>
      <c r="BF68" s="87"/>
      <c r="BG68" s="88"/>
      <c r="BH68" s="87"/>
      <c r="BI68" s="88"/>
      <c r="BJ68" s="87"/>
      <c r="BK68" s="88"/>
      <c r="BL68" s="87"/>
      <c r="BM68" s="88"/>
      <c r="BN68" s="87"/>
      <c r="BO68" s="88"/>
      <c r="BP68" s="87"/>
      <c r="BQ68" s="88"/>
      <c r="BR68" s="87"/>
      <c r="BS68" s="88"/>
      <c r="BT68" s="87"/>
      <c r="BU68" s="88"/>
      <c r="BV68" s="87"/>
      <c r="BW68" s="88"/>
      <c r="BX68" s="87"/>
      <c r="BY68" s="88"/>
      <c r="BZ68" s="87"/>
      <c r="CA68" s="88"/>
      <c r="CB68" s="87"/>
      <c r="CC68" s="88"/>
      <c r="CD68" s="87"/>
    </row>
    <row r="69" spans="1:82" x14ac:dyDescent="0.25">
      <c r="A69" s="79">
        <v>1</v>
      </c>
      <c r="B69" s="80" t="s">
        <v>458</v>
      </c>
      <c r="C69" s="81">
        <v>184000</v>
      </c>
      <c r="D69" s="60"/>
      <c r="E69" s="81">
        <v>109000</v>
      </c>
      <c r="F69" s="60"/>
      <c r="G69" s="94"/>
      <c r="H69" s="60"/>
      <c r="I69" s="81">
        <v>191000</v>
      </c>
      <c r="J69" s="60"/>
      <c r="K69" s="94"/>
      <c r="L69" s="60"/>
      <c r="M69" s="81">
        <v>222000</v>
      </c>
      <c r="N69" s="60"/>
      <c r="O69" s="94"/>
      <c r="P69" s="60"/>
      <c r="Q69" s="81">
        <v>45000</v>
      </c>
      <c r="R69" s="60"/>
      <c r="S69" s="81">
        <v>31000</v>
      </c>
      <c r="T69" s="60"/>
      <c r="U69" s="81">
        <v>74000</v>
      </c>
      <c r="V69" s="60"/>
      <c r="W69" s="81">
        <v>86000</v>
      </c>
      <c r="X69" s="60"/>
      <c r="Y69" s="81">
        <v>96000</v>
      </c>
      <c r="Z69" s="60"/>
      <c r="AA69" s="81">
        <v>115000</v>
      </c>
      <c r="AB69" s="60"/>
      <c r="AC69" s="81">
        <v>115000</v>
      </c>
      <c r="AD69" s="60"/>
      <c r="AE69" s="81">
        <v>82000</v>
      </c>
      <c r="AF69" s="60"/>
      <c r="AG69" s="81">
        <v>108000</v>
      </c>
      <c r="AH69" s="60"/>
      <c r="AI69" s="81">
        <v>57000</v>
      </c>
      <c r="AJ69" s="60"/>
      <c r="AK69" s="81">
        <v>102000</v>
      </c>
      <c r="AL69" s="60"/>
      <c r="AM69" s="81">
        <v>111000</v>
      </c>
      <c r="AN69" s="60"/>
      <c r="AO69" s="81">
        <v>102000</v>
      </c>
      <c r="AP69" s="60"/>
      <c r="AQ69" s="81">
        <v>103000</v>
      </c>
      <c r="AR69" s="60"/>
      <c r="AS69" s="81">
        <v>100000</v>
      </c>
      <c r="AT69" s="60"/>
      <c r="AU69" s="81">
        <v>106000</v>
      </c>
      <c r="AV69" s="60"/>
      <c r="AW69" s="81">
        <v>56000</v>
      </c>
      <c r="AX69" s="60"/>
      <c r="AY69" s="81">
        <v>56000</v>
      </c>
      <c r="AZ69" s="60"/>
      <c r="BA69" s="81">
        <v>56000</v>
      </c>
      <c r="BB69" s="60"/>
      <c r="BC69" s="81">
        <v>56000</v>
      </c>
      <c r="BD69" s="60"/>
      <c r="BE69" s="81">
        <v>56000</v>
      </c>
      <c r="BF69" s="60"/>
      <c r="BG69" s="81">
        <v>60000</v>
      </c>
      <c r="BH69" s="60"/>
      <c r="BI69" s="81">
        <v>60000</v>
      </c>
      <c r="BJ69" s="60"/>
      <c r="BK69" s="81">
        <v>59000</v>
      </c>
      <c r="BL69" s="60"/>
      <c r="BM69" s="81">
        <v>56000</v>
      </c>
      <c r="BN69" s="60"/>
      <c r="BO69" s="81">
        <v>55000</v>
      </c>
      <c r="BP69" s="60"/>
      <c r="BQ69" s="81">
        <v>55000</v>
      </c>
      <c r="BR69" s="60"/>
      <c r="BS69" s="81">
        <v>55000</v>
      </c>
      <c r="BT69" s="60"/>
      <c r="BU69" s="81">
        <v>79000</v>
      </c>
      <c r="BV69" s="60"/>
      <c r="BW69" s="81">
        <v>75000</v>
      </c>
      <c r="BX69" s="60"/>
      <c r="BY69" s="81">
        <v>75000</v>
      </c>
      <c r="BZ69" s="60"/>
      <c r="CA69" s="81">
        <v>79000</v>
      </c>
      <c r="CB69" s="60"/>
      <c r="CC69" s="81">
        <v>97000</v>
      </c>
      <c r="CD69" s="60"/>
    </row>
    <row r="70" spans="1:82" x14ac:dyDescent="0.25">
      <c r="A70" s="83">
        <v>2</v>
      </c>
      <c r="B70" s="84" t="s">
        <v>459</v>
      </c>
      <c r="C70" s="81">
        <v>246000</v>
      </c>
      <c r="D70" s="60"/>
      <c r="E70" s="81">
        <v>145000</v>
      </c>
      <c r="F70" s="60"/>
      <c r="G70" s="94"/>
      <c r="H70" s="60"/>
      <c r="I70" s="81">
        <v>255000</v>
      </c>
      <c r="J70" s="60"/>
      <c r="K70" s="94"/>
      <c r="L70" s="60"/>
      <c r="M70" s="81">
        <v>270000</v>
      </c>
      <c r="N70" s="60"/>
      <c r="O70" s="94"/>
      <c r="P70" s="60"/>
      <c r="Q70" s="81">
        <v>59000</v>
      </c>
      <c r="R70" s="60"/>
      <c r="S70" s="81">
        <v>41000</v>
      </c>
      <c r="T70" s="60"/>
      <c r="U70" s="81">
        <v>96000</v>
      </c>
      <c r="V70" s="60"/>
      <c r="W70" s="81">
        <v>112000</v>
      </c>
      <c r="X70" s="60"/>
      <c r="Y70" s="81">
        <v>124000</v>
      </c>
      <c r="Z70" s="60"/>
      <c r="AA70" s="81">
        <v>149000</v>
      </c>
      <c r="AB70" s="60"/>
      <c r="AC70" s="81">
        <v>149000</v>
      </c>
      <c r="AD70" s="60"/>
      <c r="AE70" s="81">
        <v>107000</v>
      </c>
      <c r="AF70" s="60"/>
      <c r="AG70" s="81">
        <v>141000</v>
      </c>
      <c r="AH70" s="60"/>
      <c r="AI70" s="81">
        <v>74000</v>
      </c>
      <c r="AJ70" s="60"/>
      <c r="AK70" s="81">
        <v>133000</v>
      </c>
      <c r="AL70" s="60"/>
      <c r="AM70" s="81">
        <v>145000</v>
      </c>
      <c r="AN70" s="60"/>
      <c r="AO70" s="81">
        <v>133000</v>
      </c>
      <c r="AP70" s="60"/>
      <c r="AQ70" s="81">
        <v>134000</v>
      </c>
      <c r="AR70" s="60"/>
      <c r="AS70" s="81">
        <v>131000</v>
      </c>
      <c r="AT70" s="60"/>
      <c r="AU70" s="81">
        <v>138000</v>
      </c>
      <c r="AV70" s="60"/>
      <c r="AW70" s="81">
        <v>74000</v>
      </c>
      <c r="AX70" s="60"/>
      <c r="AY70" s="81">
        <v>74000</v>
      </c>
      <c r="AZ70" s="60"/>
      <c r="BA70" s="81">
        <v>74000</v>
      </c>
      <c r="BB70" s="60"/>
      <c r="BC70" s="81">
        <v>74000</v>
      </c>
      <c r="BD70" s="60"/>
      <c r="BE70" s="81">
        <v>73000</v>
      </c>
      <c r="BF70" s="60"/>
      <c r="BG70" s="81">
        <v>78000</v>
      </c>
      <c r="BH70" s="60"/>
      <c r="BI70" s="81">
        <v>78000</v>
      </c>
      <c r="BJ70" s="60"/>
      <c r="BK70" s="81">
        <v>77000</v>
      </c>
      <c r="BL70" s="60"/>
      <c r="BM70" s="81">
        <v>74000</v>
      </c>
      <c r="BN70" s="60"/>
      <c r="BO70" s="81">
        <v>73000</v>
      </c>
      <c r="BP70" s="60"/>
      <c r="BQ70" s="81">
        <v>73000</v>
      </c>
      <c r="BR70" s="60"/>
      <c r="BS70" s="81">
        <v>73000</v>
      </c>
      <c r="BT70" s="60"/>
      <c r="BU70" s="81">
        <v>101000</v>
      </c>
      <c r="BV70" s="60"/>
      <c r="BW70" s="81">
        <v>96000</v>
      </c>
      <c r="BX70" s="60"/>
      <c r="BY70" s="81">
        <v>96000</v>
      </c>
      <c r="BZ70" s="60"/>
      <c r="CA70" s="81">
        <v>101000</v>
      </c>
      <c r="CB70" s="60"/>
      <c r="CC70" s="81">
        <v>127000</v>
      </c>
      <c r="CD70" s="60"/>
    </row>
    <row r="71" spans="1:82" x14ac:dyDescent="0.25">
      <c r="A71" s="83">
        <v>3</v>
      </c>
      <c r="B71" s="84" t="s">
        <v>460</v>
      </c>
      <c r="C71" s="81">
        <v>307000</v>
      </c>
      <c r="D71" s="60"/>
      <c r="E71" s="81">
        <v>181000</v>
      </c>
      <c r="F71" s="60"/>
      <c r="G71" s="94"/>
      <c r="H71" s="60"/>
      <c r="I71" s="81">
        <v>319000</v>
      </c>
      <c r="J71" s="60"/>
      <c r="K71" s="94"/>
      <c r="L71" s="60"/>
      <c r="M71" s="81">
        <v>317000</v>
      </c>
      <c r="N71" s="60"/>
      <c r="O71" s="94"/>
      <c r="P71" s="60"/>
      <c r="Q71" s="81">
        <v>73000</v>
      </c>
      <c r="R71" s="60"/>
      <c r="S71" s="81">
        <v>50000</v>
      </c>
      <c r="T71" s="60"/>
      <c r="U71" s="81">
        <v>119000</v>
      </c>
      <c r="V71" s="60"/>
      <c r="W71" s="81">
        <v>138000</v>
      </c>
      <c r="X71" s="60"/>
      <c r="Y71" s="81">
        <v>153000</v>
      </c>
      <c r="Z71" s="60"/>
      <c r="AA71" s="81">
        <v>183000</v>
      </c>
      <c r="AB71" s="60"/>
      <c r="AC71" s="81">
        <v>183000</v>
      </c>
      <c r="AD71" s="60"/>
      <c r="AE71" s="81">
        <v>132000</v>
      </c>
      <c r="AF71" s="60"/>
      <c r="AG71" s="81">
        <v>174000</v>
      </c>
      <c r="AH71" s="60"/>
      <c r="AI71" s="81">
        <v>91000</v>
      </c>
      <c r="AJ71" s="60"/>
      <c r="AK71" s="81">
        <v>164000</v>
      </c>
      <c r="AL71" s="60"/>
      <c r="AM71" s="81">
        <v>180000</v>
      </c>
      <c r="AN71" s="60"/>
      <c r="AO71" s="81">
        <v>164000</v>
      </c>
      <c r="AP71" s="60"/>
      <c r="AQ71" s="81">
        <v>166000</v>
      </c>
      <c r="AR71" s="60"/>
      <c r="AS71" s="81">
        <v>162000</v>
      </c>
      <c r="AT71" s="60"/>
      <c r="AU71" s="81">
        <v>171000</v>
      </c>
      <c r="AV71" s="60"/>
      <c r="AW71" s="81">
        <v>91000</v>
      </c>
      <c r="AX71" s="60"/>
      <c r="AY71" s="81">
        <v>91000</v>
      </c>
      <c r="AZ71" s="60"/>
      <c r="BA71" s="81">
        <v>91000</v>
      </c>
      <c r="BB71" s="60"/>
      <c r="BC71" s="81">
        <v>91000</v>
      </c>
      <c r="BD71" s="60"/>
      <c r="BE71" s="81">
        <v>90000</v>
      </c>
      <c r="BF71" s="60"/>
      <c r="BG71" s="81">
        <v>97000</v>
      </c>
      <c r="BH71" s="60"/>
      <c r="BI71" s="81">
        <v>97000</v>
      </c>
      <c r="BJ71" s="60"/>
      <c r="BK71" s="81">
        <v>96000</v>
      </c>
      <c r="BL71" s="60"/>
      <c r="BM71" s="81">
        <v>91000</v>
      </c>
      <c r="BN71" s="60"/>
      <c r="BO71" s="81">
        <v>90000</v>
      </c>
      <c r="BP71" s="60"/>
      <c r="BQ71" s="81">
        <v>90000</v>
      </c>
      <c r="BR71" s="60"/>
      <c r="BS71" s="81">
        <v>90000</v>
      </c>
      <c r="BT71" s="60"/>
      <c r="BU71" s="81">
        <v>124000</v>
      </c>
      <c r="BV71" s="60"/>
      <c r="BW71" s="81">
        <v>117000</v>
      </c>
      <c r="BX71" s="60"/>
      <c r="BY71" s="81">
        <v>117000</v>
      </c>
      <c r="BZ71" s="60"/>
      <c r="CA71" s="81">
        <v>124000</v>
      </c>
      <c r="CB71" s="60"/>
      <c r="CC71" s="81">
        <v>156000</v>
      </c>
      <c r="CD71" s="60"/>
    </row>
    <row r="72" spans="1:82" x14ac:dyDescent="0.25">
      <c r="A72" s="83">
        <v>4</v>
      </c>
      <c r="B72" s="84" t="s">
        <v>461</v>
      </c>
      <c r="C72" s="81">
        <v>409000</v>
      </c>
      <c r="D72" s="60"/>
      <c r="E72" s="81">
        <v>241000</v>
      </c>
      <c r="F72" s="60"/>
      <c r="G72" s="94"/>
      <c r="H72" s="60"/>
      <c r="I72" s="81">
        <v>425000</v>
      </c>
      <c r="J72" s="60"/>
      <c r="K72" s="94"/>
      <c r="L72" s="60"/>
      <c r="M72" s="81">
        <v>397000</v>
      </c>
      <c r="N72" s="60"/>
      <c r="O72" s="94"/>
      <c r="P72" s="60"/>
      <c r="Q72" s="81">
        <v>97000</v>
      </c>
      <c r="R72" s="60"/>
      <c r="S72" s="81">
        <v>66000</v>
      </c>
      <c r="T72" s="60"/>
      <c r="U72" s="81">
        <v>156000</v>
      </c>
      <c r="V72" s="60"/>
      <c r="W72" s="81">
        <v>181000</v>
      </c>
      <c r="X72" s="60"/>
      <c r="Y72" s="81">
        <v>200000</v>
      </c>
      <c r="Z72" s="60"/>
      <c r="AA72" s="81">
        <v>240000</v>
      </c>
      <c r="AB72" s="60"/>
      <c r="AC72" s="81">
        <v>240000</v>
      </c>
      <c r="AD72" s="60"/>
      <c r="AE72" s="81">
        <v>173000</v>
      </c>
      <c r="AF72" s="60"/>
      <c r="AG72" s="81">
        <v>230000</v>
      </c>
      <c r="AH72" s="60"/>
      <c r="AI72" s="81">
        <v>120000</v>
      </c>
      <c r="AJ72" s="60"/>
      <c r="AK72" s="81">
        <v>215000</v>
      </c>
      <c r="AL72" s="60"/>
      <c r="AM72" s="81">
        <v>237000</v>
      </c>
      <c r="AN72" s="60"/>
      <c r="AO72" s="81">
        <v>215000</v>
      </c>
      <c r="AP72" s="60"/>
      <c r="AQ72" s="81">
        <v>219000</v>
      </c>
      <c r="AR72" s="60"/>
      <c r="AS72" s="81">
        <v>213000</v>
      </c>
      <c r="AT72" s="60"/>
      <c r="AU72" s="81">
        <v>225000</v>
      </c>
      <c r="AV72" s="60"/>
      <c r="AW72" s="81">
        <v>120000</v>
      </c>
      <c r="AX72" s="60"/>
      <c r="AY72" s="81">
        <v>120000</v>
      </c>
      <c r="AZ72" s="60"/>
      <c r="BA72" s="81">
        <v>120000</v>
      </c>
      <c r="BB72" s="60"/>
      <c r="BC72" s="81">
        <v>120000</v>
      </c>
      <c r="BD72" s="60"/>
      <c r="BE72" s="81">
        <v>119000</v>
      </c>
      <c r="BF72" s="60"/>
      <c r="BG72" s="81">
        <v>128000</v>
      </c>
      <c r="BH72" s="60"/>
      <c r="BI72" s="81">
        <v>128000</v>
      </c>
      <c r="BJ72" s="60"/>
      <c r="BK72" s="81">
        <v>126000</v>
      </c>
      <c r="BL72" s="60"/>
      <c r="BM72" s="81">
        <v>120000</v>
      </c>
      <c r="BN72" s="60"/>
      <c r="BO72" s="81">
        <v>119000</v>
      </c>
      <c r="BP72" s="60"/>
      <c r="BQ72" s="81">
        <v>119000</v>
      </c>
      <c r="BR72" s="60"/>
      <c r="BS72" s="81">
        <v>119000</v>
      </c>
      <c r="BT72" s="60"/>
      <c r="BU72" s="81">
        <v>161000</v>
      </c>
      <c r="BV72" s="60"/>
      <c r="BW72" s="81">
        <v>152000</v>
      </c>
      <c r="BX72" s="60"/>
      <c r="BY72" s="81">
        <v>152000</v>
      </c>
      <c r="BZ72" s="60"/>
      <c r="CA72" s="81">
        <v>161000</v>
      </c>
      <c r="CB72" s="60"/>
      <c r="CC72" s="81">
        <v>205000</v>
      </c>
      <c r="CD72" s="60"/>
    </row>
    <row r="73" spans="1:82" x14ac:dyDescent="0.25">
      <c r="A73" s="83">
        <v>5</v>
      </c>
      <c r="B73" s="84" t="s">
        <v>462</v>
      </c>
      <c r="C73" s="81">
        <v>511000</v>
      </c>
      <c r="D73" s="60"/>
      <c r="E73" s="81">
        <v>301000</v>
      </c>
      <c r="F73" s="60"/>
      <c r="G73" s="94"/>
      <c r="H73" s="60"/>
      <c r="I73" s="81">
        <v>531000</v>
      </c>
      <c r="J73" s="60"/>
      <c r="K73" s="94"/>
      <c r="L73" s="60"/>
      <c r="M73" s="81">
        <v>477000</v>
      </c>
      <c r="N73" s="60"/>
      <c r="O73" s="94"/>
      <c r="P73" s="60"/>
      <c r="Q73" s="81">
        <v>120000</v>
      </c>
      <c r="R73" s="60"/>
      <c r="S73" s="81">
        <v>81000</v>
      </c>
      <c r="T73" s="60"/>
      <c r="U73" s="81">
        <v>193000</v>
      </c>
      <c r="V73" s="60"/>
      <c r="W73" s="81">
        <v>224000</v>
      </c>
      <c r="X73" s="60"/>
      <c r="Y73" s="81">
        <v>248000</v>
      </c>
      <c r="Z73" s="60"/>
      <c r="AA73" s="81">
        <v>297000</v>
      </c>
      <c r="AB73" s="60"/>
      <c r="AC73" s="81">
        <v>297000</v>
      </c>
      <c r="AD73" s="60"/>
      <c r="AE73" s="81">
        <v>215000</v>
      </c>
      <c r="AF73" s="60"/>
      <c r="AG73" s="81">
        <v>285000</v>
      </c>
      <c r="AH73" s="60"/>
      <c r="AI73" s="81">
        <v>148000</v>
      </c>
      <c r="AJ73" s="60"/>
      <c r="AK73" s="81">
        <v>267000</v>
      </c>
      <c r="AL73" s="60"/>
      <c r="AM73" s="81">
        <v>294000</v>
      </c>
      <c r="AN73" s="60"/>
      <c r="AO73" s="81">
        <v>267000</v>
      </c>
      <c r="AP73" s="60"/>
      <c r="AQ73" s="81">
        <v>271000</v>
      </c>
      <c r="AR73" s="60"/>
      <c r="AS73" s="81">
        <v>265000</v>
      </c>
      <c r="AT73" s="60"/>
      <c r="AU73" s="81">
        <v>280000</v>
      </c>
      <c r="AV73" s="60"/>
      <c r="AW73" s="81">
        <v>150000</v>
      </c>
      <c r="AX73" s="60"/>
      <c r="AY73" s="81">
        <v>150000</v>
      </c>
      <c r="AZ73" s="60"/>
      <c r="BA73" s="81">
        <v>150000</v>
      </c>
      <c r="BB73" s="60"/>
      <c r="BC73" s="81">
        <v>150000</v>
      </c>
      <c r="BD73" s="60"/>
      <c r="BE73" s="81">
        <v>148000</v>
      </c>
      <c r="BF73" s="60"/>
      <c r="BG73" s="81">
        <v>159000</v>
      </c>
      <c r="BH73" s="60"/>
      <c r="BI73" s="81">
        <v>159000</v>
      </c>
      <c r="BJ73" s="60"/>
      <c r="BK73" s="81">
        <v>157000</v>
      </c>
      <c r="BL73" s="60"/>
      <c r="BM73" s="81">
        <v>150000</v>
      </c>
      <c r="BN73" s="60"/>
      <c r="BO73" s="81">
        <v>147000</v>
      </c>
      <c r="BP73" s="60"/>
      <c r="BQ73" s="81">
        <v>147000</v>
      </c>
      <c r="BR73" s="60"/>
      <c r="BS73" s="81">
        <v>147000</v>
      </c>
      <c r="BT73" s="60"/>
      <c r="BU73" s="81">
        <v>199000</v>
      </c>
      <c r="BV73" s="60"/>
      <c r="BW73" s="81">
        <v>187000</v>
      </c>
      <c r="BX73" s="60"/>
      <c r="BY73" s="81">
        <v>187000</v>
      </c>
      <c r="BZ73" s="60"/>
      <c r="CA73" s="81">
        <v>199000</v>
      </c>
      <c r="CB73" s="60"/>
      <c r="CC73" s="81">
        <v>254000</v>
      </c>
      <c r="CD73" s="60"/>
    </row>
    <row r="74" spans="1:82" x14ac:dyDescent="0.25">
      <c r="A74" s="83">
        <v>6</v>
      </c>
      <c r="B74" s="84" t="s">
        <v>463</v>
      </c>
      <c r="C74" s="81">
        <v>614000</v>
      </c>
      <c r="D74" s="60"/>
      <c r="E74" s="81">
        <v>361000</v>
      </c>
      <c r="F74" s="60"/>
      <c r="G74" s="94"/>
      <c r="H74" s="60"/>
      <c r="I74" s="81">
        <v>637000</v>
      </c>
      <c r="J74" s="60"/>
      <c r="K74" s="94"/>
      <c r="L74" s="60"/>
      <c r="M74" s="81">
        <v>556000</v>
      </c>
      <c r="N74" s="60"/>
      <c r="O74" s="94"/>
      <c r="P74" s="60"/>
      <c r="Q74" s="81">
        <v>144000</v>
      </c>
      <c r="R74" s="60"/>
      <c r="S74" s="81">
        <v>97000</v>
      </c>
      <c r="T74" s="60"/>
      <c r="U74" s="81">
        <v>231000</v>
      </c>
      <c r="V74" s="60"/>
      <c r="W74" s="81">
        <v>267000</v>
      </c>
      <c r="X74" s="60"/>
      <c r="Y74" s="81">
        <v>295000</v>
      </c>
      <c r="Z74" s="60"/>
      <c r="AA74" s="81">
        <v>354000</v>
      </c>
      <c r="AB74" s="60"/>
      <c r="AC74" s="81">
        <v>354000</v>
      </c>
      <c r="AD74" s="60"/>
      <c r="AE74" s="81">
        <v>256000</v>
      </c>
      <c r="AF74" s="60"/>
      <c r="AG74" s="81">
        <v>341000</v>
      </c>
      <c r="AH74" s="60"/>
      <c r="AI74" s="81">
        <v>176000</v>
      </c>
      <c r="AJ74" s="60"/>
      <c r="AK74" s="81">
        <v>319000</v>
      </c>
      <c r="AL74" s="60"/>
      <c r="AM74" s="81">
        <v>351000</v>
      </c>
      <c r="AN74" s="60"/>
      <c r="AO74" s="81">
        <v>319000</v>
      </c>
      <c r="AP74" s="60"/>
      <c r="AQ74" s="81">
        <v>324000</v>
      </c>
      <c r="AR74" s="60"/>
      <c r="AS74" s="81">
        <v>316000</v>
      </c>
      <c r="AT74" s="60"/>
      <c r="AU74" s="81">
        <v>334000</v>
      </c>
      <c r="AV74" s="60"/>
      <c r="AW74" s="81">
        <v>179000</v>
      </c>
      <c r="AX74" s="60"/>
      <c r="AY74" s="81">
        <v>179000</v>
      </c>
      <c r="AZ74" s="60"/>
      <c r="BA74" s="81">
        <v>179000</v>
      </c>
      <c r="BB74" s="60"/>
      <c r="BC74" s="81">
        <v>179000</v>
      </c>
      <c r="BD74" s="60"/>
      <c r="BE74" s="81">
        <v>177000</v>
      </c>
      <c r="BF74" s="60"/>
      <c r="BG74" s="81">
        <v>191000</v>
      </c>
      <c r="BH74" s="60"/>
      <c r="BI74" s="81">
        <v>191000</v>
      </c>
      <c r="BJ74" s="60"/>
      <c r="BK74" s="81">
        <v>188000</v>
      </c>
      <c r="BL74" s="60"/>
      <c r="BM74" s="81">
        <v>179000</v>
      </c>
      <c r="BN74" s="60"/>
      <c r="BO74" s="81">
        <v>176000</v>
      </c>
      <c r="BP74" s="60"/>
      <c r="BQ74" s="81">
        <v>176000</v>
      </c>
      <c r="BR74" s="60"/>
      <c r="BS74" s="81">
        <v>176000</v>
      </c>
      <c r="BT74" s="60"/>
      <c r="BU74" s="81">
        <v>236000</v>
      </c>
      <c r="BV74" s="60"/>
      <c r="BW74" s="81">
        <v>222000</v>
      </c>
      <c r="BX74" s="60"/>
      <c r="BY74" s="81">
        <v>222000</v>
      </c>
      <c r="BZ74" s="60"/>
      <c r="CA74" s="81">
        <v>236000</v>
      </c>
      <c r="CB74" s="60"/>
      <c r="CC74" s="81">
        <v>303000</v>
      </c>
      <c r="CD74" s="60"/>
    </row>
  </sheetData>
  <mergeCells count="126">
    <mergeCell ref="M3:N3"/>
    <mergeCell ref="O3:P3"/>
    <mergeCell ref="A1:B1"/>
    <mergeCell ref="A2:B2"/>
    <mergeCell ref="C2:T2"/>
    <mergeCell ref="A3:B3"/>
    <mergeCell ref="C3:D3"/>
    <mergeCell ref="E3:F3"/>
    <mergeCell ref="G3:H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U3:BV3"/>
    <mergeCell ref="BW3:BX3"/>
    <mergeCell ref="BY3:BZ3"/>
    <mergeCell ref="CA3:CB3"/>
    <mergeCell ref="CC3:CD3"/>
    <mergeCell ref="BG3:BH3"/>
    <mergeCell ref="BI3:BJ3"/>
    <mergeCell ref="BK3:BL3"/>
    <mergeCell ref="BM3:BN3"/>
    <mergeCell ref="BO3:BP3"/>
    <mergeCell ref="BQ3:BR3"/>
    <mergeCell ref="BS3:BT3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W4:BW5"/>
    <mergeCell ref="BX4:BX5"/>
    <mergeCell ref="BY4:BY5"/>
    <mergeCell ref="BZ4:BZ5"/>
    <mergeCell ref="CA4:CA5"/>
    <mergeCell ref="CB4:CB5"/>
    <mergeCell ref="CC4:CC5"/>
    <mergeCell ref="CD4:CD5"/>
    <mergeCell ref="BP4:BP5"/>
    <mergeCell ref="BQ4:BQ5"/>
    <mergeCell ref="BR4:BR5"/>
    <mergeCell ref="BS4:BS5"/>
    <mergeCell ref="BT4:BT5"/>
    <mergeCell ref="BU4:BU5"/>
    <mergeCell ref="BV4:BV5"/>
    <mergeCell ref="F4:F5"/>
    <mergeCell ref="G4:G5"/>
    <mergeCell ref="H4:H5"/>
    <mergeCell ref="I4:I5"/>
    <mergeCell ref="J4:J5"/>
    <mergeCell ref="K4:K5"/>
    <mergeCell ref="I3:J3"/>
    <mergeCell ref="K3:L3"/>
    <mergeCell ref="A4:A5"/>
    <mergeCell ref="B4:B5"/>
    <mergeCell ref="C4:C5"/>
    <mergeCell ref="D4:D5"/>
    <mergeCell ref="E4:E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AE4:AE5"/>
    <mergeCell ref="AF4:AF5"/>
    <mergeCell ref="V4:V5"/>
    <mergeCell ref="W4:W5"/>
    <mergeCell ref="X4:X5"/>
    <mergeCell ref="Y4:Y5"/>
    <mergeCell ref="Z4:Z5"/>
    <mergeCell ref="AA4:AA5"/>
    <mergeCell ref="AB4:AB5"/>
    <mergeCell ref="AC4:AC5"/>
    <mergeCell ref="AD4:AD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7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G7" sqref="AG7"/>
    </sheetView>
  </sheetViews>
  <sheetFormatPr defaultColWidth="12.5703125" defaultRowHeight="15.75" customHeight="1" x14ac:dyDescent="0.2"/>
  <cols>
    <col min="1" max="1" width="6.85546875" customWidth="1"/>
    <col min="2" max="2" width="46.7109375" customWidth="1"/>
    <col min="3" max="3" width="7.85546875" customWidth="1"/>
    <col min="32" max="32" width="8.5703125" customWidth="1"/>
    <col min="61" max="61" width="8.28515625" customWidth="1"/>
    <col min="90" max="90" width="7.85546875" customWidth="1"/>
  </cols>
  <sheetData>
    <row r="1" spans="1:118" ht="15.75" customHeight="1" x14ac:dyDescent="0.4">
      <c r="A1" s="273" t="s">
        <v>409</v>
      </c>
      <c r="B1" s="271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3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3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</row>
    <row r="2" spans="1:118" ht="15.75" customHeight="1" x14ac:dyDescent="0.35">
      <c r="A2" s="306" t="s">
        <v>464</v>
      </c>
      <c r="B2" s="271"/>
      <c r="C2" s="310" t="s">
        <v>242</v>
      </c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1"/>
      <c r="AC2" s="311"/>
      <c r="AD2" s="311"/>
      <c r="AE2" s="305"/>
      <c r="AF2" s="312" t="s">
        <v>243</v>
      </c>
      <c r="AG2" s="311"/>
      <c r="AH2" s="311"/>
      <c r="AI2" s="311"/>
      <c r="AJ2" s="311"/>
      <c r="AK2" s="311"/>
      <c r="AL2" s="311"/>
      <c r="AM2" s="311"/>
      <c r="AN2" s="311"/>
      <c r="AO2" s="311"/>
      <c r="AP2" s="311"/>
      <c r="AQ2" s="311"/>
      <c r="AR2" s="311"/>
      <c r="AS2" s="311"/>
      <c r="AT2" s="311"/>
      <c r="AU2" s="311"/>
      <c r="AV2" s="311"/>
      <c r="AW2" s="311"/>
      <c r="AX2" s="311"/>
      <c r="AY2" s="311"/>
      <c r="AZ2" s="311"/>
      <c r="BA2" s="311"/>
      <c r="BB2" s="311"/>
      <c r="BC2" s="311"/>
      <c r="BD2" s="311"/>
      <c r="BE2" s="311"/>
      <c r="BF2" s="311"/>
      <c r="BG2" s="311"/>
      <c r="BH2" s="305"/>
      <c r="BI2" s="313" t="s">
        <v>244</v>
      </c>
      <c r="BJ2" s="311"/>
      <c r="BK2" s="311"/>
      <c r="BL2" s="311"/>
      <c r="BM2" s="311"/>
      <c r="BN2" s="311"/>
      <c r="BO2" s="311"/>
      <c r="BP2" s="311"/>
      <c r="BQ2" s="311"/>
      <c r="BR2" s="311"/>
      <c r="BS2" s="311"/>
      <c r="BT2" s="311"/>
      <c r="BU2" s="311"/>
      <c r="BV2" s="311"/>
      <c r="BW2" s="311"/>
      <c r="BX2" s="311"/>
      <c r="BY2" s="311"/>
      <c r="BZ2" s="311"/>
      <c r="CA2" s="311"/>
      <c r="CB2" s="311"/>
      <c r="CC2" s="311"/>
      <c r="CD2" s="311"/>
      <c r="CE2" s="311"/>
      <c r="CF2" s="311"/>
      <c r="CG2" s="311"/>
      <c r="CH2" s="311"/>
      <c r="CI2" s="311"/>
      <c r="CJ2" s="311"/>
      <c r="CK2" s="305"/>
      <c r="CL2" s="314" t="s">
        <v>245</v>
      </c>
      <c r="CM2" s="311"/>
      <c r="CN2" s="311"/>
      <c r="CO2" s="311"/>
      <c r="CP2" s="311"/>
      <c r="CQ2" s="311"/>
      <c r="CR2" s="311"/>
      <c r="CS2" s="311"/>
      <c r="CT2" s="311"/>
      <c r="CU2" s="311"/>
      <c r="CV2" s="311"/>
      <c r="CW2" s="311"/>
      <c r="CX2" s="311"/>
      <c r="CY2" s="311"/>
      <c r="CZ2" s="311"/>
      <c r="DA2" s="311"/>
      <c r="DB2" s="311"/>
      <c r="DC2" s="311"/>
      <c r="DD2" s="311"/>
      <c r="DE2" s="311"/>
      <c r="DF2" s="311"/>
      <c r="DG2" s="311"/>
      <c r="DH2" s="311"/>
      <c r="DI2" s="311"/>
      <c r="DJ2" s="311"/>
      <c r="DK2" s="311"/>
      <c r="DL2" s="311"/>
      <c r="DM2" s="311"/>
      <c r="DN2" s="305"/>
    </row>
    <row r="3" spans="1:118" ht="15.75" customHeight="1" x14ac:dyDescent="0.25">
      <c r="A3" s="307" t="s">
        <v>411</v>
      </c>
      <c r="B3" s="271"/>
      <c r="C3" s="95" t="s">
        <v>465</v>
      </c>
      <c r="D3" s="308" t="s">
        <v>247</v>
      </c>
      <c r="E3" s="305"/>
      <c r="F3" s="308" t="s">
        <v>248</v>
      </c>
      <c r="G3" s="305"/>
      <c r="H3" s="308" t="s">
        <v>249</v>
      </c>
      <c r="I3" s="305"/>
      <c r="J3" s="308" t="s">
        <v>250</v>
      </c>
      <c r="K3" s="305"/>
      <c r="L3" s="308" t="s">
        <v>251</v>
      </c>
      <c r="M3" s="305"/>
      <c r="N3" s="308" t="s">
        <v>252</v>
      </c>
      <c r="O3" s="305"/>
      <c r="P3" s="308" t="s">
        <v>253</v>
      </c>
      <c r="Q3" s="305"/>
      <c r="R3" s="308" t="s">
        <v>254</v>
      </c>
      <c r="S3" s="305"/>
      <c r="T3" s="308" t="s">
        <v>255</v>
      </c>
      <c r="U3" s="305"/>
      <c r="V3" s="308" t="s">
        <v>256</v>
      </c>
      <c r="W3" s="305"/>
      <c r="X3" s="308" t="s">
        <v>257</v>
      </c>
      <c r="Y3" s="305"/>
      <c r="Z3" s="308" t="s">
        <v>258</v>
      </c>
      <c r="AA3" s="305"/>
      <c r="AB3" s="308" t="s">
        <v>259</v>
      </c>
      <c r="AC3" s="305"/>
      <c r="AD3" s="308" t="s">
        <v>260</v>
      </c>
      <c r="AE3" s="305"/>
      <c r="AF3" s="96" t="s">
        <v>466</v>
      </c>
      <c r="AG3" s="316" t="s">
        <v>247</v>
      </c>
      <c r="AH3" s="305"/>
      <c r="AI3" s="316" t="s">
        <v>248</v>
      </c>
      <c r="AJ3" s="305"/>
      <c r="AK3" s="316" t="s">
        <v>249</v>
      </c>
      <c r="AL3" s="305"/>
      <c r="AM3" s="316" t="s">
        <v>250</v>
      </c>
      <c r="AN3" s="305"/>
      <c r="AO3" s="316" t="s">
        <v>251</v>
      </c>
      <c r="AP3" s="305"/>
      <c r="AQ3" s="316" t="s">
        <v>252</v>
      </c>
      <c r="AR3" s="305"/>
      <c r="AS3" s="316" t="s">
        <v>253</v>
      </c>
      <c r="AT3" s="305"/>
      <c r="AU3" s="316" t="s">
        <v>254</v>
      </c>
      <c r="AV3" s="305"/>
      <c r="AW3" s="316" t="s">
        <v>255</v>
      </c>
      <c r="AX3" s="305"/>
      <c r="AY3" s="316" t="s">
        <v>256</v>
      </c>
      <c r="AZ3" s="305"/>
      <c r="BA3" s="316" t="s">
        <v>257</v>
      </c>
      <c r="BB3" s="305"/>
      <c r="BC3" s="316" t="s">
        <v>258</v>
      </c>
      <c r="BD3" s="305"/>
      <c r="BE3" s="316" t="s">
        <v>259</v>
      </c>
      <c r="BF3" s="305"/>
      <c r="BG3" s="316" t="s">
        <v>260</v>
      </c>
      <c r="BH3" s="305"/>
      <c r="BI3" s="97" t="s">
        <v>466</v>
      </c>
      <c r="BJ3" s="315" t="s">
        <v>247</v>
      </c>
      <c r="BK3" s="305"/>
      <c r="BL3" s="315" t="s">
        <v>248</v>
      </c>
      <c r="BM3" s="305"/>
      <c r="BN3" s="315" t="s">
        <v>249</v>
      </c>
      <c r="BO3" s="305"/>
      <c r="BP3" s="315" t="s">
        <v>250</v>
      </c>
      <c r="BQ3" s="305"/>
      <c r="BR3" s="315" t="s">
        <v>251</v>
      </c>
      <c r="BS3" s="305"/>
      <c r="BT3" s="315" t="s">
        <v>252</v>
      </c>
      <c r="BU3" s="305"/>
      <c r="BV3" s="315" t="s">
        <v>253</v>
      </c>
      <c r="BW3" s="305"/>
      <c r="BX3" s="315" t="s">
        <v>254</v>
      </c>
      <c r="BY3" s="305"/>
      <c r="BZ3" s="315" t="s">
        <v>255</v>
      </c>
      <c r="CA3" s="305"/>
      <c r="CB3" s="315" t="s">
        <v>256</v>
      </c>
      <c r="CC3" s="305"/>
      <c r="CD3" s="315" t="s">
        <v>257</v>
      </c>
      <c r="CE3" s="305"/>
      <c r="CF3" s="315" t="s">
        <v>258</v>
      </c>
      <c r="CG3" s="305"/>
      <c r="CH3" s="315" t="s">
        <v>259</v>
      </c>
      <c r="CI3" s="305"/>
      <c r="CJ3" s="315" t="s">
        <v>260</v>
      </c>
      <c r="CK3" s="305"/>
      <c r="CL3" s="98" t="s">
        <v>466</v>
      </c>
      <c r="CM3" s="309" t="s">
        <v>247</v>
      </c>
      <c r="CN3" s="305"/>
      <c r="CO3" s="309" t="s">
        <v>248</v>
      </c>
      <c r="CP3" s="305"/>
      <c r="CQ3" s="309" t="s">
        <v>249</v>
      </c>
      <c r="CR3" s="305"/>
      <c r="CS3" s="309" t="s">
        <v>250</v>
      </c>
      <c r="CT3" s="305"/>
      <c r="CU3" s="309" t="s">
        <v>251</v>
      </c>
      <c r="CV3" s="305"/>
      <c r="CW3" s="309" t="s">
        <v>252</v>
      </c>
      <c r="CX3" s="305"/>
      <c r="CY3" s="309" t="s">
        <v>253</v>
      </c>
      <c r="CZ3" s="305"/>
      <c r="DA3" s="309" t="s">
        <v>254</v>
      </c>
      <c r="DB3" s="305"/>
      <c r="DC3" s="309" t="s">
        <v>255</v>
      </c>
      <c r="DD3" s="305"/>
      <c r="DE3" s="309" t="s">
        <v>256</v>
      </c>
      <c r="DF3" s="305"/>
      <c r="DG3" s="309" t="s">
        <v>257</v>
      </c>
      <c r="DH3" s="305"/>
      <c r="DI3" s="309" t="s">
        <v>258</v>
      </c>
      <c r="DJ3" s="305"/>
      <c r="DK3" s="309" t="s">
        <v>259</v>
      </c>
      <c r="DL3" s="305"/>
      <c r="DM3" s="309" t="s">
        <v>260</v>
      </c>
      <c r="DN3" s="305"/>
    </row>
    <row r="4" spans="1:118" ht="12.75" x14ac:dyDescent="0.2">
      <c r="A4" s="300" t="s">
        <v>413</v>
      </c>
      <c r="B4" s="301" t="s">
        <v>266</v>
      </c>
      <c r="C4" s="300" t="s">
        <v>467</v>
      </c>
      <c r="D4" s="296" t="s">
        <v>414</v>
      </c>
      <c r="E4" s="297" t="s">
        <v>415</v>
      </c>
      <c r="F4" s="296" t="s">
        <v>414</v>
      </c>
      <c r="G4" s="297" t="s">
        <v>415</v>
      </c>
      <c r="H4" s="296" t="s">
        <v>414</v>
      </c>
      <c r="I4" s="297" t="s">
        <v>415</v>
      </c>
      <c r="J4" s="296" t="s">
        <v>414</v>
      </c>
      <c r="K4" s="297" t="s">
        <v>415</v>
      </c>
      <c r="L4" s="296" t="s">
        <v>414</v>
      </c>
      <c r="M4" s="297" t="s">
        <v>415</v>
      </c>
      <c r="N4" s="296" t="s">
        <v>414</v>
      </c>
      <c r="O4" s="297" t="s">
        <v>415</v>
      </c>
      <c r="P4" s="296" t="s">
        <v>414</v>
      </c>
      <c r="Q4" s="297" t="s">
        <v>415</v>
      </c>
      <c r="R4" s="296" t="s">
        <v>414</v>
      </c>
      <c r="S4" s="297" t="s">
        <v>415</v>
      </c>
      <c r="T4" s="296" t="s">
        <v>414</v>
      </c>
      <c r="U4" s="297" t="s">
        <v>415</v>
      </c>
      <c r="V4" s="296" t="s">
        <v>414</v>
      </c>
      <c r="W4" s="297" t="s">
        <v>415</v>
      </c>
      <c r="X4" s="296" t="s">
        <v>414</v>
      </c>
      <c r="Y4" s="297" t="s">
        <v>415</v>
      </c>
      <c r="Z4" s="296" t="s">
        <v>414</v>
      </c>
      <c r="AA4" s="297" t="s">
        <v>415</v>
      </c>
      <c r="AB4" s="296" t="s">
        <v>414</v>
      </c>
      <c r="AC4" s="297" t="s">
        <v>415</v>
      </c>
      <c r="AD4" s="296" t="s">
        <v>414</v>
      </c>
      <c r="AE4" s="297" t="s">
        <v>415</v>
      </c>
      <c r="AF4" s="300" t="s">
        <v>467</v>
      </c>
      <c r="AG4" s="296" t="s">
        <v>414</v>
      </c>
      <c r="AH4" s="297" t="s">
        <v>415</v>
      </c>
      <c r="AI4" s="296" t="s">
        <v>414</v>
      </c>
      <c r="AJ4" s="297" t="s">
        <v>415</v>
      </c>
      <c r="AK4" s="296" t="s">
        <v>414</v>
      </c>
      <c r="AL4" s="297" t="s">
        <v>415</v>
      </c>
      <c r="AM4" s="296" t="s">
        <v>414</v>
      </c>
      <c r="AN4" s="297" t="s">
        <v>415</v>
      </c>
      <c r="AO4" s="296" t="s">
        <v>414</v>
      </c>
      <c r="AP4" s="297" t="s">
        <v>415</v>
      </c>
      <c r="AQ4" s="296" t="s">
        <v>414</v>
      </c>
      <c r="AR4" s="297" t="s">
        <v>415</v>
      </c>
      <c r="AS4" s="296" t="s">
        <v>414</v>
      </c>
      <c r="AT4" s="297" t="s">
        <v>415</v>
      </c>
      <c r="AU4" s="296" t="s">
        <v>414</v>
      </c>
      <c r="AV4" s="297" t="s">
        <v>415</v>
      </c>
      <c r="AW4" s="296" t="s">
        <v>414</v>
      </c>
      <c r="AX4" s="297" t="s">
        <v>415</v>
      </c>
      <c r="AY4" s="296" t="s">
        <v>414</v>
      </c>
      <c r="AZ4" s="297" t="s">
        <v>415</v>
      </c>
      <c r="BA4" s="296" t="s">
        <v>414</v>
      </c>
      <c r="BB4" s="297" t="s">
        <v>415</v>
      </c>
      <c r="BC4" s="296" t="s">
        <v>414</v>
      </c>
      <c r="BD4" s="297" t="s">
        <v>415</v>
      </c>
      <c r="BE4" s="296" t="s">
        <v>414</v>
      </c>
      <c r="BF4" s="297" t="s">
        <v>415</v>
      </c>
      <c r="BG4" s="296" t="s">
        <v>414</v>
      </c>
      <c r="BH4" s="297" t="s">
        <v>415</v>
      </c>
      <c r="BI4" s="300" t="s">
        <v>468</v>
      </c>
      <c r="BJ4" s="296" t="s">
        <v>414</v>
      </c>
      <c r="BK4" s="297" t="s">
        <v>415</v>
      </c>
      <c r="BL4" s="296" t="s">
        <v>414</v>
      </c>
      <c r="BM4" s="297" t="s">
        <v>415</v>
      </c>
      <c r="BN4" s="296" t="s">
        <v>414</v>
      </c>
      <c r="BO4" s="297" t="s">
        <v>415</v>
      </c>
      <c r="BP4" s="296" t="s">
        <v>414</v>
      </c>
      <c r="BQ4" s="297" t="s">
        <v>415</v>
      </c>
      <c r="BR4" s="296" t="s">
        <v>414</v>
      </c>
      <c r="BS4" s="297" t="s">
        <v>415</v>
      </c>
      <c r="BT4" s="296" t="s">
        <v>414</v>
      </c>
      <c r="BU4" s="297" t="s">
        <v>415</v>
      </c>
      <c r="BV4" s="296" t="s">
        <v>414</v>
      </c>
      <c r="BW4" s="297" t="s">
        <v>415</v>
      </c>
      <c r="BX4" s="296" t="s">
        <v>414</v>
      </c>
      <c r="BY4" s="297" t="s">
        <v>415</v>
      </c>
      <c r="BZ4" s="296" t="s">
        <v>414</v>
      </c>
      <c r="CA4" s="297" t="s">
        <v>415</v>
      </c>
      <c r="CB4" s="296" t="s">
        <v>414</v>
      </c>
      <c r="CC4" s="297" t="s">
        <v>415</v>
      </c>
      <c r="CD4" s="296" t="s">
        <v>414</v>
      </c>
      <c r="CE4" s="297" t="s">
        <v>415</v>
      </c>
      <c r="CF4" s="296" t="s">
        <v>414</v>
      </c>
      <c r="CG4" s="297" t="s">
        <v>415</v>
      </c>
      <c r="CH4" s="296" t="s">
        <v>414</v>
      </c>
      <c r="CI4" s="297" t="s">
        <v>415</v>
      </c>
      <c r="CJ4" s="296" t="s">
        <v>414</v>
      </c>
      <c r="CK4" s="297" t="s">
        <v>415</v>
      </c>
      <c r="CL4" s="300" t="s">
        <v>468</v>
      </c>
      <c r="CM4" s="296" t="s">
        <v>414</v>
      </c>
      <c r="CN4" s="297" t="s">
        <v>415</v>
      </c>
      <c r="CO4" s="296" t="s">
        <v>414</v>
      </c>
      <c r="CP4" s="297" t="s">
        <v>415</v>
      </c>
      <c r="CQ4" s="296" t="s">
        <v>414</v>
      </c>
      <c r="CR4" s="297" t="s">
        <v>415</v>
      </c>
      <c r="CS4" s="296" t="s">
        <v>414</v>
      </c>
      <c r="CT4" s="297" t="s">
        <v>415</v>
      </c>
      <c r="CU4" s="296" t="s">
        <v>414</v>
      </c>
      <c r="CV4" s="297" t="s">
        <v>415</v>
      </c>
      <c r="CW4" s="296" t="s">
        <v>414</v>
      </c>
      <c r="CX4" s="297" t="s">
        <v>415</v>
      </c>
      <c r="CY4" s="296" t="s">
        <v>414</v>
      </c>
      <c r="CZ4" s="297" t="s">
        <v>415</v>
      </c>
      <c r="DA4" s="296" t="s">
        <v>414</v>
      </c>
      <c r="DB4" s="297" t="s">
        <v>415</v>
      </c>
      <c r="DC4" s="296" t="s">
        <v>414</v>
      </c>
      <c r="DD4" s="297" t="s">
        <v>415</v>
      </c>
      <c r="DE4" s="296" t="s">
        <v>414</v>
      </c>
      <c r="DF4" s="297" t="s">
        <v>415</v>
      </c>
      <c r="DG4" s="296" t="s">
        <v>414</v>
      </c>
      <c r="DH4" s="297" t="s">
        <v>415</v>
      </c>
      <c r="DI4" s="296" t="s">
        <v>414</v>
      </c>
      <c r="DJ4" s="297" t="s">
        <v>415</v>
      </c>
      <c r="DK4" s="296" t="s">
        <v>414</v>
      </c>
      <c r="DL4" s="297" t="s">
        <v>415</v>
      </c>
      <c r="DM4" s="296" t="s">
        <v>414</v>
      </c>
      <c r="DN4" s="297" t="s">
        <v>415</v>
      </c>
    </row>
    <row r="5" spans="1:118" ht="12.75" x14ac:dyDescent="0.2">
      <c r="A5" s="269"/>
      <c r="B5" s="302"/>
      <c r="C5" s="269"/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  <c r="AA5" s="277"/>
      <c r="AB5" s="277"/>
      <c r="AC5" s="277"/>
      <c r="AD5" s="277"/>
      <c r="AE5" s="277"/>
      <c r="AF5" s="269"/>
      <c r="AG5" s="277"/>
      <c r="AH5" s="277"/>
      <c r="AI5" s="277"/>
      <c r="AJ5" s="277"/>
      <c r="AK5" s="277"/>
      <c r="AL5" s="277"/>
      <c r="AM5" s="277"/>
      <c r="AN5" s="277"/>
      <c r="AO5" s="277"/>
      <c r="AP5" s="277"/>
      <c r="AQ5" s="277"/>
      <c r="AR5" s="277"/>
      <c r="AS5" s="277"/>
      <c r="AT5" s="277"/>
      <c r="AU5" s="277"/>
      <c r="AV5" s="277"/>
      <c r="AW5" s="277"/>
      <c r="AX5" s="277"/>
      <c r="AY5" s="277"/>
      <c r="AZ5" s="277"/>
      <c r="BA5" s="277"/>
      <c r="BB5" s="277"/>
      <c r="BC5" s="277"/>
      <c r="BD5" s="277"/>
      <c r="BE5" s="277"/>
      <c r="BF5" s="277"/>
      <c r="BG5" s="277"/>
      <c r="BH5" s="277"/>
      <c r="BI5" s="269"/>
      <c r="BJ5" s="277"/>
      <c r="BK5" s="277"/>
      <c r="BL5" s="277"/>
      <c r="BM5" s="277"/>
      <c r="BN5" s="277"/>
      <c r="BO5" s="277"/>
      <c r="BP5" s="277"/>
      <c r="BQ5" s="277"/>
      <c r="BR5" s="277"/>
      <c r="BS5" s="277"/>
      <c r="BT5" s="277"/>
      <c r="BU5" s="277"/>
      <c r="BV5" s="277"/>
      <c r="BW5" s="277"/>
      <c r="BX5" s="277"/>
      <c r="BY5" s="277"/>
      <c r="BZ5" s="277"/>
      <c r="CA5" s="277"/>
      <c r="CB5" s="277"/>
      <c r="CC5" s="277"/>
      <c r="CD5" s="277"/>
      <c r="CE5" s="277"/>
      <c r="CF5" s="277"/>
      <c r="CG5" s="277"/>
      <c r="CH5" s="277"/>
      <c r="CI5" s="277"/>
      <c r="CJ5" s="277"/>
      <c r="CK5" s="277"/>
      <c r="CL5" s="269"/>
      <c r="CM5" s="277"/>
      <c r="CN5" s="277"/>
      <c r="CO5" s="277"/>
      <c r="CP5" s="277"/>
      <c r="CQ5" s="277"/>
      <c r="CR5" s="277"/>
      <c r="CS5" s="277"/>
      <c r="CT5" s="277"/>
      <c r="CU5" s="277"/>
      <c r="CV5" s="277"/>
      <c r="CW5" s="277"/>
      <c r="CX5" s="277"/>
      <c r="CY5" s="277"/>
      <c r="CZ5" s="277"/>
      <c r="DA5" s="277"/>
      <c r="DB5" s="277"/>
      <c r="DC5" s="277"/>
      <c r="DD5" s="277"/>
      <c r="DE5" s="277"/>
      <c r="DF5" s="277"/>
      <c r="DG5" s="277"/>
      <c r="DH5" s="277"/>
      <c r="DI5" s="277"/>
      <c r="DJ5" s="277"/>
      <c r="DK5" s="277"/>
      <c r="DL5" s="277"/>
      <c r="DM5" s="277"/>
      <c r="DN5" s="277"/>
    </row>
    <row r="6" spans="1:118" ht="15.75" customHeight="1" x14ac:dyDescent="0.3">
      <c r="A6" s="74"/>
      <c r="B6" s="75" t="s">
        <v>416</v>
      </c>
      <c r="C6" s="99"/>
      <c r="D6" s="78"/>
      <c r="E6" s="77"/>
      <c r="F6" s="78"/>
      <c r="G6" s="77"/>
      <c r="H6" s="78"/>
      <c r="I6" s="77"/>
      <c r="J6" s="78"/>
      <c r="K6" s="77"/>
      <c r="L6" s="78"/>
      <c r="M6" s="77"/>
      <c r="N6" s="78"/>
      <c r="O6" s="77"/>
      <c r="P6" s="78"/>
      <c r="Q6" s="77"/>
      <c r="R6" s="78"/>
      <c r="S6" s="77"/>
      <c r="T6" s="78"/>
      <c r="U6" s="77"/>
      <c r="V6" s="78"/>
      <c r="W6" s="77"/>
      <c r="X6" s="78"/>
      <c r="Y6" s="77"/>
      <c r="Z6" s="78"/>
      <c r="AA6" s="77"/>
      <c r="AB6" s="78"/>
      <c r="AC6" s="77"/>
      <c r="AD6" s="78"/>
      <c r="AE6" s="77"/>
      <c r="AF6" s="99"/>
      <c r="AG6" s="78"/>
      <c r="AH6" s="77"/>
      <c r="AI6" s="78"/>
      <c r="AJ6" s="77"/>
      <c r="AK6" s="78"/>
      <c r="AL6" s="77"/>
      <c r="AM6" s="78"/>
      <c r="AN6" s="77"/>
      <c r="AO6" s="78"/>
      <c r="AP6" s="77"/>
      <c r="AQ6" s="78"/>
      <c r="AR6" s="77"/>
      <c r="AS6" s="78"/>
      <c r="AT6" s="77"/>
      <c r="AU6" s="78"/>
      <c r="AV6" s="77"/>
      <c r="AW6" s="78"/>
      <c r="AX6" s="77"/>
      <c r="AY6" s="78"/>
      <c r="AZ6" s="77"/>
      <c r="BA6" s="78"/>
      <c r="BB6" s="77"/>
      <c r="BC6" s="78"/>
      <c r="BD6" s="77"/>
      <c r="BE6" s="78"/>
      <c r="BF6" s="77"/>
      <c r="BG6" s="78"/>
      <c r="BH6" s="77"/>
      <c r="BI6" s="99"/>
      <c r="BJ6" s="78"/>
      <c r="BK6" s="77"/>
      <c r="BL6" s="78"/>
      <c r="BM6" s="77"/>
      <c r="BN6" s="78"/>
      <c r="BO6" s="77"/>
      <c r="BP6" s="78"/>
      <c r="BQ6" s="77"/>
      <c r="BR6" s="78"/>
      <c r="BS6" s="77"/>
      <c r="BT6" s="78"/>
      <c r="BU6" s="77"/>
      <c r="BV6" s="78"/>
      <c r="BW6" s="77"/>
      <c r="BX6" s="78"/>
      <c r="BY6" s="77"/>
      <c r="BZ6" s="78"/>
      <c r="CA6" s="77"/>
      <c r="CB6" s="78"/>
      <c r="CC6" s="77"/>
      <c r="CD6" s="78"/>
      <c r="CE6" s="77"/>
      <c r="CF6" s="78"/>
      <c r="CG6" s="77"/>
      <c r="CH6" s="78"/>
      <c r="CI6" s="77"/>
      <c r="CJ6" s="78"/>
      <c r="CK6" s="77"/>
      <c r="CL6" s="99"/>
      <c r="CM6" s="78"/>
      <c r="CN6" s="77"/>
      <c r="CO6" s="78"/>
      <c r="CP6" s="77"/>
      <c r="CQ6" s="78"/>
      <c r="CR6" s="77"/>
      <c r="CS6" s="78"/>
      <c r="CT6" s="77"/>
      <c r="CU6" s="78"/>
      <c r="CV6" s="77"/>
      <c r="CW6" s="78"/>
      <c r="CX6" s="77"/>
      <c r="CY6" s="78"/>
      <c r="CZ6" s="77"/>
      <c r="DA6" s="78"/>
      <c r="DB6" s="77"/>
      <c r="DC6" s="78"/>
      <c r="DD6" s="77"/>
      <c r="DE6" s="78"/>
      <c r="DF6" s="77"/>
      <c r="DG6" s="78"/>
      <c r="DH6" s="77"/>
      <c r="DI6" s="78"/>
      <c r="DJ6" s="77"/>
      <c r="DK6" s="78"/>
      <c r="DL6" s="77"/>
      <c r="DM6" s="78"/>
      <c r="DN6" s="77"/>
    </row>
    <row r="7" spans="1:118" ht="15.75" customHeight="1" x14ac:dyDescent="0.25">
      <c r="A7" s="79">
        <v>1</v>
      </c>
      <c r="B7" s="80" t="s">
        <v>469</v>
      </c>
      <c r="C7" s="100">
        <v>2</v>
      </c>
      <c r="D7" s="81">
        <v>3322000</v>
      </c>
      <c r="E7" s="82">
        <v>3048000</v>
      </c>
      <c r="F7" s="81">
        <v>3700000</v>
      </c>
      <c r="G7" s="82">
        <v>3426000</v>
      </c>
      <c r="H7" s="81">
        <v>3365000</v>
      </c>
      <c r="I7" s="82">
        <v>3091000</v>
      </c>
      <c r="J7" s="81">
        <v>3928000</v>
      </c>
      <c r="K7" s="82">
        <v>3654000</v>
      </c>
      <c r="L7" s="81">
        <v>3908000</v>
      </c>
      <c r="M7" s="82">
        <v>3634000</v>
      </c>
      <c r="N7" s="81">
        <v>3452000</v>
      </c>
      <c r="O7" s="82">
        <v>3178000</v>
      </c>
      <c r="P7" s="81">
        <v>3561000</v>
      </c>
      <c r="Q7" s="82">
        <v>3287000</v>
      </c>
      <c r="R7" s="81">
        <v>4187000</v>
      </c>
      <c r="S7" s="82">
        <v>3913000</v>
      </c>
      <c r="T7" s="81">
        <v>4306000</v>
      </c>
      <c r="U7" s="82">
        <v>4032000</v>
      </c>
      <c r="V7" s="81">
        <v>3633000</v>
      </c>
      <c r="W7" s="82">
        <v>3359000</v>
      </c>
      <c r="X7" s="81">
        <v>3552000</v>
      </c>
      <c r="Y7" s="82">
        <v>3278000</v>
      </c>
      <c r="Z7" s="81">
        <v>3552000</v>
      </c>
      <c r="AA7" s="82">
        <v>3278000</v>
      </c>
      <c r="AB7" s="81">
        <v>4207000</v>
      </c>
      <c r="AC7" s="82">
        <v>3933000</v>
      </c>
      <c r="AD7" s="81">
        <v>4409000</v>
      </c>
      <c r="AE7" s="82">
        <v>4135000</v>
      </c>
      <c r="AF7" s="100">
        <v>2</v>
      </c>
      <c r="AG7" s="81">
        <v>3160000</v>
      </c>
      <c r="AH7" s="82">
        <v>2886000</v>
      </c>
      <c r="AI7" s="81">
        <v>3539000</v>
      </c>
      <c r="AJ7" s="82">
        <v>3265000</v>
      </c>
      <c r="AK7" s="81">
        <v>3203000</v>
      </c>
      <c r="AL7" s="82">
        <v>2929000</v>
      </c>
      <c r="AM7" s="81">
        <v>3766000</v>
      </c>
      <c r="AN7" s="82">
        <v>3492000</v>
      </c>
      <c r="AO7" s="81">
        <v>3746000</v>
      </c>
      <c r="AP7" s="82">
        <v>3472000</v>
      </c>
      <c r="AQ7" s="81">
        <v>3290000</v>
      </c>
      <c r="AR7" s="82">
        <v>3016000</v>
      </c>
      <c r="AS7" s="81">
        <v>3399000</v>
      </c>
      <c r="AT7" s="82">
        <v>3125000</v>
      </c>
      <c r="AU7" s="81">
        <v>4025000</v>
      </c>
      <c r="AV7" s="82">
        <v>3751000</v>
      </c>
      <c r="AW7" s="81">
        <v>4144000</v>
      </c>
      <c r="AX7" s="82">
        <v>3870000</v>
      </c>
      <c r="AY7" s="81">
        <v>3471000</v>
      </c>
      <c r="AZ7" s="82">
        <v>3197000</v>
      </c>
      <c r="BA7" s="81">
        <v>3391000</v>
      </c>
      <c r="BB7" s="82">
        <v>3117000</v>
      </c>
      <c r="BC7" s="81">
        <v>3391000</v>
      </c>
      <c r="BD7" s="82">
        <v>3117000</v>
      </c>
      <c r="BE7" s="81">
        <v>4045000</v>
      </c>
      <c r="BF7" s="82">
        <v>3771000</v>
      </c>
      <c r="BG7" s="81">
        <v>4247000</v>
      </c>
      <c r="BH7" s="82">
        <v>3973000</v>
      </c>
      <c r="BI7" s="100">
        <v>1</v>
      </c>
      <c r="BJ7" s="81">
        <v>4261000</v>
      </c>
      <c r="BK7" s="82">
        <v>3987000</v>
      </c>
      <c r="BL7" s="81">
        <v>4639000</v>
      </c>
      <c r="BM7" s="82">
        <v>4365000</v>
      </c>
      <c r="BN7" s="81">
        <v>4304000</v>
      </c>
      <c r="BO7" s="82">
        <v>4030000</v>
      </c>
      <c r="BP7" s="81">
        <v>4867000</v>
      </c>
      <c r="BQ7" s="82">
        <v>4593000</v>
      </c>
      <c r="BR7" s="81">
        <v>4847000</v>
      </c>
      <c r="BS7" s="82">
        <v>4573000</v>
      </c>
      <c r="BT7" s="81">
        <v>4391000</v>
      </c>
      <c r="BU7" s="82">
        <v>4117000</v>
      </c>
      <c r="BV7" s="81">
        <v>4500000</v>
      </c>
      <c r="BW7" s="82">
        <v>4226000</v>
      </c>
      <c r="BX7" s="81">
        <v>5126000</v>
      </c>
      <c r="BY7" s="82">
        <v>4852000</v>
      </c>
      <c r="BZ7" s="81">
        <v>5245000</v>
      </c>
      <c r="CA7" s="82">
        <v>4971000</v>
      </c>
      <c r="CB7" s="81">
        <v>4572000</v>
      </c>
      <c r="CC7" s="82">
        <v>4298000</v>
      </c>
      <c r="CD7" s="81">
        <v>4491000</v>
      </c>
      <c r="CE7" s="82">
        <v>4217000</v>
      </c>
      <c r="CF7" s="81">
        <v>4491000</v>
      </c>
      <c r="CG7" s="82">
        <v>4217000</v>
      </c>
      <c r="CH7" s="81">
        <v>5146000</v>
      </c>
      <c r="CI7" s="82">
        <v>4872000</v>
      </c>
      <c r="CJ7" s="81">
        <v>5348000</v>
      </c>
      <c r="CK7" s="82">
        <v>5074000</v>
      </c>
      <c r="CL7" s="100">
        <v>1</v>
      </c>
      <c r="CM7" s="81">
        <v>7781000</v>
      </c>
      <c r="CN7" s="82">
        <v>7507000</v>
      </c>
      <c r="CO7" s="81">
        <v>8159000</v>
      </c>
      <c r="CP7" s="82">
        <v>7885000</v>
      </c>
      <c r="CQ7" s="81">
        <v>7824000</v>
      </c>
      <c r="CR7" s="82">
        <v>7550000</v>
      </c>
      <c r="CS7" s="81">
        <v>8387000</v>
      </c>
      <c r="CT7" s="82">
        <v>8113000</v>
      </c>
      <c r="CU7" s="81">
        <v>8367000</v>
      </c>
      <c r="CV7" s="82">
        <v>8093000</v>
      </c>
      <c r="CW7" s="81">
        <v>7911000</v>
      </c>
      <c r="CX7" s="82">
        <v>7637000</v>
      </c>
      <c r="CY7" s="81">
        <v>8020000</v>
      </c>
      <c r="CZ7" s="82">
        <v>7746000</v>
      </c>
      <c r="DA7" s="81">
        <v>8646000</v>
      </c>
      <c r="DB7" s="82">
        <v>8372000</v>
      </c>
      <c r="DC7" s="81">
        <v>8765000</v>
      </c>
      <c r="DD7" s="82">
        <v>8491000</v>
      </c>
      <c r="DE7" s="81">
        <v>8092000</v>
      </c>
      <c r="DF7" s="82">
        <v>7818000</v>
      </c>
      <c r="DG7" s="81">
        <v>8011000</v>
      </c>
      <c r="DH7" s="82">
        <v>7737000</v>
      </c>
      <c r="DI7" s="81">
        <v>8011000</v>
      </c>
      <c r="DJ7" s="82">
        <v>7737000</v>
      </c>
      <c r="DK7" s="81">
        <v>8666000</v>
      </c>
      <c r="DL7" s="82">
        <v>8392000</v>
      </c>
      <c r="DM7" s="81">
        <v>8868000</v>
      </c>
      <c r="DN7" s="82">
        <v>8594000</v>
      </c>
    </row>
    <row r="8" spans="1:118" ht="15.75" customHeight="1" x14ac:dyDescent="0.25">
      <c r="A8" s="83">
        <v>2</v>
      </c>
      <c r="B8" s="84" t="s">
        <v>470</v>
      </c>
      <c r="C8" s="100">
        <v>2</v>
      </c>
      <c r="D8" s="81">
        <v>3577000</v>
      </c>
      <c r="E8" s="82">
        <v>3275000</v>
      </c>
      <c r="F8" s="81">
        <v>4031000</v>
      </c>
      <c r="G8" s="82">
        <v>3729000</v>
      </c>
      <c r="H8" s="81">
        <v>3629000</v>
      </c>
      <c r="I8" s="82">
        <v>3327000</v>
      </c>
      <c r="J8" s="81">
        <v>4304000</v>
      </c>
      <c r="K8" s="82">
        <v>4002000</v>
      </c>
      <c r="L8" s="81">
        <v>4281000</v>
      </c>
      <c r="M8" s="82">
        <v>3979000</v>
      </c>
      <c r="N8" s="81">
        <v>3733000</v>
      </c>
      <c r="O8" s="82">
        <v>3431000</v>
      </c>
      <c r="P8" s="81">
        <v>3864000</v>
      </c>
      <c r="Q8" s="82">
        <v>3562000</v>
      </c>
      <c r="R8" s="81">
        <v>4615000</v>
      </c>
      <c r="S8" s="82">
        <v>4313000</v>
      </c>
      <c r="T8" s="81">
        <v>4758000</v>
      </c>
      <c r="U8" s="82">
        <v>4456000</v>
      </c>
      <c r="V8" s="81">
        <v>3950000</v>
      </c>
      <c r="W8" s="82">
        <v>3648000</v>
      </c>
      <c r="X8" s="81">
        <v>3853000</v>
      </c>
      <c r="Y8" s="82">
        <v>3551000</v>
      </c>
      <c r="Z8" s="81">
        <v>3853000</v>
      </c>
      <c r="AA8" s="82">
        <v>3551000</v>
      </c>
      <c r="AB8" s="81">
        <v>4639000</v>
      </c>
      <c r="AC8" s="82">
        <v>4337000</v>
      </c>
      <c r="AD8" s="81">
        <v>4882000</v>
      </c>
      <c r="AE8" s="82">
        <v>4580000</v>
      </c>
      <c r="AF8" s="100">
        <v>2</v>
      </c>
      <c r="AG8" s="81">
        <v>3402000</v>
      </c>
      <c r="AH8" s="82">
        <v>3100000</v>
      </c>
      <c r="AI8" s="81">
        <v>3857000</v>
      </c>
      <c r="AJ8" s="82">
        <v>3555000</v>
      </c>
      <c r="AK8" s="81">
        <v>3454000</v>
      </c>
      <c r="AL8" s="82">
        <v>3152000</v>
      </c>
      <c r="AM8" s="81">
        <v>4130000</v>
      </c>
      <c r="AN8" s="82">
        <v>3828000</v>
      </c>
      <c r="AO8" s="81">
        <v>4106000</v>
      </c>
      <c r="AP8" s="82">
        <v>3804000</v>
      </c>
      <c r="AQ8" s="81">
        <v>3559000</v>
      </c>
      <c r="AR8" s="82">
        <v>3257000</v>
      </c>
      <c r="AS8" s="81">
        <v>3689000</v>
      </c>
      <c r="AT8" s="82">
        <v>3387000</v>
      </c>
      <c r="AU8" s="81">
        <v>4440000</v>
      </c>
      <c r="AV8" s="82">
        <v>4138000</v>
      </c>
      <c r="AW8" s="81">
        <v>4583000</v>
      </c>
      <c r="AX8" s="82">
        <v>4281000</v>
      </c>
      <c r="AY8" s="81">
        <v>3776000</v>
      </c>
      <c r="AZ8" s="82">
        <v>3474000</v>
      </c>
      <c r="BA8" s="81">
        <v>3679000</v>
      </c>
      <c r="BB8" s="82">
        <v>3377000</v>
      </c>
      <c r="BC8" s="81">
        <v>3679000</v>
      </c>
      <c r="BD8" s="82">
        <v>3377000</v>
      </c>
      <c r="BE8" s="81">
        <v>4464000</v>
      </c>
      <c r="BF8" s="82">
        <v>4162000</v>
      </c>
      <c r="BG8" s="81">
        <v>4707000</v>
      </c>
      <c r="BH8" s="82">
        <v>4405000</v>
      </c>
      <c r="BI8" s="100">
        <v>1</v>
      </c>
      <c r="BJ8" s="81">
        <v>4505000</v>
      </c>
      <c r="BK8" s="82">
        <v>4203000</v>
      </c>
      <c r="BL8" s="81">
        <v>4960000</v>
      </c>
      <c r="BM8" s="82">
        <v>4658000</v>
      </c>
      <c r="BN8" s="81">
        <v>4558000</v>
      </c>
      <c r="BO8" s="82">
        <v>4256000</v>
      </c>
      <c r="BP8" s="81">
        <v>5233000</v>
      </c>
      <c r="BQ8" s="82">
        <v>4931000</v>
      </c>
      <c r="BR8" s="81">
        <v>5209000</v>
      </c>
      <c r="BS8" s="82">
        <v>4907000</v>
      </c>
      <c r="BT8" s="81">
        <v>4662000</v>
      </c>
      <c r="BU8" s="82">
        <v>4360000</v>
      </c>
      <c r="BV8" s="81">
        <v>4793000</v>
      </c>
      <c r="BW8" s="82">
        <v>4491000</v>
      </c>
      <c r="BX8" s="81">
        <v>5544000</v>
      </c>
      <c r="BY8" s="82">
        <v>5242000</v>
      </c>
      <c r="BZ8" s="81">
        <v>5687000</v>
      </c>
      <c r="CA8" s="82">
        <v>5385000</v>
      </c>
      <c r="CB8" s="81">
        <v>4879000</v>
      </c>
      <c r="CC8" s="82">
        <v>4577000</v>
      </c>
      <c r="CD8" s="81">
        <v>4782000</v>
      </c>
      <c r="CE8" s="82">
        <v>4480000</v>
      </c>
      <c r="CF8" s="81">
        <v>4782000</v>
      </c>
      <c r="CG8" s="82">
        <v>4480000</v>
      </c>
      <c r="CH8" s="81">
        <v>5568000</v>
      </c>
      <c r="CI8" s="82">
        <v>5266000</v>
      </c>
      <c r="CJ8" s="81">
        <v>5810000</v>
      </c>
      <c r="CK8" s="82">
        <v>5508000</v>
      </c>
      <c r="CL8" s="100">
        <v>1</v>
      </c>
      <c r="CM8" s="81">
        <v>8133000</v>
      </c>
      <c r="CN8" s="82">
        <v>7831000</v>
      </c>
      <c r="CO8" s="81">
        <v>8587000</v>
      </c>
      <c r="CP8" s="82">
        <v>8285000</v>
      </c>
      <c r="CQ8" s="81">
        <v>8185000</v>
      </c>
      <c r="CR8" s="82">
        <v>7883000</v>
      </c>
      <c r="CS8" s="81">
        <v>8861000</v>
      </c>
      <c r="CT8" s="82">
        <v>8559000</v>
      </c>
      <c r="CU8" s="81">
        <v>8837000</v>
      </c>
      <c r="CV8" s="82">
        <v>8535000</v>
      </c>
      <c r="CW8" s="81">
        <v>8290000</v>
      </c>
      <c r="CX8" s="82">
        <v>7988000</v>
      </c>
      <c r="CY8" s="81">
        <v>8420000</v>
      </c>
      <c r="CZ8" s="82">
        <v>8118000</v>
      </c>
      <c r="DA8" s="81">
        <v>9171000</v>
      </c>
      <c r="DB8" s="82">
        <v>8869000</v>
      </c>
      <c r="DC8" s="81">
        <v>9314000</v>
      </c>
      <c r="DD8" s="82">
        <v>9012000</v>
      </c>
      <c r="DE8" s="81">
        <v>8506000</v>
      </c>
      <c r="DF8" s="82">
        <v>8204000</v>
      </c>
      <c r="DG8" s="81">
        <v>8410000</v>
      </c>
      <c r="DH8" s="82">
        <v>8108000</v>
      </c>
      <c r="DI8" s="81">
        <v>8410000</v>
      </c>
      <c r="DJ8" s="82">
        <v>8108000</v>
      </c>
      <c r="DK8" s="81">
        <v>9195000</v>
      </c>
      <c r="DL8" s="82">
        <v>8893000</v>
      </c>
      <c r="DM8" s="81">
        <v>9438000</v>
      </c>
      <c r="DN8" s="82">
        <v>9136000</v>
      </c>
    </row>
    <row r="9" spans="1:118" ht="15.75" customHeight="1" x14ac:dyDescent="0.25">
      <c r="A9" s="83">
        <v>3</v>
      </c>
      <c r="B9" s="84" t="s">
        <v>471</v>
      </c>
      <c r="C9" s="100">
        <v>2</v>
      </c>
      <c r="D9" s="81">
        <v>3641000</v>
      </c>
      <c r="E9" s="82">
        <v>3331000</v>
      </c>
      <c r="F9" s="81">
        <v>4114000</v>
      </c>
      <c r="G9" s="82">
        <v>3804000</v>
      </c>
      <c r="H9" s="81">
        <v>3695000</v>
      </c>
      <c r="I9" s="82">
        <v>3385000</v>
      </c>
      <c r="J9" s="81">
        <v>4399000</v>
      </c>
      <c r="K9" s="82">
        <v>4089000</v>
      </c>
      <c r="L9" s="81">
        <v>4374000</v>
      </c>
      <c r="M9" s="82">
        <v>4064000</v>
      </c>
      <c r="N9" s="81">
        <v>3804000</v>
      </c>
      <c r="O9" s="82">
        <v>3494000</v>
      </c>
      <c r="P9" s="81">
        <v>3940000</v>
      </c>
      <c r="Q9" s="82">
        <v>3630000</v>
      </c>
      <c r="R9" s="81">
        <v>4723000</v>
      </c>
      <c r="S9" s="82">
        <v>4413000</v>
      </c>
      <c r="T9" s="81">
        <v>4871000</v>
      </c>
      <c r="U9" s="82">
        <v>4561000</v>
      </c>
      <c r="V9" s="81">
        <v>4030000</v>
      </c>
      <c r="W9" s="82">
        <v>3720000</v>
      </c>
      <c r="X9" s="81">
        <v>3929000</v>
      </c>
      <c r="Y9" s="82">
        <v>3619000</v>
      </c>
      <c r="Z9" s="81">
        <v>3929000</v>
      </c>
      <c r="AA9" s="82">
        <v>3619000</v>
      </c>
      <c r="AB9" s="81">
        <v>4747000</v>
      </c>
      <c r="AC9" s="82">
        <v>4437000</v>
      </c>
      <c r="AD9" s="81">
        <v>5000000</v>
      </c>
      <c r="AE9" s="82">
        <v>4690000</v>
      </c>
      <c r="AF9" s="100">
        <v>2</v>
      </c>
      <c r="AG9" s="81">
        <v>3463000</v>
      </c>
      <c r="AH9" s="82">
        <v>3153000</v>
      </c>
      <c r="AI9" s="81">
        <v>3937000</v>
      </c>
      <c r="AJ9" s="82">
        <v>3627000</v>
      </c>
      <c r="AK9" s="81">
        <v>3518000</v>
      </c>
      <c r="AL9" s="82">
        <v>3208000</v>
      </c>
      <c r="AM9" s="81">
        <v>4221000</v>
      </c>
      <c r="AN9" s="82">
        <v>3911000</v>
      </c>
      <c r="AO9" s="81">
        <v>4197000</v>
      </c>
      <c r="AP9" s="82">
        <v>3887000</v>
      </c>
      <c r="AQ9" s="81">
        <v>3627000</v>
      </c>
      <c r="AR9" s="82">
        <v>3317000</v>
      </c>
      <c r="AS9" s="81">
        <v>3763000</v>
      </c>
      <c r="AT9" s="82">
        <v>3453000</v>
      </c>
      <c r="AU9" s="81">
        <v>4545000</v>
      </c>
      <c r="AV9" s="82">
        <v>4235000</v>
      </c>
      <c r="AW9" s="81">
        <v>4694000</v>
      </c>
      <c r="AX9" s="82">
        <v>4384000</v>
      </c>
      <c r="AY9" s="81">
        <v>3853000</v>
      </c>
      <c r="AZ9" s="82">
        <v>3543000</v>
      </c>
      <c r="BA9" s="81">
        <v>3752000</v>
      </c>
      <c r="BB9" s="82">
        <v>3442000</v>
      </c>
      <c r="BC9" s="81">
        <v>3752000</v>
      </c>
      <c r="BD9" s="82">
        <v>3442000</v>
      </c>
      <c r="BE9" s="81">
        <v>4570000</v>
      </c>
      <c r="BF9" s="82">
        <v>4260000</v>
      </c>
      <c r="BG9" s="81">
        <v>4823000</v>
      </c>
      <c r="BH9" s="82">
        <v>4513000</v>
      </c>
      <c r="BI9" s="100">
        <v>1</v>
      </c>
      <c r="BJ9" s="81">
        <v>4567000</v>
      </c>
      <c r="BK9" s="82">
        <v>4257000</v>
      </c>
      <c r="BL9" s="81">
        <v>5041000</v>
      </c>
      <c r="BM9" s="82">
        <v>4731000</v>
      </c>
      <c r="BN9" s="81">
        <v>4622000</v>
      </c>
      <c r="BO9" s="82">
        <v>4312000</v>
      </c>
      <c r="BP9" s="81">
        <v>5325000</v>
      </c>
      <c r="BQ9" s="82">
        <v>5015000</v>
      </c>
      <c r="BR9" s="81">
        <v>5301000</v>
      </c>
      <c r="BS9" s="82">
        <v>4991000</v>
      </c>
      <c r="BT9" s="81">
        <v>4731000</v>
      </c>
      <c r="BU9" s="82">
        <v>4421000</v>
      </c>
      <c r="BV9" s="81">
        <v>4867000</v>
      </c>
      <c r="BW9" s="82">
        <v>4557000</v>
      </c>
      <c r="BX9" s="81">
        <v>5649000</v>
      </c>
      <c r="BY9" s="82">
        <v>5339000</v>
      </c>
      <c r="BZ9" s="81">
        <v>5798000</v>
      </c>
      <c r="CA9" s="82">
        <v>5488000</v>
      </c>
      <c r="CB9" s="81">
        <v>4957000</v>
      </c>
      <c r="CC9" s="82">
        <v>4647000</v>
      </c>
      <c r="CD9" s="81">
        <v>4856000</v>
      </c>
      <c r="CE9" s="82">
        <v>4546000</v>
      </c>
      <c r="CF9" s="81">
        <v>4856000</v>
      </c>
      <c r="CG9" s="82">
        <v>4546000</v>
      </c>
      <c r="CH9" s="81">
        <v>5674000</v>
      </c>
      <c r="CI9" s="82">
        <v>5364000</v>
      </c>
      <c r="CJ9" s="81">
        <v>5927000</v>
      </c>
      <c r="CK9" s="82">
        <v>5617000</v>
      </c>
      <c r="CL9" s="100">
        <v>1</v>
      </c>
      <c r="CM9" s="81">
        <v>8222000</v>
      </c>
      <c r="CN9" s="82">
        <v>7912000</v>
      </c>
      <c r="CO9" s="81">
        <v>8695000</v>
      </c>
      <c r="CP9" s="82">
        <v>8385000</v>
      </c>
      <c r="CQ9" s="81">
        <v>8276000</v>
      </c>
      <c r="CR9" s="82">
        <v>7966000</v>
      </c>
      <c r="CS9" s="81">
        <v>8980000</v>
      </c>
      <c r="CT9" s="82">
        <v>8670000</v>
      </c>
      <c r="CU9" s="81">
        <v>8955000</v>
      </c>
      <c r="CV9" s="82">
        <v>8645000</v>
      </c>
      <c r="CW9" s="81">
        <v>8385000</v>
      </c>
      <c r="CX9" s="82">
        <v>8075000</v>
      </c>
      <c r="CY9" s="81">
        <v>8521000</v>
      </c>
      <c r="CZ9" s="82">
        <v>8211000</v>
      </c>
      <c r="DA9" s="81">
        <v>9303000</v>
      </c>
      <c r="DB9" s="82">
        <v>8993000</v>
      </c>
      <c r="DC9" s="81">
        <v>9452000</v>
      </c>
      <c r="DD9" s="82">
        <v>9142000</v>
      </c>
      <c r="DE9" s="81">
        <v>8611000</v>
      </c>
      <c r="DF9" s="82">
        <v>8301000</v>
      </c>
      <c r="DG9" s="81">
        <v>8510000</v>
      </c>
      <c r="DH9" s="82">
        <v>8200000</v>
      </c>
      <c r="DI9" s="81">
        <v>8510000</v>
      </c>
      <c r="DJ9" s="82">
        <v>8200000</v>
      </c>
      <c r="DK9" s="81">
        <v>9328000</v>
      </c>
      <c r="DL9" s="82">
        <v>9018000</v>
      </c>
      <c r="DM9" s="81">
        <v>9581000</v>
      </c>
      <c r="DN9" s="82">
        <v>9271000</v>
      </c>
    </row>
    <row r="10" spans="1:118" ht="15.75" customHeight="1" x14ac:dyDescent="0.25">
      <c r="A10" s="83">
        <v>4</v>
      </c>
      <c r="B10" s="84" t="s">
        <v>472</v>
      </c>
      <c r="C10" s="100">
        <v>2</v>
      </c>
      <c r="D10" s="81">
        <v>3800000</v>
      </c>
      <c r="E10" s="82">
        <v>3473000</v>
      </c>
      <c r="F10" s="81">
        <v>4321000</v>
      </c>
      <c r="G10" s="82">
        <v>3994000</v>
      </c>
      <c r="H10" s="81">
        <v>3860000</v>
      </c>
      <c r="I10" s="82">
        <v>3533000</v>
      </c>
      <c r="J10" s="81">
        <v>4634000</v>
      </c>
      <c r="K10" s="82">
        <v>4307000</v>
      </c>
      <c r="L10" s="81">
        <v>4607000</v>
      </c>
      <c r="M10" s="82">
        <v>4280000</v>
      </c>
      <c r="N10" s="81">
        <v>3980000</v>
      </c>
      <c r="O10" s="82">
        <v>3653000</v>
      </c>
      <c r="P10" s="81">
        <v>4129000</v>
      </c>
      <c r="Q10" s="82">
        <v>3802000</v>
      </c>
      <c r="R10" s="81">
        <v>4990000</v>
      </c>
      <c r="S10" s="82">
        <v>4663000</v>
      </c>
      <c r="T10" s="81">
        <v>5154000</v>
      </c>
      <c r="U10" s="82">
        <v>4827000</v>
      </c>
      <c r="V10" s="81">
        <v>4228000</v>
      </c>
      <c r="W10" s="82">
        <v>3901000</v>
      </c>
      <c r="X10" s="81">
        <v>4117000</v>
      </c>
      <c r="Y10" s="82">
        <v>3790000</v>
      </c>
      <c r="Z10" s="81">
        <v>4117000</v>
      </c>
      <c r="AA10" s="82">
        <v>3790000</v>
      </c>
      <c r="AB10" s="81">
        <v>5017000</v>
      </c>
      <c r="AC10" s="82">
        <v>4690000</v>
      </c>
      <c r="AD10" s="81">
        <v>5296000</v>
      </c>
      <c r="AE10" s="82">
        <v>4969000</v>
      </c>
      <c r="AF10" s="100">
        <v>2</v>
      </c>
      <c r="AG10" s="81">
        <v>3615000</v>
      </c>
      <c r="AH10" s="82">
        <v>3288000</v>
      </c>
      <c r="AI10" s="81">
        <v>4136000</v>
      </c>
      <c r="AJ10" s="82">
        <v>3809000</v>
      </c>
      <c r="AK10" s="81">
        <v>3675000</v>
      </c>
      <c r="AL10" s="82">
        <v>3348000</v>
      </c>
      <c r="AM10" s="81">
        <v>4449000</v>
      </c>
      <c r="AN10" s="82">
        <v>4122000</v>
      </c>
      <c r="AO10" s="81">
        <v>4421000</v>
      </c>
      <c r="AP10" s="82">
        <v>4094000</v>
      </c>
      <c r="AQ10" s="81">
        <v>3794000</v>
      </c>
      <c r="AR10" s="82">
        <v>3467000</v>
      </c>
      <c r="AS10" s="81">
        <v>3944000</v>
      </c>
      <c r="AT10" s="82">
        <v>3617000</v>
      </c>
      <c r="AU10" s="81">
        <v>4805000</v>
      </c>
      <c r="AV10" s="82">
        <v>4478000</v>
      </c>
      <c r="AW10" s="81">
        <v>4968000</v>
      </c>
      <c r="AX10" s="82">
        <v>4641000</v>
      </c>
      <c r="AY10" s="81">
        <v>4043000</v>
      </c>
      <c r="AZ10" s="82">
        <v>3716000</v>
      </c>
      <c r="BA10" s="81">
        <v>3932000</v>
      </c>
      <c r="BB10" s="82">
        <v>3605000</v>
      </c>
      <c r="BC10" s="81">
        <v>3932000</v>
      </c>
      <c r="BD10" s="82">
        <v>3605000</v>
      </c>
      <c r="BE10" s="81">
        <v>4832000</v>
      </c>
      <c r="BF10" s="82">
        <v>4505000</v>
      </c>
      <c r="BG10" s="81">
        <v>5110000</v>
      </c>
      <c r="BH10" s="82">
        <v>4783000</v>
      </c>
      <c r="BI10" s="100">
        <v>1</v>
      </c>
      <c r="BJ10" s="81">
        <v>4720000</v>
      </c>
      <c r="BK10" s="82">
        <v>4393000</v>
      </c>
      <c r="BL10" s="81">
        <v>5241000</v>
      </c>
      <c r="BM10" s="82">
        <v>4914000</v>
      </c>
      <c r="BN10" s="81">
        <v>4780000</v>
      </c>
      <c r="BO10" s="82">
        <v>4453000</v>
      </c>
      <c r="BP10" s="81">
        <v>5554000</v>
      </c>
      <c r="BQ10" s="82">
        <v>5227000</v>
      </c>
      <c r="BR10" s="81">
        <v>5527000</v>
      </c>
      <c r="BS10" s="82">
        <v>5200000</v>
      </c>
      <c r="BT10" s="81">
        <v>4900000</v>
      </c>
      <c r="BU10" s="82">
        <v>4573000</v>
      </c>
      <c r="BV10" s="81">
        <v>5050000</v>
      </c>
      <c r="BW10" s="82">
        <v>4723000</v>
      </c>
      <c r="BX10" s="81">
        <v>5910000</v>
      </c>
      <c r="BY10" s="82">
        <v>5583000</v>
      </c>
      <c r="BZ10" s="81">
        <v>6074000</v>
      </c>
      <c r="CA10" s="82">
        <v>5747000</v>
      </c>
      <c r="CB10" s="81">
        <v>5148000</v>
      </c>
      <c r="CC10" s="82">
        <v>4821000</v>
      </c>
      <c r="CD10" s="81">
        <v>5038000</v>
      </c>
      <c r="CE10" s="82">
        <v>4711000</v>
      </c>
      <c r="CF10" s="81">
        <v>5038000</v>
      </c>
      <c r="CG10" s="82">
        <v>4711000</v>
      </c>
      <c r="CH10" s="81">
        <v>5937000</v>
      </c>
      <c r="CI10" s="82">
        <v>5610000</v>
      </c>
      <c r="CJ10" s="81">
        <v>6216000</v>
      </c>
      <c r="CK10" s="82">
        <v>5889000</v>
      </c>
      <c r="CL10" s="100">
        <v>1</v>
      </c>
      <c r="CM10" s="81">
        <v>8442000</v>
      </c>
      <c r="CN10" s="82">
        <v>8115000</v>
      </c>
      <c r="CO10" s="81">
        <v>8962000</v>
      </c>
      <c r="CP10" s="82">
        <v>8635000</v>
      </c>
      <c r="CQ10" s="81">
        <v>8502000</v>
      </c>
      <c r="CR10" s="82">
        <v>8175000</v>
      </c>
      <c r="CS10" s="81">
        <v>9275000</v>
      </c>
      <c r="CT10" s="82">
        <v>8948000</v>
      </c>
      <c r="CU10" s="81">
        <v>9248000</v>
      </c>
      <c r="CV10" s="82">
        <v>8921000</v>
      </c>
      <c r="CW10" s="81">
        <v>8621000</v>
      </c>
      <c r="CX10" s="82">
        <v>8294000</v>
      </c>
      <c r="CY10" s="81">
        <v>8771000</v>
      </c>
      <c r="CZ10" s="82">
        <v>8444000</v>
      </c>
      <c r="DA10" s="81">
        <v>9631000</v>
      </c>
      <c r="DB10" s="82">
        <v>9304000</v>
      </c>
      <c r="DC10" s="81">
        <v>9795000</v>
      </c>
      <c r="DD10" s="82">
        <v>9468000</v>
      </c>
      <c r="DE10" s="81">
        <v>8870000</v>
      </c>
      <c r="DF10" s="82">
        <v>8543000</v>
      </c>
      <c r="DG10" s="81">
        <v>8759000</v>
      </c>
      <c r="DH10" s="82">
        <v>8432000</v>
      </c>
      <c r="DI10" s="81">
        <v>8759000</v>
      </c>
      <c r="DJ10" s="82">
        <v>8432000</v>
      </c>
      <c r="DK10" s="81">
        <v>9659000</v>
      </c>
      <c r="DL10" s="82">
        <v>9332000</v>
      </c>
      <c r="DM10" s="81">
        <v>9937000</v>
      </c>
      <c r="DN10" s="82">
        <v>9610000</v>
      </c>
    </row>
    <row r="11" spans="1:118" ht="15.75" customHeight="1" x14ac:dyDescent="0.25">
      <c r="A11" s="83">
        <v>5</v>
      </c>
      <c r="B11" s="84" t="s">
        <v>473</v>
      </c>
      <c r="C11" s="100">
        <v>2</v>
      </c>
      <c r="D11" s="81">
        <v>3959000</v>
      </c>
      <c r="E11" s="82">
        <v>3614000</v>
      </c>
      <c r="F11" s="81">
        <v>4528000</v>
      </c>
      <c r="G11" s="82">
        <v>4183000</v>
      </c>
      <c r="H11" s="81">
        <v>4025000</v>
      </c>
      <c r="I11" s="82">
        <v>3680000</v>
      </c>
      <c r="J11" s="81">
        <v>4869000</v>
      </c>
      <c r="K11" s="82">
        <v>4524000</v>
      </c>
      <c r="L11" s="81">
        <v>4839000</v>
      </c>
      <c r="M11" s="82">
        <v>4494000</v>
      </c>
      <c r="N11" s="81">
        <v>4155000</v>
      </c>
      <c r="O11" s="82">
        <v>3810000</v>
      </c>
      <c r="P11" s="81">
        <v>4319000</v>
      </c>
      <c r="Q11" s="82">
        <v>3974000</v>
      </c>
      <c r="R11" s="81">
        <v>5257000</v>
      </c>
      <c r="S11" s="82">
        <v>4912000</v>
      </c>
      <c r="T11" s="81">
        <v>5436000</v>
      </c>
      <c r="U11" s="82">
        <v>5091000</v>
      </c>
      <c r="V11" s="81">
        <v>4426000</v>
      </c>
      <c r="W11" s="82">
        <v>4081000</v>
      </c>
      <c r="X11" s="81">
        <v>4306000</v>
      </c>
      <c r="Y11" s="82">
        <v>3961000</v>
      </c>
      <c r="Z11" s="81">
        <v>4306000</v>
      </c>
      <c r="AA11" s="82">
        <v>3961000</v>
      </c>
      <c r="AB11" s="81">
        <v>5287000</v>
      </c>
      <c r="AC11" s="82">
        <v>4942000</v>
      </c>
      <c r="AD11" s="81">
        <v>5591000</v>
      </c>
      <c r="AE11" s="82">
        <v>5246000</v>
      </c>
      <c r="AF11" s="100">
        <v>2</v>
      </c>
      <c r="AG11" s="81">
        <v>3766000</v>
      </c>
      <c r="AH11" s="82">
        <v>3421000</v>
      </c>
      <c r="AI11" s="81">
        <v>4334000</v>
      </c>
      <c r="AJ11" s="82">
        <v>3989000</v>
      </c>
      <c r="AK11" s="81">
        <v>3831000</v>
      </c>
      <c r="AL11" s="82">
        <v>3486000</v>
      </c>
      <c r="AM11" s="81">
        <v>4676000</v>
      </c>
      <c r="AN11" s="82">
        <v>4331000</v>
      </c>
      <c r="AO11" s="81">
        <v>4646000</v>
      </c>
      <c r="AP11" s="82">
        <v>4301000</v>
      </c>
      <c r="AQ11" s="81">
        <v>3962000</v>
      </c>
      <c r="AR11" s="82">
        <v>3617000</v>
      </c>
      <c r="AS11" s="81">
        <v>4125000</v>
      </c>
      <c r="AT11" s="82">
        <v>3780000</v>
      </c>
      <c r="AU11" s="81">
        <v>5064000</v>
      </c>
      <c r="AV11" s="82">
        <v>4719000</v>
      </c>
      <c r="AW11" s="81">
        <v>5243000</v>
      </c>
      <c r="AX11" s="82">
        <v>4898000</v>
      </c>
      <c r="AY11" s="81">
        <v>4233000</v>
      </c>
      <c r="AZ11" s="82">
        <v>3888000</v>
      </c>
      <c r="BA11" s="81">
        <v>4112000</v>
      </c>
      <c r="BB11" s="82">
        <v>3767000</v>
      </c>
      <c r="BC11" s="81">
        <v>4112000</v>
      </c>
      <c r="BD11" s="82">
        <v>3767000</v>
      </c>
      <c r="BE11" s="81">
        <v>5094000</v>
      </c>
      <c r="BF11" s="82">
        <v>4749000</v>
      </c>
      <c r="BG11" s="81">
        <v>5397000</v>
      </c>
      <c r="BH11" s="82">
        <v>5052000</v>
      </c>
      <c r="BI11" s="100">
        <v>1</v>
      </c>
      <c r="BJ11" s="81">
        <v>4873000</v>
      </c>
      <c r="BK11" s="82">
        <v>4528000</v>
      </c>
      <c r="BL11" s="81">
        <v>5441000</v>
      </c>
      <c r="BM11" s="82">
        <v>5096000</v>
      </c>
      <c r="BN11" s="81">
        <v>4939000</v>
      </c>
      <c r="BO11" s="82">
        <v>4594000</v>
      </c>
      <c r="BP11" s="81">
        <v>5783000</v>
      </c>
      <c r="BQ11" s="82">
        <v>5438000</v>
      </c>
      <c r="BR11" s="81">
        <v>5753000</v>
      </c>
      <c r="BS11" s="82">
        <v>5408000</v>
      </c>
      <c r="BT11" s="81">
        <v>5069000</v>
      </c>
      <c r="BU11" s="82">
        <v>4724000</v>
      </c>
      <c r="BV11" s="81">
        <v>5232000</v>
      </c>
      <c r="BW11" s="82">
        <v>4887000</v>
      </c>
      <c r="BX11" s="81">
        <v>6171000</v>
      </c>
      <c r="BY11" s="82">
        <v>5826000</v>
      </c>
      <c r="BZ11" s="81">
        <v>6350000</v>
      </c>
      <c r="CA11" s="82">
        <v>6005000</v>
      </c>
      <c r="CB11" s="81">
        <v>5340000</v>
      </c>
      <c r="CC11" s="82">
        <v>4995000</v>
      </c>
      <c r="CD11" s="81">
        <v>5219000</v>
      </c>
      <c r="CE11" s="82">
        <v>4874000</v>
      </c>
      <c r="CF11" s="81">
        <v>5219000</v>
      </c>
      <c r="CG11" s="82">
        <v>4874000</v>
      </c>
      <c r="CH11" s="81">
        <v>6201000</v>
      </c>
      <c r="CI11" s="82">
        <v>5856000</v>
      </c>
      <c r="CJ11" s="81">
        <v>6505000</v>
      </c>
      <c r="CK11" s="82">
        <v>6160000</v>
      </c>
      <c r="CL11" s="100">
        <v>1</v>
      </c>
      <c r="CM11" s="81">
        <v>8662000</v>
      </c>
      <c r="CN11" s="82">
        <v>8317000</v>
      </c>
      <c r="CO11" s="81">
        <v>9230000</v>
      </c>
      <c r="CP11" s="82">
        <v>8885000</v>
      </c>
      <c r="CQ11" s="81">
        <v>8727000</v>
      </c>
      <c r="CR11" s="82">
        <v>8382000</v>
      </c>
      <c r="CS11" s="81">
        <v>9571000</v>
      </c>
      <c r="CT11" s="82">
        <v>9226000</v>
      </c>
      <c r="CU11" s="81">
        <v>9542000</v>
      </c>
      <c r="CV11" s="82">
        <v>9197000</v>
      </c>
      <c r="CW11" s="81">
        <v>8858000</v>
      </c>
      <c r="CX11" s="82">
        <v>8513000</v>
      </c>
      <c r="CY11" s="81">
        <v>9021000</v>
      </c>
      <c r="CZ11" s="82">
        <v>8676000</v>
      </c>
      <c r="DA11" s="81">
        <v>9960000</v>
      </c>
      <c r="DB11" s="82">
        <v>9615000</v>
      </c>
      <c r="DC11" s="81">
        <v>10138000</v>
      </c>
      <c r="DD11" s="82">
        <v>9793000</v>
      </c>
      <c r="DE11" s="81">
        <v>9129000</v>
      </c>
      <c r="DF11" s="82">
        <v>8784000</v>
      </c>
      <c r="DG11" s="81">
        <v>9008000</v>
      </c>
      <c r="DH11" s="82">
        <v>8663000</v>
      </c>
      <c r="DI11" s="81">
        <v>9008000</v>
      </c>
      <c r="DJ11" s="82">
        <v>8663000</v>
      </c>
      <c r="DK11" s="81">
        <v>9989000</v>
      </c>
      <c r="DL11" s="82">
        <v>9644000</v>
      </c>
      <c r="DM11" s="81">
        <v>10293000</v>
      </c>
      <c r="DN11" s="82">
        <v>9948000</v>
      </c>
    </row>
    <row r="12" spans="1:118" ht="15.75" customHeight="1" x14ac:dyDescent="0.25">
      <c r="A12" s="83">
        <v>6</v>
      </c>
      <c r="B12" s="84" t="s">
        <v>474</v>
      </c>
      <c r="C12" s="100">
        <v>4</v>
      </c>
      <c r="D12" s="81">
        <v>5993000</v>
      </c>
      <c r="E12" s="82">
        <v>5576000</v>
      </c>
      <c r="F12" s="81">
        <v>6750000</v>
      </c>
      <c r="G12" s="82">
        <v>6333000</v>
      </c>
      <c r="H12" s="81">
        <v>6080000</v>
      </c>
      <c r="I12" s="82">
        <v>5663000</v>
      </c>
      <c r="J12" s="81">
        <v>7206000</v>
      </c>
      <c r="K12" s="82">
        <v>6789000</v>
      </c>
      <c r="L12" s="81">
        <v>7166000</v>
      </c>
      <c r="M12" s="82">
        <v>6749000</v>
      </c>
      <c r="N12" s="81">
        <v>6254000</v>
      </c>
      <c r="O12" s="82">
        <v>5837000</v>
      </c>
      <c r="P12" s="81">
        <v>6472000</v>
      </c>
      <c r="Q12" s="82">
        <v>6055000</v>
      </c>
      <c r="R12" s="81">
        <v>7724000</v>
      </c>
      <c r="S12" s="82">
        <v>7307000</v>
      </c>
      <c r="T12" s="81">
        <v>7962000</v>
      </c>
      <c r="U12" s="82">
        <v>7545000</v>
      </c>
      <c r="V12" s="81">
        <v>6615000</v>
      </c>
      <c r="W12" s="82">
        <v>6198000</v>
      </c>
      <c r="X12" s="81">
        <v>6454000</v>
      </c>
      <c r="Y12" s="82">
        <v>6037000</v>
      </c>
      <c r="Z12" s="81">
        <v>6454000</v>
      </c>
      <c r="AA12" s="82">
        <v>6037000</v>
      </c>
      <c r="AB12" s="81">
        <v>7763000</v>
      </c>
      <c r="AC12" s="82">
        <v>7346000</v>
      </c>
      <c r="AD12" s="81">
        <v>8168000</v>
      </c>
      <c r="AE12" s="82">
        <v>7751000</v>
      </c>
      <c r="AF12" s="100">
        <v>4</v>
      </c>
      <c r="AG12" s="81">
        <v>5669000</v>
      </c>
      <c r="AH12" s="82">
        <v>5252000</v>
      </c>
      <c r="AI12" s="81">
        <v>6427000</v>
      </c>
      <c r="AJ12" s="82">
        <v>6010000</v>
      </c>
      <c r="AK12" s="81">
        <v>5756000</v>
      </c>
      <c r="AL12" s="82">
        <v>5339000</v>
      </c>
      <c r="AM12" s="81">
        <v>6882000</v>
      </c>
      <c r="AN12" s="82">
        <v>6465000</v>
      </c>
      <c r="AO12" s="81">
        <v>6842000</v>
      </c>
      <c r="AP12" s="82">
        <v>6425000</v>
      </c>
      <c r="AQ12" s="81">
        <v>5930000</v>
      </c>
      <c r="AR12" s="82">
        <v>5513000</v>
      </c>
      <c r="AS12" s="81">
        <v>6148000</v>
      </c>
      <c r="AT12" s="82">
        <v>5731000</v>
      </c>
      <c r="AU12" s="81">
        <v>7400000</v>
      </c>
      <c r="AV12" s="82">
        <v>6983000</v>
      </c>
      <c r="AW12" s="81">
        <v>7638000</v>
      </c>
      <c r="AX12" s="82">
        <v>7221000</v>
      </c>
      <c r="AY12" s="81">
        <v>6292000</v>
      </c>
      <c r="AZ12" s="82">
        <v>5875000</v>
      </c>
      <c r="BA12" s="81">
        <v>6131000</v>
      </c>
      <c r="BB12" s="82">
        <v>5714000</v>
      </c>
      <c r="BC12" s="81">
        <v>6131000</v>
      </c>
      <c r="BD12" s="82">
        <v>5714000</v>
      </c>
      <c r="BE12" s="81">
        <v>7439000</v>
      </c>
      <c r="BF12" s="82">
        <v>7022000</v>
      </c>
      <c r="BG12" s="81">
        <v>7844000</v>
      </c>
      <c r="BH12" s="82">
        <v>7427000</v>
      </c>
      <c r="BI12" s="100">
        <v>2</v>
      </c>
      <c r="BJ12" s="81">
        <v>7871000</v>
      </c>
      <c r="BK12" s="82">
        <v>7454000</v>
      </c>
      <c r="BL12" s="81">
        <v>8628000</v>
      </c>
      <c r="BM12" s="82">
        <v>8211000</v>
      </c>
      <c r="BN12" s="81">
        <v>7958000</v>
      </c>
      <c r="BO12" s="82">
        <v>7541000</v>
      </c>
      <c r="BP12" s="81">
        <v>9083000</v>
      </c>
      <c r="BQ12" s="82">
        <v>8666000</v>
      </c>
      <c r="BR12" s="81">
        <v>9044000</v>
      </c>
      <c r="BS12" s="82">
        <v>8627000</v>
      </c>
      <c r="BT12" s="81">
        <v>8132000</v>
      </c>
      <c r="BU12" s="82">
        <v>7715000</v>
      </c>
      <c r="BV12" s="81">
        <v>8350000</v>
      </c>
      <c r="BW12" s="82">
        <v>7933000</v>
      </c>
      <c r="BX12" s="81">
        <v>9601000</v>
      </c>
      <c r="BY12" s="82">
        <v>9184000</v>
      </c>
      <c r="BZ12" s="81">
        <v>9839000</v>
      </c>
      <c r="CA12" s="82">
        <v>9422000</v>
      </c>
      <c r="CB12" s="81">
        <v>8493000</v>
      </c>
      <c r="CC12" s="82">
        <v>8076000</v>
      </c>
      <c r="CD12" s="81">
        <v>8332000</v>
      </c>
      <c r="CE12" s="82">
        <v>7915000</v>
      </c>
      <c r="CF12" s="81">
        <v>8332000</v>
      </c>
      <c r="CG12" s="82">
        <v>7915000</v>
      </c>
      <c r="CH12" s="81">
        <v>9641000</v>
      </c>
      <c r="CI12" s="82">
        <v>9224000</v>
      </c>
      <c r="CJ12" s="81">
        <v>10046000</v>
      </c>
      <c r="CK12" s="82">
        <v>9629000</v>
      </c>
      <c r="CL12" s="100">
        <v>2</v>
      </c>
      <c r="CM12" s="81">
        <v>14911000</v>
      </c>
      <c r="CN12" s="82">
        <v>14494000</v>
      </c>
      <c r="CO12" s="81">
        <v>15668000</v>
      </c>
      <c r="CP12" s="82">
        <v>15251000</v>
      </c>
      <c r="CQ12" s="81">
        <v>14998000</v>
      </c>
      <c r="CR12" s="82">
        <v>14581000</v>
      </c>
      <c r="CS12" s="81">
        <v>16124000</v>
      </c>
      <c r="CT12" s="82">
        <v>15707000</v>
      </c>
      <c r="CU12" s="81">
        <v>16084000</v>
      </c>
      <c r="CV12" s="82">
        <v>15667000</v>
      </c>
      <c r="CW12" s="81">
        <v>15172000</v>
      </c>
      <c r="CX12" s="82">
        <v>14755000</v>
      </c>
      <c r="CY12" s="81">
        <v>15390000</v>
      </c>
      <c r="CZ12" s="82">
        <v>14973000</v>
      </c>
      <c r="DA12" s="81">
        <v>16642000</v>
      </c>
      <c r="DB12" s="82">
        <v>16225000</v>
      </c>
      <c r="DC12" s="81">
        <v>16880000</v>
      </c>
      <c r="DD12" s="82">
        <v>16463000</v>
      </c>
      <c r="DE12" s="81">
        <v>15533000</v>
      </c>
      <c r="DF12" s="82">
        <v>15116000</v>
      </c>
      <c r="DG12" s="81">
        <v>15372000</v>
      </c>
      <c r="DH12" s="82">
        <v>14955000</v>
      </c>
      <c r="DI12" s="81">
        <v>15372000</v>
      </c>
      <c r="DJ12" s="82">
        <v>14955000</v>
      </c>
      <c r="DK12" s="81">
        <v>16681000</v>
      </c>
      <c r="DL12" s="82">
        <v>16264000</v>
      </c>
      <c r="DM12" s="81">
        <v>17086000</v>
      </c>
      <c r="DN12" s="82">
        <v>16669000</v>
      </c>
    </row>
    <row r="13" spans="1:118" ht="15.75" customHeight="1" x14ac:dyDescent="0.25">
      <c r="A13" s="83">
        <v>7</v>
      </c>
      <c r="B13" s="84" t="s">
        <v>475</v>
      </c>
      <c r="C13" s="100">
        <v>4</v>
      </c>
      <c r="D13" s="81">
        <v>6503000</v>
      </c>
      <c r="E13" s="82">
        <v>6030000</v>
      </c>
      <c r="F13" s="81">
        <v>7412000</v>
      </c>
      <c r="G13" s="82">
        <v>6939000</v>
      </c>
      <c r="H13" s="81">
        <v>6607000</v>
      </c>
      <c r="I13" s="82">
        <v>6134000</v>
      </c>
      <c r="J13" s="81">
        <v>7958000</v>
      </c>
      <c r="K13" s="82">
        <v>7485000</v>
      </c>
      <c r="L13" s="81">
        <v>7911000</v>
      </c>
      <c r="M13" s="82">
        <v>7438000</v>
      </c>
      <c r="N13" s="81">
        <v>6816000</v>
      </c>
      <c r="O13" s="82">
        <v>6343000</v>
      </c>
      <c r="P13" s="81">
        <v>7077000</v>
      </c>
      <c r="Q13" s="82">
        <v>6604000</v>
      </c>
      <c r="R13" s="81">
        <v>8579000</v>
      </c>
      <c r="S13" s="82">
        <v>8106000</v>
      </c>
      <c r="T13" s="81">
        <v>8865000</v>
      </c>
      <c r="U13" s="82">
        <v>8392000</v>
      </c>
      <c r="V13" s="81">
        <v>7250000</v>
      </c>
      <c r="W13" s="82">
        <v>6777000</v>
      </c>
      <c r="X13" s="81">
        <v>7056000</v>
      </c>
      <c r="Y13" s="82">
        <v>6583000</v>
      </c>
      <c r="Z13" s="81">
        <v>7056000</v>
      </c>
      <c r="AA13" s="82">
        <v>6583000</v>
      </c>
      <c r="AB13" s="81">
        <v>8627000</v>
      </c>
      <c r="AC13" s="82">
        <v>8154000</v>
      </c>
      <c r="AD13" s="81">
        <v>9113000</v>
      </c>
      <c r="AE13" s="82">
        <v>8640000</v>
      </c>
      <c r="AF13" s="100">
        <v>4</v>
      </c>
      <c r="AG13" s="81">
        <v>6154000</v>
      </c>
      <c r="AH13" s="82">
        <v>5681000</v>
      </c>
      <c r="AI13" s="81">
        <v>7063000</v>
      </c>
      <c r="AJ13" s="82">
        <v>6590000</v>
      </c>
      <c r="AK13" s="81">
        <v>6258000</v>
      </c>
      <c r="AL13" s="82">
        <v>5785000</v>
      </c>
      <c r="AM13" s="81">
        <v>7609000</v>
      </c>
      <c r="AN13" s="82">
        <v>7136000</v>
      </c>
      <c r="AO13" s="81">
        <v>7562000</v>
      </c>
      <c r="AP13" s="82">
        <v>7089000</v>
      </c>
      <c r="AQ13" s="81">
        <v>6467000</v>
      </c>
      <c r="AR13" s="82">
        <v>5994000</v>
      </c>
      <c r="AS13" s="81">
        <v>6728000</v>
      </c>
      <c r="AT13" s="82">
        <v>6255000</v>
      </c>
      <c r="AU13" s="81">
        <v>8230000</v>
      </c>
      <c r="AV13" s="82">
        <v>7757000</v>
      </c>
      <c r="AW13" s="81">
        <v>8516000</v>
      </c>
      <c r="AX13" s="82">
        <v>8043000</v>
      </c>
      <c r="AY13" s="81">
        <v>6901000</v>
      </c>
      <c r="AZ13" s="82">
        <v>6428000</v>
      </c>
      <c r="BA13" s="81">
        <v>6708000</v>
      </c>
      <c r="BB13" s="82">
        <v>6235000</v>
      </c>
      <c r="BC13" s="81">
        <v>6708000</v>
      </c>
      <c r="BD13" s="82">
        <v>6235000</v>
      </c>
      <c r="BE13" s="81">
        <v>8278000</v>
      </c>
      <c r="BF13" s="82">
        <v>7805000</v>
      </c>
      <c r="BG13" s="81">
        <v>8764000</v>
      </c>
      <c r="BH13" s="82">
        <v>8291000</v>
      </c>
      <c r="BI13" s="100">
        <v>2</v>
      </c>
      <c r="BJ13" s="81">
        <v>8360000</v>
      </c>
      <c r="BK13" s="82">
        <v>7887000</v>
      </c>
      <c r="BL13" s="81">
        <v>9269000</v>
      </c>
      <c r="BM13" s="82">
        <v>8796000</v>
      </c>
      <c r="BN13" s="81">
        <v>8465000</v>
      </c>
      <c r="BO13" s="82">
        <v>7992000</v>
      </c>
      <c r="BP13" s="81">
        <v>9816000</v>
      </c>
      <c r="BQ13" s="82">
        <v>9343000</v>
      </c>
      <c r="BR13" s="81">
        <v>9768000</v>
      </c>
      <c r="BS13" s="82">
        <v>9295000</v>
      </c>
      <c r="BT13" s="81">
        <v>8674000</v>
      </c>
      <c r="BU13" s="82">
        <v>8201000</v>
      </c>
      <c r="BV13" s="81">
        <v>8935000</v>
      </c>
      <c r="BW13" s="82">
        <v>8462000</v>
      </c>
      <c r="BX13" s="81">
        <v>10437000</v>
      </c>
      <c r="BY13" s="82">
        <v>9964000</v>
      </c>
      <c r="BZ13" s="81">
        <v>10723000</v>
      </c>
      <c r="CA13" s="82">
        <v>10250000</v>
      </c>
      <c r="CB13" s="81">
        <v>9107000</v>
      </c>
      <c r="CC13" s="82">
        <v>8634000</v>
      </c>
      <c r="CD13" s="81">
        <v>8914000</v>
      </c>
      <c r="CE13" s="82">
        <v>8441000</v>
      </c>
      <c r="CF13" s="81">
        <v>8914000</v>
      </c>
      <c r="CG13" s="82">
        <v>8441000</v>
      </c>
      <c r="CH13" s="81">
        <v>10485000</v>
      </c>
      <c r="CI13" s="82">
        <v>10012000</v>
      </c>
      <c r="CJ13" s="81">
        <v>10970000</v>
      </c>
      <c r="CK13" s="82">
        <v>10497000</v>
      </c>
      <c r="CL13" s="100">
        <v>2</v>
      </c>
      <c r="CM13" s="81">
        <v>15615000</v>
      </c>
      <c r="CN13" s="82">
        <v>15142000</v>
      </c>
      <c r="CO13" s="81">
        <v>16524000</v>
      </c>
      <c r="CP13" s="82">
        <v>16051000</v>
      </c>
      <c r="CQ13" s="81">
        <v>15720000</v>
      </c>
      <c r="CR13" s="82">
        <v>15247000</v>
      </c>
      <c r="CS13" s="81">
        <v>17071000</v>
      </c>
      <c r="CT13" s="82">
        <v>16598000</v>
      </c>
      <c r="CU13" s="81">
        <v>17023000</v>
      </c>
      <c r="CV13" s="82">
        <v>16550000</v>
      </c>
      <c r="CW13" s="81">
        <v>15929000</v>
      </c>
      <c r="CX13" s="82">
        <v>15456000</v>
      </c>
      <c r="CY13" s="81">
        <v>16190000</v>
      </c>
      <c r="CZ13" s="82">
        <v>15717000</v>
      </c>
      <c r="DA13" s="81">
        <v>17692000</v>
      </c>
      <c r="DB13" s="82">
        <v>17219000</v>
      </c>
      <c r="DC13" s="81">
        <v>17978000</v>
      </c>
      <c r="DD13" s="82">
        <v>17505000</v>
      </c>
      <c r="DE13" s="81">
        <v>16362000</v>
      </c>
      <c r="DF13" s="82">
        <v>15889000</v>
      </c>
      <c r="DG13" s="81">
        <v>16169000</v>
      </c>
      <c r="DH13" s="82">
        <v>15696000</v>
      </c>
      <c r="DI13" s="81">
        <v>16169000</v>
      </c>
      <c r="DJ13" s="82">
        <v>15696000</v>
      </c>
      <c r="DK13" s="81">
        <v>17739000</v>
      </c>
      <c r="DL13" s="82">
        <v>17266000</v>
      </c>
      <c r="DM13" s="81">
        <v>18225000</v>
      </c>
      <c r="DN13" s="82">
        <v>17752000</v>
      </c>
    </row>
    <row r="14" spans="1:118" ht="15.75" customHeight="1" x14ac:dyDescent="0.25">
      <c r="A14" s="83">
        <v>8</v>
      </c>
      <c r="B14" s="84" t="s">
        <v>476</v>
      </c>
      <c r="C14" s="100">
        <v>4</v>
      </c>
      <c r="D14" s="81">
        <v>6631000</v>
      </c>
      <c r="E14" s="82">
        <v>6144000</v>
      </c>
      <c r="F14" s="81">
        <v>7577000</v>
      </c>
      <c r="G14" s="82">
        <v>7090000</v>
      </c>
      <c r="H14" s="81">
        <v>6739000</v>
      </c>
      <c r="I14" s="82">
        <v>6252000</v>
      </c>
      <c r="J14" s="81">
        <v>8147000</v>
      </c>
      <c r="K14" s="82">
        <v>7660000</v>
      </c>
      <c r="L14" s="81">
        <v>8097000</v>
      </c>
      <c r="M14" s="82">
        <v>7610000</v>
      </c>
      <c r="N14" s="81">
        <v>6957000</v>
      </c>
      <c r="O14" s="82">
        <v>6470000</v>
      </c>
      <c r="P14" s="81">
        <v>7229000</v>
      </c>
      <c r="Q14" s="82">
        <v>6742000</v>
      </c>
      <c r="R14" s="81">
        <v>8794000</v>
      </c>
      <c r="S14" s="82">
        <v>8307000</v>
      </c>
      <c r="T14" s="81">
        <v>9091000</v>
      </c>
      <c r="U14" s="82">
        <v>8604000</v>
      </c>
      <c r="V14" s="81">
        <v>7409000</v>
      </c>
      <c r="W14" s="82">
        <v>6922000</v>
      </c>
      <c r="X14" s="81">
        <v>7207000</v>
      </c>
      <c r="Y14" s="82">
        <v>6720000</v>
      </c>
      <c r="Z14" s="81">
        <v>7207000</v>
      </c>
      <c r="AA14" s="82">
        <v>6720000</v>
      </c>
      <c r="AB14" s="81">
        <v>8843000</v>
      </c>
      <c r="AC14" s="82">
        <v>8356000</v>
      </c>
      <c r="AD14" s="81">
        <v>9349000</v>
      </c>
      <c r="AE14" s="82">
        <v>8862000</v>
      </c>
      <c r="AF14" s="100">
        <v>4</v>
      </c>
      <c r="AG14" s="81">
        <v>6275000</v>
      </c>
      <c r="AH14" s="82">
        <v>5788000</v>
      </c>
      <c r="AI14" s="81">
        <v>7222000</v>
      </c>
      <c r="AJ14" s="82">
        <v>6735000</v>
      </c>
      <c r="AK14" s="81">
        <v>6384000</v>
      </c>
      <c r="AL14" s="82">
        <v>5897000</v>
      </c>
      <c r="AM14" s="81">
        <v>7791000</v>
      </c>
      <c r="AN14" s="82">
        <v>7304000</v>
      </c>
      <c r="AO14" s="81">
        <v>7742000</v>
      </c>
      <c r="AP14" s="82">
        <v>7255000</v>
      </c>
      <c r="AQ14" s="81">
        <v>6602000</v>
      </c>
      <c r="AR14" s="82">
        <v>6115000</v>
      </c>
      <c r="AS14" s="81">
        <v>6874000</v>
      </c>
      <c r="AT14" s="82">
        <v>6387000</v>
      </c>
      <c r="AU14" s="81">
        <v>8439000</v>
      </c>
      <c r="AV14" s="82">
        <v>7952000</v>
      </c>
      <c r="AW14" s="81">
        <v>8736000</v>
      </c>
      <c r="AX14" s="82">
        <v>8249000</v>
      </c>
      <c r="AY14" s="81">
        <v>7054000</v>
      </c>
      <c r="AZ14" s="82">
        <v>6567000</v>
      </c>
      <c r="BA14" s="81">
        <v>6852000</v>
      </c>
      <c r="BB14" s="82">
        <v>6365000</v>
      </c>
      <c r="BC14" s="81">
        <v>6852000</v>
      </c>
      <c r="BD14" s="82">
        <v>6365000</v>
      </c>
      <c r="BE14" s="81">
        <v>8488000</v>
      </c>
      <c r="BF14" s="82">
        <v>8001000</v>
      </c>
      <c r="BG14" s="81">
        <v>8994000</v>
      </c>
      <c r="BH14" s="82">
        <v>8507000</v>
      </c>
      <c r="BI14" s="100">
        <v>2</v>
      </c>
      <c r="BJ14" s="81">
        <v>8483000</v>
      </c>
      <c r="BK14" s="82">
        <v>7996000</v>
      </c>
      <c r="BL14" s="81">
        <v>9430000</v>
      </c>
      <c r="BM14" s="82">
        <v>8943000</v>
      </c>
      <c r="BN14" s="81">
        <v>8592000</v>
      </c>
      <c r="BO14" s="82">
        <v>8105000</v>
      </c>
      <c r="BP14" s="81">
        <v>9999000</v>
      </c>
      <c r="BQ14" s="82">
        <v>9512000</v>
      </c>
      <c r="BR14" s="81">
        <v>9950000</v>
      </c>
      <c r="BS14" s="82">
        <v>9463000</v>
      </c>
      <c r="BT14" s="81">
        <v>8810000</v>
      </c>
      <c r="BU14" s="82">
        <v>8323000</v>
      </c>
      <c r="BV14" s="81">
        <v>9082000</v>
      </c>
      <c r="BW14" s="82">
        <v>8595000</v>
      </c>
      <c r="BX14" s="81">
        <v>10647000</v>
      </c>
      <c r="BY14" s="82">
        <v>10160000</v>
      </c>
      <c r="BZ14" s="81">
        <v>10944000</v>
      </c>
      <c r="CA14" s="82">
        <v>10457000</v>
      </c>
      <c r="CB14" s="81">
        <v>9262000</v>
      </c>
      <c r="CC14" s="82">
        <v>8775000</v>
      </c>
      <c r="CD14" s="81">
        <v>9060000</v>
      </c>
      <c r="CE14" s="82">
        <v>8573000</v>
      </c>
      <c r="CF14" s="81">
        <v>9060000</v>
      </c>
      <c r="CG14" s="82">
        <v>8573000</v>
      </c>
      <c r="CH14" s="81">
        <v>10696000</v>
      </c>
      <c r="CI14" s="82">
        <v>10209000</v>
      </c>
      <c r="CJ14" s="81">
        <v>11202000</v>
      </c>
      <c r="CK14" s="82">
        <v>10715000</v>
      </c>
      <c r="CL14" s="100">
        <v>2</v>
      </c>
      <c r="CM14" s="81">
        <v>15792000</v>
      </c>
      <c r="CN14" s="82">
        <v>15305000</v>
      </c>
      <c r="CO14" s="81">
        <v>16739000</v>
      </c>
      <c r="CP14" s="82">
        <v>16252000</v>
      </c>
      <c r="CQ14" s="81">
        <v>15901000</v>
      </c>
      <c r="CR14" s="82">
        <v>15414000</v>
      </c>
      <c r="CS14" s="81">
        <v>17308000</v>
      </c>
      <c r="CT14" s="82">
        <v>16821000</v>
      </c>
      <c r="CU14" s="81">
        <v>17258000</v>
      </c>
      <c r="CV14" s="82">
        <v>16771000</v>
      </c>
      <c r="CW14" s="81">
        <v>16118000</v>
      </c>
      <c r="CX14" s="82">
        <v>15631000</v>
      </c>
      <c r="CY14" s="81">
        <v>16391000</v>
      </c>
      <c r="CZ14" s="82">
        <v>15904000</v>
      </c>
      <c r="DA14" s="81">
        <v>17955000</v>
      </c>
      <c r="DB14" s="82">
        <v>17468000</v>
      </c>
      <c r="DC14" s="81">
        <v>18253000</v>
      </c>
      <c r="DD14" s="82">
        <v>17766000</v>
      </c>
      <c r="DE14" s="81">
        <v>16570000</v>
      </c>
      <c r="DF14" s="82">
        <v>16083000</v>
      </c>
      <c r="DG14" s="81">
        <v>16369000</v>
      </c>
      <c r="DH14" s="82">
        <v>15882000</v>
      </c>
      <c r="DI14" s="81">
        <v>16369000</v>
      </c>
      <c r="DJ14" s="82">
        <v>15882000</v>
      </c>
      <c r="DK14" s="81">
        <v>18005000</v>
      </c>
      <c r="DL14" s="82">
        <v>17518000</v>
      </c>
      <c r="DM14" s="81">
        <v>18511000</v>
      </c>
      <c r="DN14" s="82">
        <v>18024000</v>
      </c>
    </row>
    <row r="15" spans="1:118" ht="15.75" customHeight="1" x14ac:dyDescent="0.25">
      <c r="A15" s="83">
        <v>9</v>
      </c>
      <c r="B15" s="84" t="s">
        <v>477</v>
      </c>
      <c r="C15" s="100">
        <v>4</v>
      </c>
      <c r="D15" s="81">
        <v>6949000</v>
      </c>
      <c r="E15" s="82">
        <v>6427000</v>
      </c>
      <c r="F15" s="81">
        <v>7991000</v>
      </c>
      <c r="G15" s="82">
        <v>7469000</v>
      </c>
      <c r="H15" s="81">
        <v>7069000</v>
      </c>
      <c r="I15" s="82">
        <v>6547000</v>
      </c>
      <c r="J15" s="81">
        <v>8617000</v>
      </c>
      <c r="K15" s="82">
        <v>8095000</v>
      </c>
      <c r="L15" s="81">
        <v>8562000</v>
      </c>
      <c r="M15" s="82">
        <v>8040000</v>
      </c>
      <c r="N15" s="81">
        <v>7308000</v>
      </c>
      <c r="O15" s="82">
        <v>6786000</v>
      </c>
      <c r="P15" s="81">
        <v>7607000</v>
      </c>
      <c r="Q15" s="82">
        <v>7085000</v>
      </c>
      <c r="R15" s="81">
        <v>9329000</v>
      </c>
      <c r="S15" s="82">
        <v>8807000</v>
      </c>
      <c r="T15" s="81">
        <v>9656000</v>
      </c>
      <c r="U15" s="82">
        <v>9134000</v>
      </c>
      <c r="V15" s="81">
        <v>7805000</v>
      </c>
      <c r="W15" s="82">
        <v>7283000</v>
      </c>
      <c r="X15" s="81">
        <v>7583000</v>
      </c>
      <c r="Y15" s="82">
        <v>7061000</v>
      </c>
      <c r="Z15" s="81">
        <v>7583000</v>
      </c>
      <c r="AA15" s="82">
        <v>7061000</v>
      </c>
      <c r="AB15" s="81">
        <v>9383000</v>
      </c>
      <c r="AC15" s="82">
        <v>8861000</v>
      </c>
      <c r="AD15" s="81">
        <v>9940000</v>
      </c>
      <c r="AE15" s="82">
        <v>9418000</v>
      </c>
      <c r="AF15" s="100">
        <v>4</v>
      </c>
      <c r="AG15" s="81">
        <v>6578000</v>
      </c>
      <c r="AH15" s="82">
        <v>6056000</v>
      </c>
      <c r="AI15" s="81">
        <v>7620000</v>
      </c>
      <c r="AJ15" s="82">
        <v>7098000</v>
      </c>
      <c r="AK15" s="81">
        <v>6698000</v>
      </c>
      <c r="AL15" s="82">
        <v>6176000</v>
      </c>
      <c r="AM15" s="81">
        <v>8246000</v>
      </c>
      <c r="AN15" s="82">
        <v>7724000</v>
      </c>
      <c r="AO15" s="81">
        <v>8191000</v>
      </c>
      <c r="AP15" s="82">
        <v>7669000</v>
      </c>
      <c r="AQ15" s="81">
        <v>6937000</v>
      </c>
      <c r="AR15" s="82">
        <v>6415000</v>
      </c>
      <c r="AS15" s="81">
        <v>7237000</v>
      </c>
      <c r="AT15" s="82">
        <v>6715000</v>
      </c>
      <c r="AU15" s="81">
        <v>8958000</v>
      </c>
      <c r="AV15" s="82">
        <v>8436000</v>
      </c>
      <c r="AW15" s="81">
        <v>9285000</v>
      </c>
      <c r="AX15" s="82">
        <v>8763000</v>
      </c>
      <c r="AY15" s="81">
        <v>7434000</v>
      </c>
      <c r="AZ15" s="82">
        <v>6912000</v>
      </c>
      <c r="BA15" s="81">
        <v>7213000</v>
      </c>
      <c r="BB15" s="82">
        <v>6691000</v>
      </c>
      <c r="BC15" s="81">
        <v>7213000</v>
      </c>
      <c r="BD15" s="82">
        <v>6691000</v>
      </c>
      <c r="BE15" s="81">
        <v>9012000</v>
      </c>
      <c r="BF15" s="82">
        <v>8490000</v>
      </c>
      <c r="BG15" s="81">
        <v>9569000</v>
      </c>
      <c r="BH15" s="82">
        <v>9047000</v>
      </c>
      <c r="BI15" s="100">
        <v>2</v>
      </c>
      <c r="BJ15" s="81">
        <v>8789000</v>
      </c>
      <c r="BK15" s="82">
        <v>8267000</v>
      </c>
      <c r="BL15" s="81">
        <v>9831000</v>
      </c>
      <c r="BM15" s="82">
        <v>9309000</v>
      </c>
      <c r="BN15" s="81">
        <v>8909000</v>
      </c>
      <c r="BO15" s="82">
        <v>8387000</v>
      </c>
      <c r="BP15" s="81">
        <v>10457000</v>
      </c>
      <c r="BQ15" s="82">
        <v>9935000</v>
      </c>
      <c r="BR15" s="81">
        <v>10403000</v>
      </c>
      <c r="BS15" s="82">
        <v>9881000</v>
      </c>
      <c r="BT15" s="81">
        <v>9148000</v>
      </c>
      <c r="BU15" s="82">
        <v>8626000</v>
      </c>
      <c r="BV15" s="81">
        <v>9448000</v>
      </c>
      <c r="BW15" s="82">
        <v>8926000</v>
      </c>
      <c r="BX15" s="81">
        <v>11169000</v>
      </c>
      <c r="BY15" s="82">
        <v>10647000</v>
      </c>
      <c r="BZ15" s="81">
        <v>11496000</v>
      </c>
      <c r="CA15" s="82">
        <v>10974000</v>
      </c>
      <c r="CB15" s="81">
        <v>9645000</v>
      </c>
      <c r="CC15" s="82">
        <v>9123000</v>
      </c>
      <c r="CD15" s="81">
        <v>9424000</v>
      </c>
      <c r="CE15" s="82">
        <v>8902000</v>
      </c>
      <c r="CF15" s="81">
        <v>9424000</v>
      </c>
      <c r="CG15" s="82">
        <v>8902000</v>
      </c>
      <c r="CH15" s="81">
        <v>11223000</v>
      </c>
      <c r="CI15" s="82">
        <v>10701000</v>
      </c>
      <c r="CJ15" s="81">
        <v>11780000</v>
      </c>
      <c r="CK15" s="82">
        <v>11258000</v>
      </c>
      <c r="CL15" s="100">
        <v>2</v>
      </c>
      <c r="CM15" s="81">
        <v>16232000</v>
      </c>
      <c r="CN15" s="82">
        <v>15710000</v>
      </c>
      <c r="CO15" s="81">
        <v>17273000</v>
      </c>
      <c r="CP15" s="82">
        <v>16751000</v>
      </c>
      <c r="CQ15" s="81">
        <v>16352000</v>
      </c>
      <c r="CR15" s="82">
        <v>15830000</v>
      </c>
      <c r="CS15" s="81">
        <v>17899000</v>
      </c>
      <c r="CT15" s="82">
        <v>17377000</v>
      </c>
      <c r="CU15" s="81">
        <v>17845000</v>
      </c>
      <c r="CV15" s="82">
        <v>17323000</v>
      </c>
      <c r="CW15" s="81">
        <v>16591000</v>
      </c>
      <c r="CX15" s="82">
        <v>16069000</v>
      </c>
      <c r="CY15" s="81">
        <v>16890000</v>
      </c>
      <c r="CZ15" s="82">
        <v>16368000</v>
      </c>
      <c r="DA15" s="81">
        <v>18611000</v>
      </c>
      <c r="DB15" s="82">
        <v>18089000</v>
      </c>
      <c r="DC15" s="81">
        <v>18939000</v>
      </c>
      <c r="DD15" s="82">
        <v>18417000</v>
      </c>
      <c r="DE15" s="81">
        <v>17088000</v>
      </c>
      <c r="DF15" s="82">
        <v>16566000</v>
      </c>
      <c r="DG15" s="81">
        <v>16866000</v>
      </c>
      <c r="DH15" s="82">
        <v>16344000</v>
      </c>
      <c r="DI15" s="81">
        <v>16866000</v>
      </c>
      <c r="DJ15" s="82">
        <v>16344000</v>
      </c>
      <c r="DK15" s="81">
        <v>18666000</v>
      </c>
      <c r="DL15" s="82">
        <v>18144000</v>
      </c>
      <c r="DM15" s="81">
        <v>19222000</v>
      </c>
      <c r="DN15" s="82">
        <v>18700000</v>
      </c>
    </row>
    <row r="16" spans="1:118" ht="15.75" customHeight="1" x14ac:dyDescent="0.25">
      <c r="A16" s="83">
        <v>10</v>
      </c>
      <c r="B16" s="84" t="s">
        <v>478</v>
      </c>
      <c r="C16" s="100">
        <v>4</v>
      </c>
      <c r="D16" s="81">
        <v>7268000</v>
      </c>
      <c r="E16" s="82">
        <v>6710000</v>
      </c>
      <c r="F16" s="81">
        <v>8405000</v>
      </c>
      <c r="G16" s="82">
        <v>7847000</v>
      </c>
      <c r="H16" s="81">
        <v>7399000</v>
      </c>
      <c r="I16" s="82">
        <v>6841000</v>
      </c>
      <c r="J16" s="81">
        <v>9087000</v>
      </c>
      <c r="K16" s="82">
        <v>8529000</v>
      </c>
      <c r="L16" s="81">
        <v>9028000</v>
      </c>
      <c r="M16" s="82">
        <v>8470000</v>
      </c>
      <c r="N16" s="81">
        <v>7660000</v>
      </c>
      <c r="O16" s="82">
        <v>7102000</v>
      </c>
      <c r="P16" s="81">
        <v>7987000</v>
      </c>
      <c r="Q16" s="82">
        <v>7429000</v>
      </c>
      <c r="R16" s="81">
        <v>9864000</v>
      </c>
      <c r="S16" s="82">
        <v>9306000</v>
      </c>
      <c r="T16" s="81">
        <v>10221000</v>
      </c>
      <c r="U16" s="82">
        <v>9663000</v>
      </c>
      <c r="V16" s="81">
        <v>8202000</v>
      </c>
      <c r="W16" s="82">
        <v>7644000</v>
      </c>
      <c r="X16" s="81">
        <v>7961000</v>
      </c>
      <c r="Y16" s="82">
        <v>7403000</v>
      </c>
      <c r="Z16" s="81">
        <v>7961000</v>
      </c>
      <c r="AA16" s="82">
        <v>7403000</v>
      </c>
      <c r="AB16" s="81">
        <v>9923000</v>
      </c>
      <c r="AC16" s="82">
        <v>9365000</v>
      </c>
      <c r="AD16" s="81">
        <v>10531000</v>
      </c>
      <c r="AE16" s="82">
        <v>9973000</v>
      </c>
      <c r="AF16" s="100">
        <v>4</v>
      </c>
      <c r="AG16" s="81">
        <v>6882000</v>
      </c>
      <c r="AH16" s="82">
        <v>6324000</v>
      </c>
      <c r="AI16" s="81">
        <v>8018000</v>
      </c>
      <c r="AJ16" s="82">
        <v>7460000</v>
      </c>
      <c r="AK16" s="81">
        <v>7012000</v>
      </c>
      <c r="AL16" s="82">
        <v>6454000</v>
      </c>
      <c r="AM16" s="81">
        <v>8701000</v>
      </c>
      <c r="AN16" s="82">
        <v>8143000</v>
      </c>
      <c r="AO16" s="81">
        <v>8642000</v>
      </c>
      <c r="AP16" s="82">
        <v>8084000</v>
      </c>
      <c r="AQ16" s="81">
        <v>7274000</v>
      </c>
      <c r="AR16" s="82">
        <v>6716000</v>
      </c>
      <c r="AS16" s="81">
        <v>7600000</v>
      </c>
      <c r="AT16" s="82">
        <v>7042000</v>
      </c>
      <c r="AU16" s="81">
        <v>9478000</v>
      </c>
      <c r="AV16" s="82">
        <v>8920000</v>
      </c>
      <c r="AW16" s="81">
        <v>9835000</v>
      </c>
      <c r="AX16" s="82">
        <v>9277000</v>
      </c>
      <c r="AY16" s="81">
        <v>7816000</v>
      </c>
      <c r="AZ16" s="82">
        <v>7258000</v>
      </c>
      <c r="BA16" s="81">
        <v>7574000</v>
      </c>
      <c r="BB16" s="82">
        <v>7016000</v>
      </c>
      <c r="BC16" s="81">
        <v>7574000</v>
      </c>
      <c r="BD16" s="82">
        <v>7016000</v>
      </c>
      <c r="BE16" s="81">
        <v>9537000</v>
      </c>
      <c r="BF16" s="82">
        <v>8979000</v>
      </c>
      <c r="BG16" s="81">
        <v>10144000</v>
      </c>
      <c r="BH16" s="82">
        <v>9586000</v>
      </c>
      <c r="BI16" s="100">
        <v>2</v>
      </c>
      <c r="BJ16" s="81">
        <v>9096000</v>
      </c>
      <c r="BK16" s="82">
        <v>8538000</v>
      </c>
      <c r="BL16" s="81">
        <v>10232000</v>
      </c>
      <c r="BM16" s="82">
        <v>9674000</v>
      </c>
      <c r="BN16" s="81">
        <v>9227000</v>
      </c>
      <c r="BO16" s="82">
        <v>8669000</v>
      </c>
      <c r="BP16" s="81">
        <v>10915000</v>
      </c>
      <c r="BQ16" s="82">
        <v>10357000</v>
      </c>
      <c r="BR16" s="81">
        <v>10856000</v>
      </c>
      <c r="BS16" s="82">
        <v>10298000</v>
      </c>
      <c r="BT16" s="81">
        <v>9488000</v>
      </c>
      <c r="BU16" s="82">
        <v>8930000</v>
      </c>
      <c r="BV16" s="81">
        <v>9814000</v>
      </c>
      <c r="BW16" s="82">
        <v>9256000</v>
      </c>
      <c r="BX16" s="81">
        <v>11692000</v>
      </c>
      <c r="BY16" s="82">
        <v>11134000</v>
      </c>
      <c r="BZ16" s="81">
        <v>12049000</v>
      </c>
      <c r="CA16" s="82">
        <v>11491000</v>
      </c>
      <c r="CB16" s="81">
        <v>10030000</v>
      </c>
      <c r="CC16" s="82">
        <v>9472000</v>
      </c>
      <c r="CD16" s="81">
        <v>9788000</v>
      </c>
      <c r="CE16" s="82">
        <v>9230000</v>
      </c>
      <c r="CF16" s="81">
        <v>9788000</v>
      </c>
      <c r="CG16" s="82">
        <v>9230000</v>
      </c>
      <c r="CH16" s="81">
        <v>11751000</v>
      </c>
      <c r="CI16" s="82">
        <v>11193000</v>
      </c>
      <c r="CJ16" s="81">
        <v>12359000</v>
      </c>
      <c r="CK16" s="82">
        <v>11801000</v>
      </c>
      <c r="CL16" s="100">
        <v>2</v>
      </c>
      <c r="CM16" s="81">
        <v>16673000</v>
      </c>
      <c r="CN16" s="82">
        <v>16115000</v>
      </c>
      <c r="CO16" s="81">
        <v>17809000</v>
      </c>
      <c r="CP16" s="82">
        <v>17251000</v>
      </c>
      <c r="CQ16" s="81">
        <v>16803000</v>
      </c>
      <c r="CR16" s="82">
        <v>16245000</v>
      </c>
      <c r="CS16" s="81">
        <v>18492000</v>
      </c>
      <c r="CT16" s="82">
        <v>17934000</v>
      </c>
      <c r="CU16" s="81">
        <v>18433000</v>
      </c>
      <c r="CV16" s="82">
        <v>17875000</v>
      </c>
      <c r="CW16" s="81">
        <v>17065000</v>
      </c>
      <c r="CX16" s="82">
        <v>16507000</v>
      </c>
      <c r="CY16" s="81">
        <v>17391000</v>
      </c>
      <c r="CZ16" s="82">
        <v>16833000</v>
      </c>
      <c r="DA16" s="81">
        <v>19269000</v>
      </c>
      <c r="DB16" s="82">
        <v>18711000</v>
      </c>
      <c r="DC16" s="81">
        <v>19626000</v>
      </c>
      <c r="DD16" s="82">
        <v>19068000</v>
      </c>
      <c r="DE16" s="81">
        <v>17607000</v>
      </c>
      <c r="DF16" s="82">
        <v>17049000</v>
      </c>
      <c r="DG16" s="81">
        <v>17365000</v>
      </c>
      <c r="DH16" s="82">
        <v>16807000</v>
      </c>
      <c r="DI16" s="81">
        <v>17365000</v>
      </c>
      <c r="DJ16" s="82">
        <v>16807000</v>
      </c>
      <c r="DK16" s="81">
        <v>19328000</v>
      </c>
      <c r="DL16" s="82">
        <v>18770000</v>
      </c>
      <c r="DM16" s="81">
        <v>19935000</v>
      </c>
      <c r="DN16" s="82">
        <v>19377000</v>
      </c>
    </row>
    <row r="17" spans="1:118" ht="15.75" customHeight="1" x14ac:dyDescent="0.3">
      <c r="A17" s="74"/>
      <c r="B17" s="85" t="s">
        <v>427</v>
      </c>
      <c r="C17" s="99"/>
      <c r="D17" s="94"/>
      <c r="E17" s="60"/>
      <c r="F17" s="94"/>
      <c r="G17" s="60"/>
      <c r="H17" s="94"/>
      <c r="I17" s="60"/>
      <c r="J17" s="94"/>
      <c r="K17" s="60"/>
      <c r="L17" s="94"/>
      <c r="M17" s="60"/>
      <c r="N17" s="94"/>
      <c r="O17" s="60"/>
      <c r="P17" s="94"/>
      <c r="Q17" s="60"/>
      <c r="R17" s="94"/>
      <c r="S17" s="60"/>
      <c r="T17" s="94"/>
      <c r="U17" s="60"/>
      <c r="V17" s="94"/>
      <c r="W17" s="60"/>
      <c r="X17" s="94"/>
      <c r="Y17" s="60"/>
      <c r="Z17" s="94"/>
      <c r="AA17" s="60"/>
      <c r="AB17" s="94"/>
      <c r="AC17" s="60"/>
      <c r="AD17" s="94"/>
      <c r="AE17" s="60"/>
      <c r="AF17" s="99"/>
      <c r="AG17" s="94"/>
      <c r="AH17" s="60"/>
      <c r="AI17" s="94"/>
      <c r="AJ17" s="60"/>
      <c r="AK17" s="94"/>
      <c r="AL17" s="60"/>
      <c r="AM17" s="94"/>
      <c r="AN17" s="60"/>
      <c r="AO17" s="94"/>
      <c r="AP17" s="60"/>
      <c r="AQ17" s="94"/>
      <c r="AR17" s="60"/>
      <c r="AS17" s="94"/>
      <c r="AT17" s="60"/>
      <c r="AU17" s="94"/>
      <c r="AV17" s="60"/>
      <c r="AW17" s="94"/>
      <c r="AX17" s="60"/>
      <c r="AY17" s="94"/>
      <c r="AZ17" s="60"/>
      <c r="BA17" s="94"/>
      <c r="BB17" s="60"/>
      <c r="BC17" s="94"/>
      <c r="BD17" s="60"/>
      <c r="BE17" s="94"/>
      <c r="BF17" s="60"/>
      <c r="BG17" s="94"/>
      <c r="BH17" s="60"/>
      <c r="BI17" s="99"/>
      <c r="BJ17" s="94"/>
      <c r="BK17" s="60"/>
      <c r="BL17" s="94"/>
      <c r="BM17" s="60"/>
      <c r="BN17" s="94"/>
      <c r="BO17" s="60"/>
      <c r="BP17" s="94"/>
      <c r="BQ17" s="60"/>
      <c r="BR17" s="94"/>
      <c r="BS17" s="60"/>
      <c r="BT17" s="94"/>
      <c r="BU17" s="60"/>
      <c r="BV17" s="94"/>
      <c r="BW17" s="60"/>
      <c r="BX17" s="94"/>
      <c r="BY17" s="60"/>
      <c r="BZ17" s="94"/>
      <c r="CA17" s="60"/>
      <c r="CB17" s="94"/>
      <c r="CC17" s="60"/>
      <c r="CD17" s="94"/>
      <c r="CE17" s="60"/>
      <c r="CF17" s="94"/>
      <c r="CG17" s="60"/>
      <c r="CH17" s="94"/>
      <c r="CI17" s="60"/>
      <c r="CJ17" s="94"/>
      <c r="CK17" s="60"/>
      <c r="CL17" s="99"/>
      <c r="CM17" s="94"/>
      <c r="CN17" s="60"/>
      <c r="CO17" s="94"/>
      <c r="CP17" s="60"/>
      <c r="CQ17" s="94"/>
      <c r="CR17" s="60"/>
      <c r="CS17" s="94"/>
      <c r="CT17" s="60"/>
      <c r="CU17" s="94"/>
      <c r="CV17" s="60"/>
      <c r="CW17" s="94"/>
      <c r="CX17" s="60"/>
      <c r="CY17" s="94"/>
      <c r="CZ17" s="60"/>
      <c r="DA17" s="94"/>
      <c r="DB17" s="60"/>
      <c r="DC17" s="94"/>
      <c r="DD17" s="60"/>
      <c r="DE17" s="94"/>
      <c r="DF17" s="60"/>
      <c r="DG17" s="94"/>
      <c r="DH17" s="60"/>
      <c r="DI17" s="94"/>
      <c r="DJ17" s="60"/>
      <c r="DK17" s="94"/>
      <c r="DL17" s="60"/>
      <c r="DM17" s="94"/>
      <c r="DN17" s="60"/>
    </row>
    <row r="18" spans="1:118" ht="15.75" customHeight="1" x14ac:dyDescent="0.25">
      <c r="A18" s="79">
        <v>1</v>
      </c>
      <c r="B18" s="80" t="s">
        <v>479</v>
      </c>
      <c r="C18" s="100">
        <v>2</v>
      </c>
      <c r="D18" s="81">
        <v>3942000</v>
      </c>
      <c r="E18" s="82">
        <v>3567000</v>
      </c>
      <c r="F18" s="81">
        <v>4416000</v>
      </c>
      <c r="G18" s="82">
        <v>4041000</v>
      </c>
      <c r="H18" s="81">
        <v>3997000</v>
      </c>
      <c r="I18" s="82">
        <v>3622000</v>
      </c>
      <c r="J18" s="81">
        <v>4700000</v>
      </c>
      <c r="K18" s="82">
        <v>4325000</v>
      </c>
      <c r="L18" s="81">
        <v>4676000</v>
      </c>
      <c r="M18" s="82">
        <v>4301000</v>
      </c>
      <c r="N18" s="81">
        <v>4106000</v>
      </c>
      <c r="O18" s="82">
        <v>3731000</v>
      </c>
      <c r="P18" s="81">
        <v>4242000</v>
      </c>
      <c r="Q18" s="82">
        <v>3867000</v>
      </c>
      <c r="R18" s="81">
        <v>5024000</v>
      </c>
      <c r="S18" s="82">
        <v>4649000</v>
      </c>
      <c r="T18" s="81">
        <v>5173000</v>
      </c>
      <c r="U18" s="82">
        <v>4798000</v>
      </c>
      <c r="V18" s="81">
        <v>4332000</v>
      </c>
      <c r="W18" s="82">
        <v>3957000</v>
      </c>
      <c r="X18" s="81">
        <v>4231000</v>
      </c>
      <c r="Y18" s="82">
        <v>3856000</v>
      </c>
      <c r="Z18" s="81">
        <v>4231000</v>
      </c>
      <c r="AA18" s="82">
        <v>3856000</v>
      </c>
      <c r="AB18" s="81">
        <v>5049000</v>
      </c>
      <c r="AC18" s="82">
        <v>4674000</v>
      </c>
      <c r="AD18" s="81">
        <v>5302000</v>
      </c>
      <c r="AE18" s="82">
        <v>4927000</v>
      </c>
      <c r="AF18" s="100">
        <v>2</v>
      </c>
      <c r="AG18" s="81">
        <v>3756000</v>
      </c>
      <c r="AH18" s="82">
        <v>3381000</v>
      </c>
      <c r="AI18" s="81">
        <v>4229000</v>
      </c>
      <c r="AJ18" s="82">
        <v>3854000</v>
      </c>
      <c r="AK18" s="81">
        <v>3810000</v>
      </c>
      <c r="AL18" s="82">
        <v>3435000</v>
      </c>
      <c r="AM18" s="81">
        <v>4514000</v>
      </c>
      <c r="AN18" s="82">
        <v>4139000</v>
      </c>
      <c r="AO18" s="81">
        <v>4489000</v>
      </c>
      <c r="AP18" s="82">
        <v>4114000</v>
      </c>
      <c r="AQ18" s="81">
        <v>3919000</v>
      </c>
      <c r="AR18" s="82">
        <v>3544000</v>
      </c>
      <c r="AS18" s="81">
        <v>4055000</v>
      </c>
      <c r="AT18" s="82">
        <v>3680000</v>
      </c>
      <c r="AU18" s="81">
        <v>4837000</v>
      </c>
      <c r="AV18" s="82">
        <v>4462000</v>
      </c>
      <c r="AW18" s="81">
        <v>4986000</v>
      </c>
      <c r="AX18" s="82">
        <v>4611000</v>
      </c>
      <c r="AY18" s="81">
        <v>4145000</v>
      </c>
      <c r="AZ18" s="82">
        <v>3770000</v>
      </c>
      <c r="BA18" s="81">
        <v>4044000</v>
      </c>
      <c r="BB18" s="82">
        <v>3669000</v>
      </c>
      <c r="BC18" s="81">
        <v>4044000</v>
      </c>
      <c r="BD18" s="82">
        <v>3669000</v>
      </c>
      <c r="BE18" s="81">
        <v>4862000</v>
      </c>
      <c r="BF18" s="82">
        <v>4487000</v>
      </c>
      <c r="BG18" s="81">
        <v>5115000</v>
      </c>
      <c r="BH18" s="82">
        <v>4740000</v>
      </c>
      <c r="BI18" s="100">
        <v>1</v>
      </c>
      <c r="BJ18" s="81">
        <v>4860000</v>
      </c>
      <c r="BK18" s="82">
        <v>4485000</v>
      </c>
      <c r="BL18" s="81">
        <v>5334000</v>
      </c>
      <c r="BM18" s="82">
        <v>4959000</v>
      </c>
      <c r="BN18" s="81">
        <v>4915000</v>
      </c>
      <c r="BO18" s="82">
        <v>4540000</v>
      </c>
      <c r="BP18" s="81">
        <v>5618000</v>
      </c>
      <c r="BQ18" s="82">
        <v>5243000</v>
      </c>
      <c r="BR18" s="81">
        <v>5594000</v>
      </c>
      <c r="BS18" s="82">
        <v>5219000</v>
      </c>
      <c r="BT18" s="81">
        <v>5024000</v>
      </c>
      <c r="BU18" s="82">
        <v>4649000</v>
      </c>
      <c r="BV18" s="81">
        <v>5160000</v>
      </c>
      <c r="BW18" s="82">
        <v>4785000</v>
      </c>
      <c r="BX18" s="81">
        <v>5942000</v>
      </c>
      <c r="BY18" s="82">
        <v>5567000</v>
      </c>
      <c r="BZ18" s="81">
        <v>6091000</v>
      </c>
      <c r="CA18" s="82">
        <v>5716000</v>
      </c>
      <c r="CB18" s="81">
        <v>5249000</v>
      </c>
      <c r="CC18" s="82">
        <v>4874000</v>
      </c>
      <c r="CD18" s="81">
        <v>5149000</v>
      </c>
      <c r="CE18" s="82">
        <v>4774000</v>
      </c>
      <c r="CF18" s="81">
        <v>5149000</v>
      </c>
      <c r="CG18" s="82">
        <v>4774000</v>
      </c>
      <c r="CH18" s="81">
        <v>5967000</v>
      </c>
      <c r="CI18" s="82">
        <v>5592000</v>
      </c>
      <c r="CJ18" s="81">
        <v>6220000</v>
      </c>
      <c r="CK18" s="82">
        <v>5845000</v>
      </c>
      <c r="CL18" s="100">
        <v>1</v>
      </c>
      <c r="CM18" s="81">
        <v>8562000</v>
      </c>
      <c r="CN18" s="82">
        <v>8187000</v>
      </c>
      <c r="CO18" s="81">
        <v>9035000</v>
      </c>
      <c r="CP18" s="82">
        <v>8660000</v>
      </c>
      <c r="CQ18" s="81">
        <v>8616000</v>
      </c>
      <c r="CR18" s="82">
        <v>8241000</v>
      </c>
      <c r="CS18" s="81">
        <v>9320000</v>
      </c>
      <c r="CT18" s="82">
        <v>8945000</v>
      </c>
      <c r="CU18" s="81">
        <v>9295000</v>
      </c>
      <c r="CV18" s="82">
        <v>8920000</v>
      </c>
      <c r="CW18" s="81">
        <v>8725000</v>
      </c>
      <c r="CX18" s="82">
        <v>8350000</v>
      </c>
      <c r="CY18" s="81">
        <v>8861000</v>
      </c>
      <c r="CZ18" s="82">
        <v>8486000</v>
      </c>
      <c r="DA18" s="81">
        <v>9643000</v>
      </c>
      <c r="DB18" s="82">
        <v>9268000</v>
      </c>
      <c r="DC18" s="81">
        <v>9792000</v>
      </c>
      <c r="DD18" s="82">
        <v>9417000</v>
      </c>
      <c r="DE18" s="81">
        <v>8951000</v>
      </c>
      <c r="DF18" s="82">
        <v>8576000</v>
      </c>
      <c r="DG18" s="81">
        <v>8850000</v>
      </c>
      <c r="DH18" s="82">
        <v>8475000</v>
      </c>
      <c r="DI18" s="81">
        <v>8850000</v>
      </c>
      <c r="DJ18" s="82">
        <v>8475000</v>
      </c>
      <c r="DK18" s="81">
        <v>9668000</v>
      </c>
      <c r="DL18" s="82">
        <v>9293000</v>
      </c>
      <c r="DM18" s="81">
        <v>9921000</v>
      </c>
      <c r="DN18" s="82">
        <v>9546000</v>
      </c>
    </row>
    <row r="19" spans="1:118" ht="15.75" customHeight="1" x14ac:dyDescent="0.25">
      <c r="A19" s="83">
        <v>2</v>
      </c>
      <c r="B19" s="84" t="s">
        <v>480</v>
      </c>
      <c r="C19" s="100">
        <v>2</v>
      </c>
      <c r="D19" s="81">
        <v>4268000</v>
      </c>
      <c r="E19" s="82">
        <v>3851000</v>
      </c>
      <c r="F19" s="81">
        <v>4837000</v>
      </c>
      <c r="G19" s="82">
        <v>4420000</v>
      </c>
      <c r="H19" s="81">
        <v>4334000</v>
      </c>
      <c r="I19" s="82">
        <v>3917000</v>
      </c>
      <c r="J19" s="81">
        <v>5178000</v>
      </c>
      <c r="K19" s="82">
        <v>4761000</v>
      </c>
      <c r="L19" s="81">
        <v>5148000</v>
      </c>
      <c r="M19" s="82">
        <v>4731000</v>
      </c>
      <c r="N19" s="81">
        <v>4464000</v>
      </c>
      <c r="O19" s="82">
        <v>4047000</v>
      </c>
      <c r="P19" s="81">
        <v>4628000</v>
      </c>
      <c r="Q19" s="82">
        <v>4211000</v>
      </c>
      <c r="R19" s="81">
        <v>5566000</v>
      </c>
      <c r="S19" s="82">
        <v>5149000</v>
      </c>
      <c r="T19" s="81">
        <v>5745000</v>
      </c>
      <c r="U19" s="82">
        <v>5328000</v>
      </c>
      <c r="V19" s="81">
        <v>4735000</v>
      </c>
      <c r="W19" s="82">
        <v>4318000</v>
      </c>
      <c r="X19" s="81">
        <v>4615000</v>
      </c>
      <c r="Y19" s="82">
        <v>4198000</v>
      </c>
      <c r="Z19" s="81">
        <v>4615000</v>
      </c>
      <c r="AA19" s="82">
        <v>4198000</v>
      </c>
      <c r="AB19" s="81">
        <v>5596000</v>
      </c>
      <c r="AC19" s="82">
        <v>5179000</v>
      </c>
      <c r="AD19" s="81">
        <v>5900000</v>
      </c>
      <c r="AE19" s="82">
        <v>5483000</v>
      </c>
      <c r="AF19" s="100">
        <v>2</v>
      </c>
      <c r="AG19" s="81">
        <v>4069000</v>
      </c>
      <c r="AH19" s="82">
        <v>3652000</v>
      </c>
      <c r="AI19" s="81">
        <v>4637000</v>
      </c>
      <c r="AJ19" s="82">
        <v>4220000</v>
      </c>
      <c r="AK19" s="81">
        <v>4134000</v>
      </c>
      <c r="AL19" s="82">
        <v>3717000</v>
      </c>
      <c r="AM19" s="81">
        <v>4979000</v>
      </c>
      <c r="AN19" s="82">
        <v>4562000</v>
      </c>
      <c r="AO19" s="81">
        <v>4949000</v>
      </c>
      <c r="AP19" s="82">
        <v>4532000</v>
      </c>
      <c r="AQ19" s="81">
        <v>4265000</v>
      </c>
      <c r="AR19" s="82">
        <v>3848000</v>
      </c>
      <c r="AS19" s="81">
        <v>4428000</v>
      </c>
      <c r="AT19" s="82">
        <v>4011000</v>
      </c>
      <c r="AU19" s="81">
        <v>5367000</v>
      </c>
      <c r="AV19" s="82">
        <v>4950000</v>
      </c>
      <c r="AW19" s="81">
        <v>5546000</v>
      </c>
      <c r="AX19" s="82">
        <v>5129000</v>
      </c>
      <c r="AY19" s="81">
        <v>4536000</v>
      </c>
      <c r="AZ19" s="82">
        <v>4119000</v>
      </c>
      <c r="BA19" s="81">
        <v>4415000</v>
      </c>
      <c r="BB19" s="82">
        <v>3998000</v>
      </c>
      <c r="BC19" s="81">
        <v>4415000</v>
      </c>
      <c r="BD19" s="82">
        <v>3998000</v>
      </c>
      <c r="BE19" s="81">
        <v>5397000</v>
      </c>
      <c r="BF19" s="82">
        <v>4980000</v>
      </c>
      <c r="BG19" s="81">
        <v>5700000</v>
      </c>
      <c r="BH19" s="82">
        <v>5283000</v>
      </c>
      <c r="BI19" s="100">
        <v>1</v>
      </c>
      <c r="BJ19" s="81">
        <v>5176000</v>
      </c>
      <c r="BK19" s="82">
        <v>4759000</v>
      </c>
      <c r="BL19" s="81">
        <v>5744000</v>
      </c>
      <c r="BM19" s="82">
        <v>5327000</v>
      </c>
      <c r="BN19" s="81">
        <v>5242000</v>
      </c>
      <c r="BO19" s="82">
        <v>4825000</v>
      </c>
      <c r="BP19" s="81">
        <v>6086000</v>
      </c>
      <c r="BQ19" s="82">
        <v>5669000</v>
      </c>
      <c r="BR19" s="81">
        <v>6056000</v>
      </c>
      <c r="BS19" s="82">
        <v>5639000</v>
      </c>
      <c r="BT19" s="81">
        <v>5372000</v>
      </c>
      <c r="BU19" s="82">
        <v>4955000</v>
      </c>
      <c r="BV19" s="81">
        <v>5535000</v>
      </c>
      <c r="BW19" s="82">
        <v>5118000</v>
      </c>
      <c r="BX19" s="81">
        <v>6474000</v>
      </c>
      <c r="BY19" s="82">
        <v>6057000</v>
      </c>
      <c r="BZ19" s="81">
        <v>6653000</v>
      </c>
      <c r="CA19" s="82">
        <v>6236000</v>
      </c>
      <c r="CB19" s="81">
        <v>5643000</v>
      </c>
      <c r="CC19" s="82">
        <v>5226000</v>
      </c>
      <c r="CD19" s="81">
        <v>5522000</v>
      </c>
      <c r="CE19" s="82">
        <v>5105000</v>
      </c>
      <c r="CF19" s="81">
        <v>5522000</v>
      </c>
      <c r="CG19" s="82">
        <v>5105000</v>
      </c>
      <c r="CH19" s="81">
        <v>6504000</v>
      </c>
      <c r="CI19" s="82">
        <v>6087000</v>
      </c>
      <c r="CJ19" s="81">
        <v>6808000</v>
      </c>
      <c r="CK19" s="82">
        <v>6391000</v>
      </c>
      <c r="CL19" s="100">
        <v>1</v>
      </c>
      <c r="CM19" s="81">
        <v>8985000</v>
      </c>
      <c r="CN19" s="82">
        <v>8568000</v>
      </c>
      <c r="CO19" s="81">
        <v>9553000</v>
      </c>
      <c r="CP19" s="82">
        <v>9136000</v>
      </c>
      <c r="CQ19" s="81">
        <v>9050000</v>
      </c>
      <c r="CR19" s="82">
        <v>8633000</v>
      </c>
      <c r="CS19" s="81">
        <v>9895000</v>
      </c>
      <c r="CT19" s="82">
        <v>9478000</v>
      </c>
      <c r="CU19" s="81">
        <v>9865000</v>
      </c>
      <c r="CV19" s="82">
        <v>9448000</v>
      </c>
      <c r="CW19" s="81">
        <v>9181000</v>
      </c>
      <c r="CX19" s="82">
        <v>8764000</v>
      </c>
      <c r="CY19" s="81">
        <v>9344000</v>
      </c>
      <c r="CZ19" s="82">
        <v>8927000</v>
      </c>
      <c r="DA19" s="81">
        <v>10283000</v>
      </c>
      <c r="DB19" s="82">
        <v>9866000</v>
      </c>
      <c r="DC19" s="81">
        <v>10462000</v>
      </c>
      <c r="DD19" s="82">
        <v>10045000</v>
      </c>
      <c r="DE19" s="81">
        <v>9452000</v>
      </c>
      <c r="DF19" s="82">
        <v>9035000</v>
      </c>
      <c r="DG19" s="81">
        <v>9331000</v>
      </c>
      <c r="DH19" s="82">
        <v>8914000</v>
      </c>
      <c r="DI19" s="81">
        <v>9331000</v>
      </c>
      <c r="DJ19" s="82">
        <v>8914000</v>
      </c>
      <c r="DK19" s="81">
        <v>10313000</v>
      </c>
      <c r="DL19" s="82">
        <v>9896000</v>
      </c>
      <c r="DM19" s="81">
        <v>10616000</v>
      </c>
      <c r="DN19" s="82">
        <v>10199000</v>
      </c>
    </row>
    <row r="20" spans="1:118" ht="15.75" customHeight="1" x14ac:dyDescent="0.25">
      <c r="A20" s="83">
        <v>3</v>
      </c>
      <c r="B20" s="84" t="s">
        <v>481</v>
      </c>
      <c r="C20" s="100">
        <v>2</v>
      </c>
      <c r="D20" s="81">
        <v>4351000</v>
      </c>
      <c r="E20" s="82">
        <v>3922000</v>
      </c>
      <c r="F20" s="81">
        <v>4943000</v>
      </c>
      <c r="G20" s="82">
        <v>4514000</v>
      </c>
      <c r="H20" s="81">
        <v>4419000</v>
      </c>
      <c r="I20" s="82">
        <v>3990000</v>
      </c>
      <c r="J20" s="81">
        <v>5298000</v>
      </c>
      <c r="K20" s="82">
        <v>4869000</v>
      </c>
      <c r="L20" s="81">
        <v>5267000</v>
      </c>
      <c r="M20" s="82">
        <v>4838000</v>
      </c>
      <c r="N20" s="81">
        <v>4555000</v>
      </c>
      <c r="O20" s="82">
        <v>4126000</v>
      </c>
      <c r="P20" s="81">
        <v>4725000</v>
      </c>
      <c r="Q20" s="82">
        <v>4296000</v>
      </c>
      <c r="R20" s="81">
        <v>5703000</v>
      </c>
      <c r="S20" s="82">
        <v>5274000</v>
      </c>
      <c r="T20" s="81">
        <v>5889000</v>
      </c>
      <c r="U20" s="82">
        <v>5460000</v>
      </c>
      <c r="V20" s="81">
        <v>4837000</v>
      </c>
      <c r="W20" s="82">
        <v>4408000</v>
      </c>
      <c r="X20" s="81">
        <v>4711000</v>
      </c>
      <c r="Y20" s="82">
        <v>4282000</v>
      </c>
      <c r="Z20" s="81">
        <v>4711000</v>
      </c>
      <c r="AA20" s="82">
        <v>4282000</v>
      </c>
      <c r="AB20" s="81">
        <v>5734000</v>
      </c>
      <c r="AC20" s="82">
        <v>5305000</v>
      </c>
      <c r="AD20" s="81">
        <v>6050000</v>
      </c>
      <c r="AE20" s="82">
        <v>5621000</v>
      </c>
      <c r="AF20" s="100">
        <v>2</v>
      </c>
      <c r="AG20" s="81">
        <v>4148000</v>
      </c>
      <c r="AH20" s="82">
        <v>3719000</v>
      </c>
      <c r="AI20" s="81">
        <v>4740000</v>
      </c>
      <c r="AJ20" s="82">
        <v>4311000</v>
      </c>
      <c r="AK20" s="81">
        <v>4217000</v>
      </c>
      <c r="AL20" s="82">
        <v>3788000</v>
      </c>
      <c r="AM20" s="81">
        <v>5096000</v>
      </c>
      <c r="AN20" s="82">
        <v>4667000</v>
      </c>
      <c r="AO20" s="81">
        <v>5065000</v>
      </c>
      <c r="AP20" s="82">
        <v>4636000</v>
      </c>
      <c r="AQ20" s="81">
        <v>4353000</v>
      </c>
      <c r="AR20" s="82">
        <v>3924000</v>
      </c>
      <c r="AS20" s="81">
        <v>4523000</v>
      </c>
      <c r="AT20" s="82">
        <v>4094000</v>
      </c>
      <c r="AU20" s="81">
        <v>5501000</v>
      </c>
      <c r="AV20" s="82">
        <v>5072000</v>
      </c>
      <c r="AW20" s="81">
        <v>5687000</v>
      </c>
      <c r="AX20" s="82">
        <v>5258000</v>
      </c>
      <c r="AY20" s="81">
        <v>4635000</v>
      </c>
      <c r="AZ20" s="82">
        <v>4206000</v>
      </c>
      <c r="BA20" s="81">
        <v>4509000</v>
      </c>
      <c r="BB20" s="82">
        <v>4080000</v>
      </c>
      <c r="BC20" s="81">
        <v>4509000</v>
      </c>
      <c r="BD20" s="82">
        <v>4080000</v>
      </c>
      <c r="BE20" s="81">
        <v>5531000</v>
      </c>
      <c r="BF20" s="82">
        <v>5102000</v>
      </c>
      <c r="BG20" s="81">
        <v>5848000</v>
      </c>
      <c r="BH20" s="82">
        <v>5419000</v>
      </c>
      <c r="BI20" s="100">
        <v>1</v>
      </c>
      <c r="BJ20" s="81">
        <v>5256000</v>
      </c>
      <c r="BK20" s="82">
        <v>4827000</v>
      </c>
      <c r="BL20" s="81">
        <v>5848000</v>
      </c>
      <c r="BM20" s="82">
        <v>5419000</v>
      </c>
      <c r="BN20" s="81">
        <v>5324000</v>
      </c>
      <c r="BO20" s="82">
        <v>4895000</v>
      </c>
      <c r="BP20" s="81">
        <v>6204000</v>
      </c>
      <c r="BQ20" s="82">
        <v>5775000</v>
      </c>
      <c r="BR20" s="81">
        <v>6173000</v>
      </c>
      <c r="BS20" s="82">
        <v>5744000</v>
      </c>
      <c r="BT20" s="81">
        <v>5460000</v>
      </c>
      <c r="BU20" s="82">
        <v>5031000</v>
      </c>
      <c r="BV20" s="81">
        <v>5630000</v>
      </c>
      <c r="BW20" s="82">
        <v>5201000</v>
      </c>
      <c r="BX20" s="81">
        <v>6608000</v>
      </c>
      <c r="BY20" s="82">
        <v>6179000</v>
      </c>
      <c r="BZ20" s="81">
        <v>6794000</v>
      </c>
      <c r="CA20" s="82">
        <v>6365000</v>
      </c>
      <c r="CB20" s="81">
        <v>5743000</v>
      </c>
      <c r="CC20" s="82">
        <v>5314000</v>
      </c>
      <c r="CD20" s="81">
        <v>5617000</v>
      </c>
      <c r="CE20" s="82">
        <v>5188000</v>
      </c>
      <c r="CF20" s="81">
        <v>5617000</v>
      </c>
      <c r="CG20" s="82">
        <v>5188000</v>
      </c>
      <c r="CH20" s="81">
        <v>6639000</v>
      </c>
      <c r="CI20" s="82">
        <v>6210000</v>
      </c>
      <c r="CJ20" s="81">
        <v>6956000</v>
      </c>
      <c r="CK20" s="82">
        <v>6527000</v>
      </c>
      <c r="CL20" s="100">
        <v>1</v>
      </c>
      <c r="CM20" s="81">
        <v>9092000</v>
      </c>
      <c r="CN20" s="82">
        <v>8663000</v>
      </c>
      <c r="CO20" s="81">
        <v>9684000</v>
      </c>
      <c r="CP20" s="82">
        <v>9255000</v>
      </c>
      <c r="CQ20" s="81">
        <v>9160000</v>
      </c>
      <c r="CR20" s="82">
        <v>8731000</v>
      </c>
      <c r="CS20" s="81">
        <v>10039000</v>
      </c>
      <c r="CT20" s="82">
        <v>9610000</v>
      </c>
      <c r="CU20" s="81">
        <v>10008000</v>
      </c>
      <c r="CV20" s="82">
        <v>9579000</v>
      </c>
      <c r="CW20" s="81">
        <v>9296000</v>
      </c>
      <c r="CX20" s="82">
        <v>8867000</v>
      </c>
      <c r="CY20" s="81">
        <v>9466000</v>
      </c>
      <c r="CZ20" s="82">
        <v>9037000</v>
      </c>
      <c r="DA20" s="81">
        <v>10444000</v>
      </c>
      <c r="DB20" s="82">
        <v>10015000</v>
      </c>
      <c r="DC20" s="81">
        <v>10630000</v>
      </c>
      <c r="DD20" s="82">
        <v>10201000</v>
      </c>
      <c r="DE20" s="81">
        <v>9578000</v>
      </c>
      <c r="DF20" s="82">
        <v>9149000</v>
      </c>
      <c r="DG20" s="81">
        <v>9452000</v>
      </c>
      <c r="DH20" s="82">
        <v>9023000</v>
      </c>
      <c r="DI20" s="81">
        <v>9452000</v>
      </c>
      <c r="DJ20" s="82">
        <v>9023000</v>
      </c>
      <c r="DK20" s="81">
        <v>10475000</v>
      </c>
      <c r="DL20" s="82">
        <v>10046000</v>
      </c>
      <c r="DM20" s="81">
        <v>10791000</v>
      </c>
      <c r="DN20" s="82">
        <v>10362000</v>
      </c>
    </row>
    <row r="21" spans="1:118" ht="15.75" customHeight="1" x14ac:dyDescent="0.25">
      <c r="A21" s="83">
        <v>4</v>
      </c>
      <c r="B21" s="84" t="s">
        <v>482</v>
      </c>
      <c r="C21" s="100">
        <v>2</v>
      </c>
      <c r="D21" s="81">
        <v>4554000</v>
      </c>
      <c r="E21" s="82">
        <v>4099000</v>
      </c>
      <c r="F21" s="81">
        <v>5205000</v>
      </c>
      <c r="G21" s="82">
        <v>4750000</v>
      </c>
      <c r="H21" s="81">
        <v>4629000</v>
      </c>
      <c r="I21" s="82">
        <v>4174000</v>
      </c>
      <c r="J21" s="81">
        <v>5596000</v>
      </c>
      <c r="K21" s="82">
        <v>5141000</v>
      </c>
      <c r="L21" s="81">
        <v>5562000</v>
      </c>
      <c r="M21" s="82">
        <v>5107000</v>
      </c>
      <c r="N21" s="81">
        <v>4779000</v>
      </c>
      <c r="O21" s="82">
        <v>4324000</v>
      </c>
      <c r="P21" s="81">
        <v>4966000</v>
      </c>
      <c r="Q21" s="82">
        <v>4511000</v>
      </c>
      <c r="R21" s="81">
        <v>6041000</v>
      </c>
      <c r="S21" s="82">
        <v>5586000</v>
      </c>
      <c r="T21" s="81">
        <v>6246000</v>
      </c>
      <c r="U21" s="82">
        <v>5791000</v>
      </c>
      <c r="V21" s="81">
        <v>5089000</v>
      </c>
      <c r="W21" s="82">
        <v>4634000</v>
      </c>
      <c r="X21" s="81">
        <v>4951000</v>
      </c>
      <c r="Y21" s="82">
        <v>4496000</v>
      </c>
      <c r="Z21" s="81">
        <v>4951000</v>
      </c>
      <c r="AA21" s="82">
        <v>4496000</v>
      </c>
      <c r="AB21" s="81">
        <v>6075000</v>
      </c>
      <c r="AC21" s="82">
        <v>5620000</v>
      </c>
      <c r="AD21" s="81">
        <v>6423000</v>
      </c>
      <c r="AE21" s="82">
        <v>5968000</v>
      </c>
      <c r="AF21" s="100">
        <v>2</v>
      </c>
      <c r="AG21" s="81">
        <v>4344000</v>
      </c>
      <c r="AH21" s="82">
        <v>3889000</v>
      </c>
      <c r="AI21" s="81">
        <v>4995000</v>
      </c>
      <c r="AJ21" s="82">
        <v>4540000</v>
      </c>
      <c r="AK21" s="81">
        <v>4419000</v>
      </c>
      <c r="AL21" s="82">
        <v>3964000</v>
      </c>
      <c r="AM21" s="81">
        <v>5386000</v>
      </c>
      <c r="AN21" s="82">
        <v>4931000</v>
      </c>
      <c r="AO21" s="81">
        <v>5352000</v>
      </c>
      <c r="AP21" s="82">
        <v>4897000</v>
      </c>
      <c r="AQ21" s="81">
        <v>4568000</v>
      </c>
      <c r="AR21" s="82">
        <v>4113000</v>
      </c>
      <c r="AS21" s="81">
        <v>4755000</v>
      </c>
      <c r="AT21" s="82">
        <v>4300000</v>
      </c>
      <c r="AU21" s="81">
        <v>5831000</v>
      </c>
      <c r="AV21" s="82">
        <v>5376000</v>
      </c>
      <c r="AW21" s="81">
        <v>6036000</v>
      </c>
      <c r="AX21" s="82">
        <v>5581000</v>
      </c>
      <c r="AY21" s="81">
        <v>4879000</v>
      </c>
      <c r="AZ21" s="82">
        <v>4424000</v>
      </c>
      <c r="BA21" s="81">
        <v>4740000</v>
      </c>
      <c r="BB21" s="82">
        <v>4285000</v>
      </c>
      <c r="BC21" s="81">
        <v>4740000</v>
      </c>
      <c r="BD21" s="82">
        <v>4285000</v>
      </c>
      <c r="BE21" s="81">
        <v>5865000</v>
      </c>
      <c r="BF21" s="82">
        <v>5410000</v>
      </c>
      <c r="BG21" s="81">
        <v>6213000</v>
      </c>
      <c r="BH21" s="82">
        <v>5758000</v>
      </c>
      <c r="BI21" s="100">
        <v>1</v>
      </c>
      <c r="BJ21" s="81">
        <v>5453000</v>
      </c>
      <c r="BK21" s="82">
        <v>4998000</v>
      </c>
      <c r="BL21" s="81">
        <v>6104000</v>
      </c>
      <c r="BM21" s="82">
        <v>5649000</v>
      </c>
      <c r="BN21" s="81">
        <v>5528000</v>
      </c>
      <c r="BO21" s="82">
        <v>5073000</v>
      </c>
      <c r="BP21" s="81">
        <v>6496000</v>
      </c>
      <c r="BQ21" s="82">
        <v>6041000</v>
      </c>
      <c r="BR21" s="81">
        <v>6462000</v>
      </c>
      <c r="BS21" s="82">
        <v>6007000</v>
      </c>
      <c r="BT21" s="81">
        <v>5678000</v>
      </c>
      <c r="BU21" s="82">
        <v>5223000</v>
      </c>
      <c r="BV21" s="81">
        <v>5865000</v>
      </c>
      <c r="BW21" s="82">
        <v>5410000</v>
      </c>
      <c r="BX21" s="81">
        <v>6941000</v>
      </c>
      <c r="BY21" s="82">
        <v>6486000</v>
      </c>
      <c r="BZ21" s="81">
        <v>7145000</v>
      </c>
      <c r="CA21" s="82">
        <v>6690000</v>
      </c>
      <c r="CB21" s="81">
        <v>5988000</v>
      </c>
      <c r="CC21" s="82">
        <v>5533000</v>
      </c>
      <c r="CD21" s="81">
        <v>5850000</v>
      </c>
      <c r="CE21" s="82">
        <v>5395000</v>
      </c>
      <c r="CF21" s="81">
        <v>5850000</v>
      </c>
      <c r="CG21" s="82">
        <v>5395000</v>
      </c>
      <c r="CH21" s="81">
        <v>6974000</v>
      </c>
      <c r="CI21" s="82">
        <v>6519000</v>
      </c>
      <c r="CJ21" s="81">
        <v>7322000</v>
      </c>
      <c r="CK21" s="82">
        <v>6867000</v>
      </c>
      <c r="CL21" s="100">
        <v>1</v>
      </c>
      <c r="CM21" s="81">
        <v>9356000</v>
      </c>
      <c r="CN21" s="82">
        <v>8901000</v>
      </c>
      <c r="CO21" s="81">
        <v>10007000</v>
      </c>
      <c r="CP21" s="82">
        <v>9552000</v>
      </c>
      <c r="CQ21" s="81">
        <v>9431000</v>
      </c>
      <c r="CR21" s="82">
        <v>8976000</v>
      </c>
      <c r="CS21" s="81">
        <v>10398000</v>
      </c>
      <c r="CT21" s="82">
        <v>9943000</v>
      </c>
      <c r="CU21" s="81">
        <v>10364000</v>
      </c>
      <c r="CV21" s="82">
        <v>9909000</v>
      </c>
      <c r="CW21" s="81">
        <v>9580000</v>
      </c>
      <c r="CX21" s="82">
        <v>9125000</v>
      </c>
      <c r="CY21" s="81">
        <v>9767000</v>
      </c>
      <c r="CZ21" s="82">
        <v>9312000</v>
      </c>
      <c r="DA21" s="81">
        <v>10843000</v>
      </c>
      <c r="DB21" s="82">
        <v>10388000</v>
      </c>
      <c r="DC21" s="81">
        <v>11048000</v>
      </c>
      <c r="DD21" s="82">
        <v>10593000</v>
      </c>
      <c r="DE21" s="81">
        <v>9891000</v>
      </c>
      <c r="DF21" s="82">
        <v>9436000</v>
      </c>
      <c r="DG21" s="81">
        <v>9752000</v>
      </c>
      <c r="DH21" s="82">
        <v>9297000</v>
      </c>
      <c r="DI21" s="81">
        <v>9752000</v>
      </c>
      <c r="DJ21" s="82">
        <v>9297000</v>
      </c>
      <c r="DK21" s="81">
        <v>10877000</v>
      </c>
      <c r="DL21" s="82">
        <v>10422000</v>
      </c>
      <c r="DM21" s="81">
        <v>11225000</v>
      </c>
      <c r="DN21" s="82">
        <v>10770000</v>
      </c>
    </row>
    <row r="22" spans="1:118" ht="15.75" customHeight="1" x14ac:dyDescent="0.25">
      <c r="A22" s="83">
        <v>5</v>
      </c>
      <c r="B22" s="84" t="s">
        <v>483</v>
      </c>
      <c r="C22" s="100">
        <v>2</v>
      </c>
      <c r="D22" s="81">
        <v>4758000</v>
      </c>
      <c r="E22" s="82">
        <v>4276000</v>
      </c>
      <c r="F22" s="81">
        <v>5468000</v>
      </c>
      <c r="G22" s="82">
        <v>4986000</v>
      </c>
      <c r="H22" s="81">
        <v>4840000</v>
      </c>
      <c r="I22" s="82">
        <v>4358000</v>
      </c>
      <c r="J22" s="81">
        <v>5895000</v>
      </c>
      <c r="K22" s="82">
        <v>5413000</v>
      </c>
      <c r="L22" s="81">
        <v>5858000</v>
      </c>
      <c r="M22" s="82">
        <v>5376000</v>
      </c>
      <c r="N22" s="81">
        <v>5003000</v>
      </c>
      <c r="O22" s="82">
        <v>4521000</v>
      </c>
      <c r="P22" s="81">
        <v>5207000</v>
      </c>
      <c r="Q22" s="82">
        <v>4725000</v>
      </c>
      <c r="R22" s="81">
        <v>6381000</v>
      </c>
      <c r="S22" s="82">
        <v>5899000</v>
      </c>
      <c r="T22" s="81">
        <v>6604000</v>
      </c>
      <c r="U22" s="82">
        <v>6122000</v>
      </c>
      <c r="V22" s="81">
        <v>5342000</v>
      </c>
      <c r="W22" s="82">
        <v>4860000</v>
      </c>
      <c r="X22" s="81">
        <v>5191000</v>
      </c>
      <c r="Y22" s="82">
        <v>4709000</v>
      </c>
      <c r="Z22" s="81">
        <v>5191000</v>
      </c>
      <c r="AA22" s="82">
        <v>4709000</v>
      </c>
      <c r="AB22" s="81">
        <v>6418000</v>
      </c>
      <c r="AC22" s="82">
        <v>5936000</v>
      </c>
      <c r="AD22" s="81">
        <v>6797000</v>
      </c>
      <c r="AE22" s="82">
        <v>6315000</v>
      </c>
      <c r="AF22" s="100">
        <v>2</v>
      </c>
      <c r="AG22" s="81">
        <v>4540000</v>
      </c>
      <c r="AH22" s="82">
        <v>4058000</v>
      </c>
      <c r="AI22" s="81">
        <v>5250000</v>
      </c>
      <c r="AJ22" s="82">
        <v>4768000</v>
      </c>
      <c r="AK22" s="81">
        <v>4622000</v>
      </c>
      <c r="AL22" s="82">
        <v>4140000</v>
      </c>
      <c r="AM22" s="81">
        <v>5677000</v>
      </c>
      <c r="AN22" s="82">
        <v>5195000</v>
      </c>
      <c r="AO22" s="81">
        <v>5640000</v>
      </c>
      <c r="AP22" s="82">
        <v>5158000</v>
      </c>
      <c r="AQ22" s="81">
        <v>4785000</v>
      </c>
      <c r="AR22" s="82">
        <v>4303000</v>
      </c>
      <c r="AS22" s="81">
        <v>4989000</v>
      </c>
      <c r="AT22" s="82">
        <v>4507000</v>
      </c>
      <c r="AU22" s="81">
        <v>6163000</v>
      </c>
      <c r="AV22" s="82">
        <v>5681000</v>
      </c>
      <c r="AW22" s="81">
        <v>6386000</v>
      </c>
      <c r="AX22" s="82">
        <v>5904000</v>
      </c>
      <c r="AY22" s="81">
        <v>5124000</v>
      </c>
      <c r="AZ22" s="82">
        <v>4642000</v>
      </c>
      <c r="BA22" s="81">
        <v>4973000</v>
      </c>
      <c r="BB22" s="82">
        <v>4491000</v>
      </c>
      <c r="BC22" s="81">
        <v>4973000</v>
      </c>
      <c r="BD22" s="82">
        <v>4491000</v>
      </c>
      <c r="BE22" s="81">
        <v>6200000</v>
      </c>
      <c r="BF22" s="82">
        <v>5718000</v>
      </c>
      <c r="BG22" s="81">
        <v>6579000</v>
      </c>
      <c r="BH22" s="82">
        <v>6097000</v>
      </c>
      <c r="BI22" s="100">
        <v>1</v>
      </c>
      <c r="BJ22" s="81">
        <v>5651000</v>
      </c>
      <c r="BK22" s="82">
        <v>5169000</v>
      </c>
      <c r="BL22" s="81">
        <v>6361000</v>
      </c>
      <c r="BM22" s="82">
        <v>5879000</v>
      </c>
      <c r="BN22" s="81">
        <v>5733000</v>
      </c>
      <c r="BO22" s="82">
        <v>5251000</v>
      </c>
      <c r="BP22" s="81">
        <v>6788000</v>
      </c>
      <c r="BQ22" s="82">
        <v>6306000</v>
      </c>
      <c r="BR22" s="81">
        <v>6751000</v>
      </c>
      <c r="BS22" s="82">
        <v>6269000</v>
      </c>
      <c r="BT22" s="81">
        <v>5896000</v>
      </c>
      <c r="BU22" s="82">
        <v>5414000</v>
      </c>
      <c r="BV22" s="81">
        <v>6100000</v>
      </c>
      <c r="BW22" s="82">
        <v>5618000</v>
      </c>
      <c r="BX22" s="81">
        <v>7274000</v>
      </c>
      <c r="BY22" s="82">
        <v>6792000</v>
      </c>
      <c r="BZ22" s="81">
        <v>7497000</v>
      </c>
      <c r="CA22" s="82">
        <v>7015000</v>
      </c>
      <c r="CB22" s="81">
        <v>6235000</v>
      </c>
      <c r="CC22" s="82">
        <v>5753000</v>
      </c>
      <c r="CD22" s="81">
        <v>6084000</v>
      </c>
      <c r="CE22" s="82">
        <v>5602000</v>
      </c>
      <c r="CF22" s="81">
        <v>6084000</v>
      </c>
      <c r="CG22" s="82">
        <v>5602000</v>
      </c>
      <c r="CH22" s="81">
        <v>7311000</v>
      </c>
      <c r="CI22" s="82">
        <v>6829000</v>
      </c>
      <c r="CJ22" s="81">
        <v>7690000</v>
      </c>
      <c r="CK22" s="82">
        <v>7208000</v>
      </c>
      <c r="CL22" s="100">
        <v>1</v>
      </c>
      <c r="CM22" s="81">
        <v>9621000</v>
      </c>
      <c r="CN22" s="82">
        <v>9139000</v>
      </c>
      <c r="CO22" s="81">
        <v>10331000</v>
      </c>
      <c r="CP22" s="82">
        <v>9849000</v>
      </c>
      <c r="CQ22" s="81">
        <v>9703000</v>
      </c>
      <c r="CR22" s="82">
        <v>9221000</v>
      </c>
      <c r="CS22" s="81">
        <v>10758000</v>
      </c>
      <c r="CT22" s="82">
        <v>10276000</v>
      </c>
      <c r="CU22" s="81">
        <v>10721000</v>
      </c>
      <c r="CV22" s="82">
        <v>10239000</v>
      </c>
      <c r="CW22" s="81">
        <v>9866000</v>
      </c>
      <c r="CX22" s="82">
        <v>9384000</v>
      </c>
      <c r="CY22" s="81">
        <v>10070000</v>
      </c>
      <c r="CZ22" s="82">
        <v>9588000</v>
      </c>
      <c r="DA22" s="81">
        <v>11243000</v>
      </c>
      <c r="DB22" s="82">
        <v>10761000</v>
      </c>
      <c r="DC22" s="81">
        <v>11467000</v>
      </c>
      <c r="DD22" s="82">
        <v>10985000</v>
      </c>
      <c r="DE22" s="81">
        <v>10204000</v>
      </c>
      <c r="DF22" s="82">
        <v>9722000</v>
      </c>
      <c r="DG22" s="81">
        <v>10054000</v>
      </c>
      <c r="DH22" s="82">
        <v>9572000</v>
      </c>
      <c r="DI22" s="81">
        <v>10054000</v>
      </c>
      <c r="DJ22" s="82">
        <v>9572000</v>
      </c>
      <c r="DK22" s="81">
        <v>11280000</v>
      </c>
      <c r="DL22" s="82">
        <v>10798000</v>
      </c>
      <c r="DM22" s="81">
        <v>11660000</v>
      </c>
      <c r="DN22" s="82">
        <v>11178000</v>
      </c>
    </row>
    <row r="23" spans="1:118" ht="15.75" customHeight="1" x14ac:dyDescent="0.25">
      <c r="A23" s="83">
        <v>6</v>
      </c>
      <c r="B23" s="84" t="s">
        <v>484</v>
      </c>
      <c r="C23" s="100">
        <v>4</v>
      </c>
      <c r="D23" s="81">
        <v>7084000</v>
      </c>
      <c r="E23" s="82">
        <v>6496000</v>
      </c>
      <c r="F23" s="81">
        <v>8031000</v>
      </c>
      <c r="G23" s="82">
        <v>7443000</v>
      </c>
      <c r="H23" s="81">
        <v>7193000</v>
      </c>
      <c r="I23" s="82">
        <v>6605000</v>
      </c>
      <c r="J23" s="81">
        <v>8600000</v>
      </c>
      <c r="K23" s="82">
        <v>8012000</v>
      </c>
      <c r="L23" s="81">
        <v>8551000</v>
      </c>
      <c r="M23" s="82">
        <v>7963000</v>
      </c>
      <c r="N23" s="81">
        <v>7411000</v>
      </c>
      <c r="O23" s="82">
        <v>6823000</v>
      </c>
      <c r="P23" s="81">
        <v>7683000</v>
      </c>
      <c r="Q23" s="82">
        <v>7095000</v>
      </c>
      <c r="R23" s="81">
        <v>9248000</v>
      </c>
      <c r="S23" s="82">
        <v>8660000</v>
      </c>
      <c r="T23" s="81">
        <v>9545000</v>
      </c>
      <c r="U23" s="82">
        <v>8957000</v>
      </c>
      <c r="V23" s="81">
        <v>7863000</v>
      </c>
      <c r="W23" s="82">
        <v>7275000</v>
      </c>
      <c r="X23" s="81">
        <v>7661000</v>
      </c>
      <c r="Y23" s="82">
        <v>7073000</v>
      </c>
      <c r="Z23" s="81">
        <v>7661000</v>
      </c>
      <c r="AA23" s="82">
        <v>7073000</v>
      </c>
      <c r="AB23" s="81">
        <v>9297000</v>
      </c>
      <c r="AC23" s="82">
        <v>8709000</v>
      </c>
      <c r="AD23" s="81">
        <v>9803000</v>
      </c>
      <c r="AE23" s="82">
        <v>9215000</v>
      </c>
      <c r="AF23" s="100">
        <v>4</v>
      </c>
      <c r="AG23" s="81">
        <v>6711000</v>
      </c>
      <c r="AH23" s="82">
        <v>6123000</v>
      </c>
      <c r="AI23" s="81">
        <v>7658000</v>
      </c>
      <c r="AJ23" s="82">
        <v>7070000</v>
      </c>
      <c r="AK23" s="81">
        <v>6820000</v>
      </c>
      <c r="AL23" s="82">
        <v>6232000</v>
      </c>
      <c r="AM23" s="81">
        <v>8227000</v>
      </c>
      <c r="AN23" s="82">
        <v>7639000</v>
      </c>
      <c r="AO23" s="81">
        <v>8178000</v>
      </c>
      <c r="AP23" s="82">
        <v>7590000</v>
      </c>
      <c r="AQ23" s="81">
        <v>7037000</v>
      </c>
      <c r="AR23" s="82">
        <v>6449000</v>
      </c>
      <c r="AS23" s="81">
        <v>7310000</v>
      </c>
      <c r="AT23" s="82">
        <v>6722000</v>
      </c>
      <c r="AU23" s="81">
        <v>8874000</v>
      </c>
      <c r="AV23" s="82">
        <v>8286000</v>
      </c>
      <c r="AW23" s="81">
        <v>9172000</v>
      </c>
      <c r="AX23" s="82">
        <v>8584000</v>
      </c>
      <c r="AY23" s="81">
        <v>7489000</v>
      </c>
      <c r="AZ23" s="82">
        <v>6901000</v>
      </c>
      <c r="BA23" s="81">
        <v>7288000</v>
      </c>
      <c r="BB23" s="82">
        <v>6700000</v>
      </c>
      <c r="BC23" s="81">
        <v>7288000</v>
      </c>
      <c r="BD23" s="82">
        <v>6700000</v>
      </c>
      <c r="BE23" s="81">
        <v>8924000</v>
      </c>
      <c r="BF23" s="82">
        <v>8336000</v>
      </c>
      <c r="BG23" s="81">
        <v>9430000</v>
      </c>
      <c r="BH23" s="82">
        <v>8842000</v>
      </c>
      <c r="BI23" s="100">
        <v>2</v>
      </c>
      <c r="BJ23" s="81">
        <v>8920000</v>
      </c>
      <c r="BK23" s="82">
        <v>8332000</v>
      </c>
      <c r="BL23" s="81">
        <v>9867000</v>
      </c>
      <c r="BM23" s="82">
        <v>9279000</v>
      </c>
      <c r="BN23" s="81">
        <v>9029000</v>
      </c>
      <c r="BO23" s="82">
        <v>8441000</v>
      </c>
      <c r="BP23" s="81">
        <v>10436000</v>
      </c>
      <c r="BQ23" s="82">
        <v>9848000</v>
      </c>
      <c r="BR23" s="81">
        <v>10387000</v>
      </c>
      <c r="BS23" s="82">
        <v>9799000</v>
      </c>
      <c r="BT23" s="81">
        <v>9247000</v>
      </c>
      <c r="BU23" s="82">
        <v>8659000</v>
      </c>
      <c r="BV23" s="81">
        <v>9519000</v>
      </c>
      <c r="BW23" s="82">
        <v>8931000</v>
      </c>
      <c r="BX23" s="81">
        <v>11084000</v>
      </c>
      <c r="BY23" s="82">
        <v>10496000</v>
      </c>
      <c r="BZ23" s="81">
        <v>11381000</v>
      </c>
      <c r="CA23" s="82">
        <v>10793000</v>
      </c>
      <c r="CB23" s="81">
        <v>9698000</v>
      </c>
      <c r="CC23" s="82">
        <v>9110000</v>
      </c>
      <c r="CD23" s="81">
        <v>9497000</v>
      </c>
      <c r="CE23" s="82">
        <v>8909000</v>
      </c>
      <c r="CF23" s="81">
        <v>9497000</v>
      </c>
      <c r="CG23" s="82">
        <v>8909000</v>
      </c>
      <c r="CH23" s="81">
        <v>11133000</v>
      </c>
      <c r="CI23" s="82">
        <v>10545000</v>
      </c>
      <c r="CJ23" s="81">
        <v>11639000</v>
      </c>
      <c r="CK23" s="82">
        <v>11051000</v>
      </c>
      <c r="CL23" s="100">
        <v>2</v>
      </c>
      <c r="CM23" s="81">
        <v>16323000</v>
      </c>
      <c r="CN23" s="82">
        <v>15735000</v>
      </c>
      <c r="CO23" s="81">
        <v>17270000</v>
      </c>
      <c r="CP23" s="82">
        <v>16682000</v>
      </c>
      <c r="CQ23" s="81">
        <v>16432000</v>
      </c>
      <c r="CR23" s="82">
        <v>15844000</v>
      </c>
      <c r="CS23" s="81">
        <v>17839000</v>
      </c>
      <c r="CT23" s="82">
        <v>17251000</v>
      </c>
      <c r="CU23" s="81">
        <v>17790000</v>
      </c>
      <c r="CV23" s="82">
        <v>17202000</v>
      </c>
      <c r="CW23" s="81">
        <v>16650000</v>
      </c>
      <c r="CX23" s="82">
        <v>16062000</v>
      </c>
      <c r="CY23" s="81">
        <v>16922000</v>
      </c>
      <c r="CZ23" s="82">
        <v>16334000</v>
      </c>
      <c r="DA23" s="81">
        <v>18486000</v>
      </c>
      <c r="DB23" s="82">
        <v>17898000</v>
      </c>
      <c r="DC23" s="81">
        <v>18784000</v>
      </c>
      <c r="DD23" s="82">
        <v>18196000</v>
      </c>
      <c r="DE23" s="81">
        <v>17101000</v>
      </c>
      <c r="DF23" s="82">
        <v>16513000</v>
      </c>
      <c r="DG23" s="81">
        <v>16900000</v>
      </c>
      <c r="DH23" s="82">
        <v>16312000</v>
      </c>
      <c r="DI23" s="81">
        <v>16900000</v>
      </c>
      <c r="DJ23" s="82">
        <v>16312000</v>
      </c>
      <c r="DK23" s="81">
        <v>18536000</v>
      </c>
      <c r="DL23" s="82">
        <v>17948000</v>
      </c>
      <c r="DM23" s="81">
        <v>19042000</v>
      </c>
      <c r="DN23" s="82">
        <v>18454000</v>
      </c>
    </row>
    <row r="24" spans="1:118" ht="15.75" customHeight="1" x14ac:dyDescent="0.25">
      <c r="A24" s="83">
        <v>7</v>
      </c>
      <c r="B24" s="84" t="s">
        <v>485</v>
      </c>
      <c r="C24" s="100">
        <v>4</v>
      </c>
      <c r="D24" s="81">
        <v>7737000</v>
      </c>
      <c r="E24" s="82">
        <v>7064000</v>
      </c>
      <c r="F24" s="81">
        <v>8874000</v>
      </c>
      <c r="G24" s="82">
        <v>8201000</v>
      </c>
      <c r="H24" s="81">
        <v>7868000</v>
      </c>
      <c r="I24" s="82">
        <v>7195000</v>
      </c>
      <c r="J24" s="81">
        <v>9556000</v>
      </c>
      <c r="K24" s="82">
        <v>8883000</v>
      </c>
      <c r="L24" s="81">
        <v>9497000</v>
      </c>
      <c r="M24" s="82">
        <v>8824000</v>
      </c>
      <c r="N24" s="81">
        <v>8129000</v>
      </c>
      <c r="O24" s="82">
        <v>7456000</v>
      </c>
      <c r="P24" s="81">
        <v>8456000</v>
      </c>
      <c r="Q24" s="82">
        <v>7783000</v>
      </c>
      <c r="R24" s="81">
        <v>10333000</v>
      </c>
      <c r="S24" s="82">
        <v>9660000</v>
      </c>
      <c r="T24" s="81">
        <v>10690000</v>
      </c>
      <c r="U24" s="82">
        <v>10017000</v>
      </c>
      <c r="V24" s="81">
        <v>8671000</v>
      </c>
      <c r="W24" s="82">
        <v>7998000</v>
      </c>
      <c r="X24" s="81">
        <v>8430000</v>
      </c>
      <c r="Y24" s="82">
        <v>7757000</v>
      </c>
      <c r="Z24" s="81">
        <v>8430000</v>
      </c>
      <c r="AA24" s="82">
        <v>7757000</v>
      </c>
      <c r="AB24" s="81">
        <v>10392000</v>
      </c>
      <c r="AC24" s="82">
        <v>9719000</v>
      </c>
      <c r="AD24" s="81">
        <v>11000000</v>
      </c>
      <c r="AE24" s="82">
        <v>10327000</v>
      </c>
      <c r="AF24" s="100">
        <v>4</v>
      </c>
      <c r="AG24" s="81">
        <v>7339000</v>
      </c>
      <c r="AH24" s="82">
        <v>6666000</v>
      </c>
      <c r="AI24" s="81">
        <v>8475000</v>
      </c>
      <c r="AJ24" s="82">
        <v>7802000</v>
      </c>
      <c r="AK24" s="81">
        <v>7469000</v>
      </c>
      <c r="AL24" s="82">
        <v>6796000</v>
      </c>
      <c r="AM24" s="81">
        <v>9158000</v>
      </c>
      <c r="AN24" s="82">
        <v>8485000</v>
      </c>
      <c r="AO24" s="81">
        <v>9099000</v>
      </c>
      <c r="AP24" s="82">
        <v>8426000</v>
      </c>
      <c r="AQ24" s="81">
        <v>7731000</v>
      </c>
      <c r="AR24" s="82">
        <v>7058000</v>
      </c>
      <c r="AS24" s="81">
        <v>8057000</v>
      </c>
      <c r="AT24" s="82">
        <v>7384000</v>
      </c>
      <c r="AU24" s="81">
        <v>9935000</v>
      </c>
      <c r="AV24" s="82">
        <v>9262000</v>
      </c>
      <c r="AW24" s="81">
        <v>10292000</v>
      </c>
      <c r="AX24" s="82">
        <v>9619000</v>
      </c>
      <c r="AY24" s="81">
        <v>8273000</v>
      </c>
      <c r="AZ24" s="82">
        <v>7600000</v>
      </c>
      <c r="BA24" s="81">
        <v>8031000</v>
      </c>
      <c r="BB24" s="82">
        <v>7358000</v>
      </c>
      <c r="BC24" s="81">
        <v>8031000</v>
      </c>
      <c r="BD24" s="82">
        <v>7358000</v>
      </c>
      <c r="BE24" s="81">
        <v>9994000</v>
      </c>
      <c r="BF24" s="82">
        <v>9321000</v>
      </c>
      <c r="BG24" s="81">
        <v>10601000</v>
      </c>
      <c r="BH24" s="82">
        <v>9928000</v>
      </c>
      <c r="BI24" s="100">
        <v>2</v>
      </c>
      <c r="BJ24" s="81">
        <v>9553000</v>
      </c>
      <c r="BK24" s="82">
        <v>8880000</v>
      </c>
      <c r="BL24" s="81">
        <v>10689000</v>
      </c>
      <c r="BM24" s="82">
        <v>10016000</v>
      </c>
      <c r="BN24" s="81">
        <v>9684000</v>
      </c>
      <c r="BO24" s="82">
        <v>9011000</v>
      </c>
      <c r="BP24" s="81">
        <v>11372000</v>
      </c>
      <c r="BQ24" s="82">
        <v>10699000</v>
      </c>
      <c r="BR24" s="81">
        <v>11313000</v>
      </c>
      <c r="BS24" s="82">
        <v>10640000</v>
      </c>
      <c r="BT24" s="81">
        <v>9945000</v>
      </c>
      <c r="BU24" s="82">
        <v>9272000</v>
      </c>
      <c r="BV24" s="81">
        <v>10271000</v>
      </c>
      <c r="BW24" s="82">
        <v>9598000</v>
      </c>
      <c r="BX24" s="81">
        <v>12149000</v>
      </c>
      <c r="BY24" s="82">
        <v>11476000</v>
      </c>
      <c r="BZ24" s="81">
        <v>12506000</v>
      </c>
      <c r="CA24" s="82">
        <v>11833000</v>
      </c>
      <c r="CB24" s="81">
        <v>10487000</v>
      </c>
      <c r="CC24" s="82">
        <v>9814000</v>
      </c>
      <c r="CD24" s="81">
        <v>10245000</v>
      </c>
      <c r="CE24" s="82">
        <v>9572000</v>
      </c>
      <c r="CF24" s="81">
        <v>10245000</v>
      </c>
      <c r="CG24" s="82">
        <v>9572000</v>
      </c>
      <c r="CH24" s="81">
        <v>12208000</v>
      </c>
      <c r="CI24" s="82">
        <v>11535000</v>
      </c>
      <c r="CJ24" s="81">
        <v>12816000</v>
      </c>
      <c r="CK24" s="82">
        <v>12143000</v>
      </c>
      <c r="CL24" s="100">
        <v>2</v>
      </c>
      <c r="CM24" s="81">
        <v>17171000</v>
      </c>
      <c r="CN24" s="82">
        <v>16498000</v>
      </c>
      <c r="CO24" s="81">
        <v>18307000</v>
      </c>
      <c r="CP24" s="82">
        <v>17634000</v>
      </c>
      <c r="CQ24" s="81">
        <v>17301000</v>
      </c>
      <c r="CR24" s="82">
        <v>16628000</v>
      </c>
      <c r="CS24" s="81">
        <v>18990000</v>
      </c>
      <c r="CT24" s="82">
        <v>18317000</v>
      </c>
      <c r="CU24" s="81">
        <v>18930000</v>
      </c>
      <c r="CV24" s="82">
        <v>18257000</v>
      </c>
      <c r="CW24" s="81">
        <v>17562000</v>
      </c>
      <c r="CX24" s="82">
        <v>16889000</v>
      </c>
      <c r="CY24" s="81">
        <v>17889000</v>
      </c>
      <c r="CZ24" s="82">
        <v>17216000</v>
      </c>
      <c r="DA24" s="81">
        <v>19767000</v>
      </c>
      <c r="DB24" s="82">
        <v>19094000</v>
      </c>
      <c r="DC24" s="81">
        <v>20124000</v>
      </c>
      <c r="DD24" s="82">
        <v>19451000</v>
      </c>
      <c r="DE24" s="81">
        <v>18104000</v>
      </c>
      <c r="DF24" s="82">
        <v>17431000</v>
      </c>
      <c r="DG24" s="81">
        <v>17863000</v>
      </c>
      <c r="DH24" s="82">
        <v>17190000</v>
      </c>
      <c r="DI24" s="81">
        <v>17863000</v>
      </c>
      <c r="DJ24" s="82">
        <v>17190000</v>
      </c>
      <c r="DK24" s="81">
        <v>19826000</v>
      </c>
      <c r="DL24" s="82">
        <v>19153000</v>
      </c>
      <c r="DM24" s="81">
        <v>20433000</v>
      </c>
      <c r="DN24" s="82">
        <v>19760000</v>
      </c>
    </row>
    <row r="25" spans="1:118" ht="15.75" customHeight="1" x14ac:dyDescent="0.25">
      <c r="A25" s="83">
        <v>8</v>
      </c>
      <c r="B25" s="84" t="s">
        <v>486</v>
      </c>
      <c r="C25" s="100">
        <v>4</v>
      </c>
      <c r="D25" s="81">
        <v>7900000</v>
      </c>
      <c r="E25" s="82">
        <v>7206000</v>
      </c>
      <c r="F25" s="81">
        <v>9084000</v>
      </c>
      <c r="G25" s="82">
        <v>8390000</v>
      </c>
      <c r="H25" s="81">
        <v>8036000</v>
      </c>
      <c r="I25" s="82">
        <v>7342000</v>
      </c>
      <c r="J25" s="81">
        <v>9795000</v>
      </c>
      <c r="K25" s="82">
        <v>9101000</v>
      </c>
      <c r="L25" s="81">
        <v>9733000</v>
      </c>
      <c r="M25" s="82">
        <v>9039000</v>
      </c>
      <c r="N25" s="81">
        <v>8308000</v>
      </c>
      <c r="O25" s="82">
        <v>7614000</v>
      </c>
      <c r="P25" s="81">
        <v>8649000</v>
      </c>
      <c r="Q25" s="82">
        <v>7955000</v>
      </c>
      <c r="R25" s="81">
        <v>10604000</v>
      </c>
      <c r="S25" s="82">
        <v>9910000</v>
      </c>
      <c r="T25" s="81">
        <v>10976000</v>
      </c>
      <c r="U25" s="82">
        <v>10282000</v>
      </c>
      <c r="V25" s="81">
        <v>8873000</v>
      </c>
      <c r="W25" s="82">
        <v>8179000</v>
      </c>
      <c r="X25" s="81">
        <v>8621000</v>
      </c>
      <c r="Y25" s="82">
        <v>7927000</v>
      </c>
      <c r="Z25" s="81">
        <v>8621000</v>
      </c>
      <c r="AA25" s="82">
        <v>7927000</v>
      </c>
      <c r="AB25" s="81">
        <v>10666000</v>
      </c>
      <c r="AC25" s="82">
        <v>9972000</v>
      </c>
      <c r="AD25" s="81">
        <v>11299000</v>
      </c>
      <c r="AE25" s="82">
        <v>10605000</v>
      </c>
      <c r="AF25" s="100">
        <v>4</v>
      </c>
      <c r="AG25" s="81">
        <v>7495000</v>
      </c>
      <c r="AH25" s="82">
        <v>6801000</v>
      </c>
      <c r="AI25" s="81">
        <v>8679000</v>
      </c>
      <c r="AJ25" s="82">
        <v>7985000</v>
      </c>
      <c r="AK25" s="81">
        <v>7632000</v>
      </c>
      <c r="AL25" s="82">
        <v>6938000</v>
      </c>
      <c r="AM25" s="81">
        <v>9390000</v>
      </c>
      <c r="AN25" s="82">
        <v>8696000</v>
      </c>
      <c r="AO25" s="81">
        <v>9329000</v>
      </c>
      <c r="AP25" s="82">
        <v>8635000</v>
      </c>
      <c r="AQ25" s="81">
        <v>7904000</v>
      </c>
      <c r="AR25" s="82">
        <v>7210000</v>
      </c>
      <c r="AS25" s="81">
        <v>8244000</v>
      </c>
      <c r="AT25" s="82">
        <v>7550000</v>
      </c>
      <c r="AU25" s="81">
        <v>10200000</v>
      </c>
      <c r="AV25" s="82">
        <v>9506000</v>
      </c>
      <c r="AW25" s="81">
        <v>10572000</v>
      </c>
      <c r="AX25" s="82">
        <v>9878000</v>
      </c>
      <c r="AY25" s="81">
        <v>8468000</v>
      </c>
      <c r="AZ25" s="82">
        <v>7774000</v>
      </c>
      <c r="BA25" s="81">
        <v>8216000</v>
      </c>
      <c r="BB25" s="82">
        <v>7522000</v>
      </c>
      <c r="BC25" s="81">
        <v>8216000</v>
      </c>
      <c r="BD25" s="82">
        <v>7522000</v>
      </c>
      <c r="BE25" s="81">
        <v>10261000</v>
      </c>
      <c r="BF25" s="82">
        <v>9567000</v>
      </c>
      <c r="BG25" s="81">
        <v>10894000</v>
      </c>
      <c r="BH25" s="82">
        <v>10200000</v>
      </c>
      <c r="BI25" s="100">
        <v>2</v>
      </c>
      <c r="BJ25" s="81">
        <v>9711000</v>
      </c>
      <c r="BK25" s="82">
        <v>9017000</v>
      </c>
      <c r="BL25" s="81">
        <v>10895000</v>
      </c>
      <c r="BM25" s="82">
        <v>10201000</v>
      </c>
      <c r="BN25" s="81">
        <v>9847000</v>
      </c>
      <c r="BO25" s="82">
        <v>9153000</v>
      </c>
      <c r="BP25" s="81">
        <v>11606000</v>
      </c>
      <c r="BQ25" s="82">
        <v>10912000</v>
      </c>
      <c r="BR25" s="81">
        <v>11544000</v>
      </c>
      <c r="BS25" s="82">
        <v>10850000</v>
      </c>
      <c r="BT25" s="81">
        <v>10119000</v>
      </c>
      <c r="BU25" s="82">
        <v>9425000</v>
      </c>
      <c r="BV25" s="81">
        <v>10459000</v>
      </c>
      <c r="BW25" s="82">
        <v>9765000</v>
      </c>
      <c r="BX25" s="81">
        <v>12415000</v>
      </c>
      <c r="BY25" s="82">
        <v>11721000</v>
      </c>
      <c r="BZ25" s="81">
        <v>12787000</v>
      </c>
      <c r="CA25" s="82">
        <v>12093000</v>
      </c>
      <c r="CB25" s="81">
        <v>10684000</v>
      </c>
      <c r="CC25" s="82">
        <v>9990000</v>
      </c>
      <c r="CD25" s="81">
        <v>10432000</v>
      </c>
      <c r="CE25" s="82">
        <v>9738000</v>
      </c>
      <c r="CF25" s="81">
        <v>10432000</v>
      </c>
      <c r="CG25" s="82">
        <v>9738000</v>
      </c>
      <c r="CH25" s="81">
        <v>12477000</v>
      </c>
      <c r="CI25" s="82">
        <v>11783000</v>
      </c>
      <c r="CJ25" s="81">
        <v>13110000</v>
      </c>
      <c r="CK25" s="82">
        <v>12416000</v>
      </c>
      <c r="CL25" s="100">
        <v>2</v>
      </c>
      <c r="CM25" s="81">
        <v>17382000</v>
      </c>
      <c r="CN25" s="82">
        <v>16688000</v>
      </c>
      <c r="CO25" s="81">
        <v>18566000</v>
      </c>
      <c r="CP25" s="82">
        <v>17872000</v>
      </c>
      <c r="CQ25" s="81">
        <v>17518000</v>
      </c>
      <c r="CR25" s="82">
        <v>16824000</v>
      </c>
      <c r="CS25" s="81">
        <v>19277000</v>
      </c>
      <c r="CT25" s="82">
        <v>18583000</v>
      </c>
      <c r="CU25" s="81">
        <v>19215000</v>
      </c>
      <c r="CV25" s="82">
        <v>18521000</v>
      </c>
      <c r="CW25" s="81">
        <v>17790000</v>
      </c>
      <c r="CX25" s="82">
        <v>17096000</v>
      </c>
      <c r="CY25" s="81">
        <v>18130000</v>
      </c>
      <c r="CZ25" s="82">
        <v>17436000</v>
      </c>
      <c r="DA25" s="81">
        <v>20086000</v>
      </c>
      <c r="DB25" s="82">
        <v>19392000</v>
      </c>
      <c r="DC25" s="81">
        <v>20458000</v>
      </c>
      <c r="DD25" s="82">
        <v>19764000</v>
      </c>
      <c r="DE25" s="81">
        <v>18355000</v>
      </c>
      <c r="DF25" s="82">
        <v>17661000</v>
      </c>
      <c r="DG25" s="81">
        <v>18103000</v>
      </c>
      <c r="DH25" s="82">
        <v>17409000</v>
      </c>
      <c r="DI25" s="81">
        <v>18103000</v>
      </c>
      <c r="DJ25" s="82">
        <v>17409000</v>
      </c>
      <c r="DK25" s="81">
        <v>20148000</v>
      </c>
      <c r="DL25" s="82">
        <v>19454000</v>
      </c>
      <c r="DM25" s="81">
        <v>20781000</v>
      </c>
      <c r="DN25" s="82">
        <v>20087000</v>
      </c>
    </row>
    <row r="26" spans="1:118" ht="15.75" customHeight="1" x14ac:dyDescent="0.25">
      <c r="A26" s="83">
        <v>9</v>
      </c>
      <c r="B26" s="84" t="s">
        <v>487</v>
      </c>
      <c r="C26" s="100">
        <v>4</v>
      </c>
      <c r="D26" s="81">
        <v>8308000</v>
      </c>
      <c r="E26" s="82">
        <v>7561000</v>
      </c>
      <c r="F26" s="81">
        <v>9610000</v>
      </c>
      <c r="G26" s="82">
        <v>8863000</v>
      </c>
      <c r="H26" s="81">
        <v>8457000</v>
      </c>
      <c r="I26" s="82">
        <v>7710000</v>
      </c>
      <c r="J26" s="81">
        <v>10392000</v>
      </c>
      <c r="K26" s="82">
        <v>9645000</v>
      </c>
      <c r="L26" s="81">
        <v>10324000</v>
      </c>
      <c r="M26" s="82">
        <v>9577000</v>
      </c>
      <c r="N26" s="81">
        <v>8757000</v>
      </c>
      <c r="O26" s="82">
        <v>8010000</v>
      </c>
      <c r="P26" s="81">
        <v>9131000</v>
      </c>
      <c r="Q26" s="82">
        <v>8384000</v>
      </c>
      <c r="R26" s="81">
        <v>11282000</v>
      </c>
      <c r="S26" s="82">
        <v>10535000</v>
      </c>
      <c r="T26" s="81">
        <v>11691000</v>
      </c>
      <c r="U26" s="82">
        <v>10944000</v>
      </c>
      <c r="V26" s="81">
        <v>9378000</v>
      </c>
      <c r="W26" s="82">
        <v>8631000</v>
      </c>
      <c r="X26" s="81">
        <v>9101000</v>
      </c>
      <c r="Y26" s="82">
        <v>8354000</v>
      </c>
      <c r="Z26" s="81">
        <v>9101000</v>
      </c>
      <c r="AA26" s="82">
        <v>8354000</v>
      </c>
      <c r="AB26" s="81">
        <v>11350000</v>
      </c>
      <c r="AC26" s="82">
        <v>10603000</v>
      </c>
      <c r="AD26" s="81">
        <v>12046000</v>
      </c>
      <c r="AE26" s="82">
        <v>11299000</v>
      </c>
      <c r="AF26" s="100">
        <v>4</v>
      </c>
      <c r="AG26" s="81">
        <v>7887000</v>
      </c>
      <c r="AH26" s="82">
        <v>7140000</v>
      </c>
      <c r="AI26" s="81">
        <v>9189000</v>
      </c>
      <c r="AJ26" s="82">
        <v>8442000</v>
      </c>
      <c r="AK26" s="81">
        <v>8037000</v>
      </c>
      <c r="AL26" s="82">
        <v>7290000</v>
      </c>
      <c r="AM26" s="81">
        <v>9972000</v>
      </c>
      <c r="AN26" s="82">
        <v>9225000</v>
      </c>
      <c r="AO26" s="81">
        <v>9904000</v>
      </c>
      <c r="AP26" s="82">
        <v>9157000</v>
      </c>
      <c r="AQ26" s="81">
        <v>8336000</v>
      </c>
      <c r="AR26" s="82">
        <v>7589000</v>
      </c>
      <c r="AS26" s="81">
        <v>8710000</v>
      </c>
      <c r="AT26" s="82">
        <v>7963000</v>
      </c>
      <c r="AU26" s="81">
        <v>10862000</v>
      </c>
      <c r="AV26" s="82">
        <v>10115000</v>
      </c>
      <c r="AW26" s="81">
        <v>11271000</v>
      </c>
      <c r="AX26" s="82">
        <v>10524000</v>
      </c>
      <c r="AY26" s="81">
        <v>8957000</v>
      </c>
      <c r="AZ26" s="82">
        <v>8210000</v>
      </c>
      <c r="BA26" s="81">
        <v>8680000</v>
      </c>
      <c r="BB26" s="82">
        <v>7933000</v>
      </c>
      <c r="BC26" s="81">
        <v>8680000</v>
      </c>
      <c r="BD26" s="82">
        <v>7933000</v>
      </c>
      <c r="BE26" s="81">
        <v>10930000</v>
      </c>
      <c r="BF26" s="82">
        <v>10183000</v>
      </c>
      <c r="BG26" s="81">
        <v>11625000</v>
      </c>
      <c r="BH26" s="82">
        <v>10878000</v>
      </c>
      <c r="BI26" s="100">
        <v>2</v>
      </c>
      <c r="BJ26" s="81">
        <v>10106000</v>
      </c>
      <c r="BK26" s="82">
        <v>9359000</v>
      </c>
      <c r="BL26" s="81">
        <v>11408000</v>
      </c>
      <c r="BM26" s="82">
        <v>10661000</v>
      </c>
      <c r="BN26" s="81">
        <v>10256000</v>
      </c>
      <c r="BO26" s="82">
        <v>9509000</v>
      </c>
      <c r="BP26" s="81">
        <v>12191000</v>
      </c>
      <c r="BQ26" s="82">
        <v>11444000</v>
      </c>
      <c r="BR26" s="81">
        <v>12123000</v>
      </c>
      <c r="BS26" s="82">
        <v>11376000</v>
      </c>
      <c r="BT26" s="81">
        <v>10555000</v>
      </c>
      <c r="BU26" s="82">
        <v>9808000</v>
      </c>
      <c r="BV26" s="81">
        <v>10929000</v>
      </c>
      <c r="BW26" s="82">
        <v>10182000</v>
      </c>
      <c r="BX26" s="81">
        <v>13081000</v>
      </c>
      <c r="BY26" s="82">
        <v>12334000</v>
      </c>
      <c r="BZ26" s="81">
        <v>13490000</v>
      </c>
      <c r="CA26" s="82">
        <v>12743000</v>
      </c>
      <c r="CB26" s="81">
        <v>11176000</v>
      </c>
      <c r="CC26" s="82">
        <v>10429000</v>
      </c>
      <c r="CD26" s="81">
        <v>10899000</v>
      </c>
      <c r="CE26" s="82">
        <v>10152000</v>
      </c>
      <c r="CF26" s="81">
        <v>10899000</v>
      </c>
      <c r="CG26" s="82">
        <v>10152000</v>
      </c>
      <c r="CH26" s="81">
        <v>13148000</v>
      </c>
      <c r="CI26" s="82">
        <v>12401000</v>
      </c>
      <c r="CJ26" s="81">
        <v>13844000</v>
      </c>
      <c r="CK26" s="82">
        <v>13097000</v>
      </c>
      <c r="CL26" s="100">
        <v>2</v>
      </c>
      <c r="CM26" s="81">
        <v>17911000</v>
      </c>
      <c r="CN26" s="82">
        <v>17164000</v>
      </c>
      <c r="CO26" s="81">
        <v>19213000</v>
      </c>
      <c r="CP26" s="82">
        <v>18466000</v>
      </c>
      <c r="CQ26" s="81">
        <v>18061000</v>
      </c>
      <c r="CR26" s="82">
        <v>17314000</v>
      </c>
      <c r="CS26" s="81">
        <v>19996000</v>
      </c>
      <c r="CT26" s="82">
        <v>19249000</v>
      </c>
      <c r="CU26" s="81">
        <v>19928000</v>
      </c>
      <c r="CV26" s="82">
        <v>19181000</v>
      </c>
      <c r="CW26" s="81">
        <v>18360000</v>
      </c>
      <c r="CX26" s="82">
        <v>17613000</v>
      </c>
      <c r="CY26" s="81">
        <v>18734000</v>
      </c>
      <c r="CZ26" s="82">
        <v>17987000</v>
      </c>
      <c r="DA26" s="81">
        <v>20886000</v>
      </c>
      <c r="DB26" s="82">
        <v>20139000</v>
      </c>
      <c r="DC26" s="81">
        <v>21295000</v>
      </c>
      <c r="DD26" s="82">
        <v>20548000</v>
      </c>
      <c r="DE26" s="81">
        <v>18981000</v>
      </c>
      <c r="DF26" s="82">
        <v>18234000</v>
      </c>
      <c r="DG26" s="81">
        <v>18704000</v>
      </c>
      <c r="DH26" s="82">
        <v>17957000</v>
      </c>
      <c r="DI26" s="81">
        <v>18704000</v>
      </c>
      <c r="DJ26" s="82">
        <v>17957000</v>
      </c>
      <c r="DK26" s="81">
        <v>20954000</v>
      </c>
      <c r="DL26" s="82">
        <v>20207000</v>
      </c>
      <c r="DM26" s="81">
        <v>21649000</v>
      </c>
      <c r="DN26" s="82">
        <v>20902000</v>
      </c>
    </row>
    <row r="27" spans="1:118" ht="15.75" customHeight="1" x14ac:dyDescent="0.25">
      <c r="A27" s="83">
        <v>10</v>
      </c>
      <c r="B27" s="84" t="s">
        <v>488</v>
      </c>
      <c r="C27" s="100">
        <v>4</v>
      </c>
      <c r="D27" s="81">
        <v>8715000</v>
      </c>
      <c r="E27" s="82">
        <v>7915000</v>
      </c>
      <c r="F27" s="81">
        <v>10135000</v>
      </c>
      <c r="G27" s="82">
        <v>9335000</v>
      </c>
      <c r="H27" s="81">
        <v>8878000</v>
      </c>
      <c r="I27" s="82">
        <v>8078000</v>
      </c>
      <c r="J27" s="81">
        <v>10989000</v>
      </c>
      <c r="K27" s="82">
        <v>10189000</v>
      </c>
      <c r="L27" s="81">
        <v>10915000</v>
      </c>
      <c r="M27" s="82">
        <v>10115000</v>
      </c>
      <c r="N27" s="81">
        <v>9205000</v>
      </c>
      <c r="O27" s="82">
        <v>8405000</v>
      </c>
      <c r="P27" s="81">
        <v>9613000</v>
      </c>
      <c r="Q27" s="82">
        <v>8813000</v>
      </c>
      <c r="R27" s="81">
        <v>11960000</v>
      </c>
      <c r="S27" s="82">
        <v>11160000</v>
      </c>
      <c r="T27" s="81">
        <v>12406000</v>
      </c>
      <c r="U27" s="82">
        <v>11606000</v>
      </c>
      <c r="V27" s="81">
        <v>9882000</v>
      </c>
      <c r="W27" s="82">
        <v>9082000</v>
      </c>
      <c r="X27" s="81">
        <v>9580000</v>
      </c>
      <c r="Y27" s="82">
        <v>8780000</v>
      </c>
      <c r="Z27" s="81">
        <v>9580000</v>
      </c>
      <c r="AA27" s="82">
        <v>8780000</v>
      </c>
      <c r="AB27" s="81">
        <v>12034000</v>
      </c>
      <c r="AC27" s="82">
        <v>11234000</v>
      </c>
      <c r="AD27" s="81">
        <v>12793000</v>
      </c>
      <c r="AE27" s="82">
        <v>11993000</v>
      </c>
      <c r="AF27" s="100">
        <v>4</v>
      </c>
      <c r="AG27" s="81">
        <v>8279000</v>
      </c>
      <c r="AH27" s="82">
        <v>7479000</v>
      </c>
      <c r="AI27" s="81">
        <v>9699000</v>
      </c>
      <c r="AJ27" s="82">
        <v>8899000</v>
      </c>
      <c r="AK27" s="81">
        <v>8442000</v>
      </c>
      <c r="AL27" s="82">
        <v>7642000</v>
      </c>
      <c r="AM27" s="81">
        <v>10553000</v>
      </c>
      <c r="AN27" s="82">
        <v>9753000</v>
      </c>
      <c r="AO27" s="81">
        <v>10479000</v>
      </c>
      <c r="AP27" s="82">
        <v>9679000</v>
      </c>
      <c r="AQ27" s="81">
        <v>8769000</v>
      </c>
      <c r="AR27" s="82">
        <v>7969000</v>
      </c>
      <c r="AS27" s="81">
        <v>9177000</v>
      </c>
      <c r="AT27" s="82">
        <v>8377000</v>
      </c>
      <c r="AU27" s="81">
        <v>11524000</v>
      </c>
      <c r="AV27" s="82">
        <v>10724000</v>
      </c>
      <c r="AW27" s="81">
        <v>11970000</v>
      </c>
      <c r="AX27" s="82">
        <v>11170000</v>
      </c>
      <c r="AY27" s="81">
        <v>9446000</v>
      </c>
      <c r="AZ27" s="82">
        <v>8646000</v>
      </c>
      <c r="BA27" s="81">
        <v>9144000</v>
      </c>
      <c r="BB27" s="82">
        <v>8344000</v>
      </c>
      <c r="BC27" s="81">
        <v>9144000</v>
      </c>
      <c r="BD27" s="82">
        <v>8344000</v>
      </c>
      <c r="BE27" s="81">
        <v>11598000</v>
      </c>
      <c r="BF27" s="82">
        <v>10798000</v>
      </c>
      <c r="BG27" s="81">
        <v>12357000</v>
      </c>
      <c r="BH27" s="82">
        <v>11557000</v>
      </c>
      <c r="BI27" s="100">
        <v>2</v>
      </c>
      <c r="BJ27" s="81">
        <v>10501000</v>
      </c>
      <c r="BK27" s="82">
        <v>9701000</v>
      </c>
      <c r="BL27" s="81">
        <v>11921000</v>
      </c>
      <c r="BM27" s="82">
        <v>11121000</v>
      </c>
      <c r="BN27" s="81">
        <v>10664000</v>
      </c>
      <c r="BO27" s="82">
        <v>9864000</v>
      </c>
      <c r="BP27" s="81">
        <v>12775000</v>
      </c>
      <c r="BQ27" s="82">
        <v>11975000</v>
      </c>
      <c r="BR27" s="81">
        <v>12701000</v>
      </c>
      <c r="BS27" s="82">
        <v>11901000</v>
      </c>
      <c r="BT27" s="81">
        <v>10991000</v>
      </c>
      <c r="BU27" s="82">
        <v>10191000</v>
      </c>
      <c r="BV27" s="81">
        <v>11399000</v>
      </c>
      <c r="BW27" s="82">
        <v>10599000</v>
      </c>
      <c r="BX27" s="81">
        <v>13746000</v>
      </c>
      <c r="BY27" s="82">
        <v>12946000</v>
      </c>
      <c r="BZ27" s="81">
        <v>14192000</v>
      </c>
      <c r="CA27" s="82">
        <v>13392000</v>
      </c>
      <c r="CB27" s="81">
        <v>11668000</v>
      </c>
      <c r="CC27" s="82">
        <v>10868000</v>
      </c>
      <c r="CD27" s="81">
        <v>11366000</v>
      </c>
      <c r="CE27" s="82">
        <v>10566000</v>
      </c>
      <c r="CF27" s="81">
        <v>11366000</v>
      </c>
      <c r="CG27" s="82">
        <v>10566000</v>
      </c>
      <c r="CH27" s="81">
        <v>13820000</v>
      </c>
      <c r="CI27" s="82">
        <v>13020000</v>
      </c>
      <c r="CJ27" s="81">
        <v>14579000</v>
      </c>
      <c r="CK27" s="82">
        <v>13779000</v>
      </c>
      <c r="CL27" s="100">
        <v>2</v>
      </c>
      <c r="CM27" s="81">
        <v>18440000</v>
      </c>
      <c r="CN27" s="82">
        <v>17640000</v>
      </c>
      <c r="CO27" s="81">
        <v>19861000</v>
      </c>
      <c r="CP27" s="82">
        <v>19061000</v>
      </c>
      <c r="CQ27" s="81">
        <v>18604000</v>
      </c>
      <c r="CR27" s="82">
        <v>17804000</v>
      </c>
      <c r="CS27" s="81">
        <v>20714000</v>
      </c>
      <c r="CT27" s="82">
        <v>19914000</v>
      </c>
      <c r="CU27" s="81">
        <v>20640000</v>
      </c>
      <c r="CV27" s="82">
        <v>19840000</v>
      </c>
      <c r="CW27" s="81">
        <v>18930000</v>
      </c>
      <c r="CX27" s="82">
        <v>18130000</v>
      </c>
      <c r="CY27" s="81">
        <v>19338000</v>
      </c>
      <c r="CZ27" s="82">
        <v>18538000</v>
      </c>
      <c r="DA27" s="81">
        <v>21685000</v>
      </c>
      <c r="DB27" s="82">
        <v>20885000</v>
      </c>
      <c r="DC27" s="81">
        <v>22132000</v>
      </c>
      <c r="DD27" s="82">
        <v>21332000</v>
      </c>
      <c r="DE27" s="81">
        <v>19607000</v>
      </c>
      <c r="DF27" s="82">
        <v>18807000</v>
      </c>
      <c r="DG27" s="81">
        <v>19306000</v>
      </c>
      <c r="DH27" s="82">
        <v>18506000</v>
      </c>
      <c r="DI27" s="81">
        <v>19306000</v>
      </c>
      <c r="DJ27" s="82">
        <v>18506000</v>
      </c>
      <c r="DK27" s="81">
        <v>21759000</v>
      </c>
      <c r="DL27" s="82">
        <v>20959000</v>
      </c>
      <c r="DM27" s="81">
        <v>22518000</v>
      </c>
      <c r="DN27" s="82">
        <v>21718000</v>
      </c>
    </row>
    <row r="28" spans="1:118" ht="15.75" customHeight="1" x14ac:dyDescent="0.3">
      <c r="A28" s="74"/>
      <c r="B28" s="89" t="s">
        <v>438</v>
      </c>
      <c r="C28" s="99"/>
      <c r="D28" s="94"/>
      <c r="E28" s="60"/>
      <c r="F28" s="94"/>
      <c r="G28" s="60"/>
      <c r="H28" s="94"/>
      <c r="I28" s="60"/>
      <c r="J28" s="94"/>
      <c r="K28" s="60"/>
      <c r="L28" s="94"/>
      <c r="M28" s="60"/>
      <c r="N28" s="94"/>
      <c r="O28" s="60"/>
      <c r="P28" s="94"/>
      <c r="Q28" s="60"/>
      <c r="R28" s="94"/>
      <c r="S28" s="60"/>
      <c r="T28" s="94"/>
      <c r="U28" s="60"/>
      <c r="V28" s="94"/>
      <c r="W28" s="60"/>
      <c r="X28" s="94"/>
      <c r="Y28" s="60"/>
      <c r="Z28" s="94"/>
      <c r="AA28" s="60"/>
      <c r="AB28" s="94"/>
      <c r="AC28" s="60"/>
      <c r="AD28" s="94"/>
      <c r="AE28" s="60"/>
      <c r="AF28" s="99"/>
      <c r="AG28" s="94"/>
      <c r="AH28" s="60"/>
      <c r="AI28" s="94"/>
      <c r="AJ28" s="60"/>
      <c r="AK28" s="94"/>
      <c r="AL28" s="60"/>
      <c r="AM28" s="94"/>
      <c r="AN28" s="60"/>
      <c r="AO28" s="94"/>
      <c r="AP28" s="60"/>
      <c r="AQ28" s="94"/>
      <c r="AR28" s="60"/>
      <c r="AS28" s="94"/>
      <c r="AT28" s="60"/>
      <c r="AU28" s="94"/>
      <c r="AV28" s="60"/>
      <c r="AW28" s="94"/>
      <c r="AX28" s="60"/>
      <c r="AY28" s="94"/>
      <c r="AZ28" s="60"/>
      <c r="BA28" s="94"/>
      <c r="BB28" s="60"/>
      <c r="BC28" s="94"/>
      <c r="BD28" s="60"/>
      <c r="BE28" s="94"/>
      <c r="BF28" s="60"/>
      <c r="BG28" s="94"/>
      <c r="BH28" s="60"/>
      <c r="BI28" s="99"/>
      <c r="BJ28" s="94"/>
      <c r="BK28" s="60"/>
      <c r="BL28" s="94"/>
      <c r="BM28" s="60"/>
      <c r="BN28" s="94"/>
      <c r="BO28" s="60"/>
      <c r="BP28" s="94"/>
      <c r="BQ28" s="60"/>
      <c r="BR28" s="94"/>
      <c r="BS28" s="60"/>
      <c r="BT28" s="94"/>
      <c r="BU28" s="60"/>
      <c r="BV28" s="94"/>
      <c r="BW28" s="60"/>
      <c r="BX28" s="94"/>
      <c r="BY28" s="60"/>
      <c r="BZ28" s="94"/>
      <c r="CA28" s="60"/>
      <c r="CB28" s="94"/>
      <c r="CC28" s="60"/>
      <c r="CD28" s="94"/>
      <c r="CE28" s="60"/>
      <c r="CF28" s="94"/>
      <c r="CG28" s="60"/>
      <c r="CH28" s="94"/>
      <c r="CI28" s="60"/>
      <c r="CJ28" s="94"/>
      <c r="CK28" s="60"/>
      <c r="CL28" s="99"/>
      <c r="CM28" s="94"/>
      <c r="CN28" s="60"/>
      <c r="CO28" s="94"/>
      <c r="CP28" s="60"/>
      <c r="CQ28" s="94"/>
      <c r="CR28" s="60"/>
      <c r="CS28" s="94"/>
      <c r="CT28" s="60"/>
      <c r="CU28" s="94"/>
      <c r="CV28" s="60"/>
      <c r="CW28" s="94"/>
      <c r="CX28" s="60"/>
      <c r="CY28" s="94"/>
      <c r="CZ28" s="60"/>
      <c r="DA28" s="94"/>
      <c r="DB28" s="60"/>
      <c r="DC28" s="94"/>
      <c r="DD28" s="60"/>
      <c r="DE28" s="94"/>
      <c r="DF28" s="60"/>
      <c r="DG28" s="94"/>
      <c r="DH28" s="60"/>
      <c r="DI28" s="94"/>
      <c r="DJ28" s="60"/>
      <c r="DK28" s="94"/>
      <c r="DL28" s="60"/>
      <c r="DM28" s="94"/>
      <c r="DN28" s="60"/>
    </row>
    <row r="29" spans="1:118" ht="15.75" customHeight="1" x14ac:dyDescent="0.25">
      <c r="A29" s="79">
        <v>1</v>
      </c>
      <c r="B29" s="80" t="s">
        <v>479</v>
      </c>
      <c r="C29" s="100">
        <v>3</v>
      </c>
      <c r="D29" s="81">
        <v>4737000</v>
      </c>
      <c r="E29" s="82">
        <v>4308000</v>
      </c>
      <c r="F29" s="81">
        <v>5369000</v>
      </c>
      <c r="G29" s="82">
        <v>4940000</v>
      </c>
      <c r="H29" s="81">
        <v>4810000</v>
      </c>
      <c r="I29" s="82">
        <v>4381000</v>
      </c>
      <c r="J29" s="81">
        <v>5748000</v>
      </c>
      <c r="K29" s="82">
        <v>5319000</v>
      </c>
      <c r="L29" s="81">
        <v>5715000</v>
      </c>
      <c r="M29" s="82">
        <v>5286000</v>
      </c>
      <c r="N29" s="81">
        <v>4955000</v>
      </c>
      <c r="O29" s="82">
        <v>4526000</v>
      </c>
      <c r="P29" s="81">
        <v>5136000</v>
      </c>
      <c r="Q29" s="82">
        <v>4707000</v>
      </c>
      <c r="R29" s="81">
        <v>6179000</v>
      </c>
      <c r="S29" s="82">
        <v>5750000</v>
      </c>
      <c r="T29" s="81">
        <v>6378000</v>
      </c>
      <c r="U29" s="82">
        <v>5949000</v>
      </c>
      <c r="V29" s="81">
        <v>5256000</v>
      </c>
      <c r="W29" s="82">
        <v>4827000</v>
      </c>
      <c r="X29" s="81">
        <v>5122000</v>
      </c>
      <c r="Y29" s="82">
        <v>4693000</v>
      </c>
      <c r="Z29" s="81">
        <v>5122000</v>
      </c>
      <c r="AA29" s="82">
        <v>4693000</v>
      </c>
      <c r="AB29" s="81">
        <v>6212000</v>
      </c>
      <c r="AC29" s="82">
        <v>5783000</v>
      </c>
      <c r="AD29" s="81">
        <v>6550000</v>
      </c>
      <c r="AE29" s="82">
        <v>6121000</v>
      </c>
      <c r="AF29" s="100">
        <v>3</v>
      </c>
      <c r="AG29" s="81">
        <v>4509000</v>
      </c>
      <c r="AH29" s="82">
        <v>4080000</v>
      </c>
      <c r="AI29" s="81">
        <v>5140000</v>
      </c>
      <c r="AJ29" s="82">
        <v>4711000</v>
      </c>
      <c r="AK29" s="81">
        <v>4582000</v>
      </c>
      <c r="AL29" s="82">
        <v>4153000</v>
      </c>
      <c r="AM29" s="81">
        <v>5520000</v>
      </c>
      <c r="AN29" s="82">
        <v>5091000</v>
      </c>
      <c r="AO29" s="81">
        <v>5487000</v>
      </c>
      <c r="AP29" s="82">
        <v>5058000</v>
      </c>
      <c r="AQ29" s="81">
        <v>4727000</v>
      </c>
      <c r="AR29" s="82">
        <v>4298000</v>
      </c>
      <c r="AS29" s="81">
        <v>4908000</v>
      </c>
      <c r="AT29" s="82">
        <v>4479000</v>
      </c>
      <c r="AU29" s="81">
        <v>5951000</v>
      </c>
      <c r="AV29" s="82">
        <v>5522000</v>
      </c>
      <c r="AW29" s="81">
        <v>6150000</v>
      </c>
      <c r="AX29" s="82">
        <v>5721000</v>
      </c>
      <c r="AY29" s="81">
        <v>5028000</v>
      </c>
      <c r="AZ29" s="82">
        <v>4599000</v>
      </c>
      <c r="BA29" s="81">
        <v>4894000</v>
      </c>
      <c r="BB29" s="82">
        <v>4465000</v>
      </c>
      <c r="BC29" s="81">
        <v>4894000</v>
      </c>
      <c r="BD29" s="82">
        <v>4465000</v>
      </c>
      <c r="BE29" s="81">
        <v>5984000</v>
      </c>
      <c r="BF29" s="82">
        <v>5555000</v>
      </c>
      <c r="BG29" s="81">
        <v>6322000</v>
      </c>
      <c r="BH29" s="82">
        <v>5893000</v>
      </c>
      <c r="BI29" s="100">
        <v>1</v>
      </c>
      <c r="BJ29" s="81">
        <v>5384000</v>
      </c>
      <c r="BK29" s="82">
        <v>4955000</v>
      </c>
      <c r="BL29" s="81">
        <v>6015000</v>
      </c>
      <c r="BM29" s="82">
        <v>5586000</v>
      </c>
      <c r="BN29" s="81">
        <v>5456000</v>
      </c>
      <c r="BO29" s="82">
        <v>5027000</v>
      </c>
      <c r="BP29" s="81">
        <v>6394000</v>
      </c>
      <c r="BQ29" s="82">
        <v>5965000</v>
      </c>
      <c r="BR29" s="81">
        <v>6361000</v>
      </c>
      <c r="BS29" s="82">
        <v>5932000</v>
      </c>
      <c r="BT29" s="81">
        <v>5601000</v>
      </c>
      <c r="BU29" s="82">
        <v>5172000</v>
      </c>
      <c r="BV29" s="81">
        <v>5783000</v>
      </c>
      <c r="BW29" s="82">
        <v>5354000</v>
      </c>
      <c r="BX29" s="81">
        <v>6826000</v>
      </c>
      <c r="BY29" s="82">
        <v>6397000</v>
      </c>
      <c r="BZ29" s="81">
        <v>7024000</v>
      </c>
      <c r="CA29" s="82">
        <v>6595000</v>
      </c>
      <c r="CB29" s="81">
        <v>5902000</v>
      </c>
      <c r="CC29" s="82">
        <v>5473000</v>
      </c>
      <c r="CD29" s="81">
        <v>5768000</v>
      </c>
      <c r="CE29" s="82">
        <v>5339000</v>
      </c>
      <c r="CF29" s="81">
        <v>5768000</v>
      </c>
      <c r="CG29" s="82">
        <v>5339000</v>
      </c>
      <c r="CH29" s="81">
        <v>6859000</v>
      </c>
      <c r="CI29" s="82">
        <v>6430000</v>
      </c>
      <c r="CJ29" s="81">
        <v>7196000</v>
      </c>
      <c r="CK29" s="82">
        <v>6767000</v>
      </c>
      <c r="CL29" s="100">
        <v>1</v>
      </c>
      <c r="CM29" s="81">
        <v>9387000</v>
      </c>
      <c r="CN29" s="82">
        <v>8958000</v>
      </c>
      <c r="CO29" s="81">
        <v>10019000</v>
      </c>
      <c r="CP29" s="82">
        <v>9590000</v>
      </c>
      <c r="CQ29" s="81">
        <v>9460000</v>
      </c>
      <c r="CR29" s="82">
        <v>9031000</v>
      </c>
      <c r="CS29" s="81">
        <v>10398000</v>
      </c>
      <c r="CT29" s="82">
        <v>9969000</v>
      </c>
      <c r="CU29" s="81">
        <v>10365000</v>
      </c>
      <c r="CV29" s="82">
        <v>9936000</v>
      </c>
      <c r="CW29" s="81">
        <v>9605000</v>
      </c>
      <c r="CX29" s="82">
        <v>9176000</v>
      </c>
      <c r="CY29" s="81">
        <v>9786000</v>
      </c>
      <c r="CZ29" s="82">
        <v>9357000</v>
      </c>
      <c r="DA29" s="81">
        <v>10829000</v>
      </c>
      <c r="DB29" s="82">
        <v>10400000</v>
      </c>
      <c r="DC29" s="81">
        <v>11028000</v>
      </c>
      <c r="DD29" s="82">
        <v>10599000</v>
      </c>
      <c r="DE29" s="81">
        <v>9906000</v>
      </c>
      <c r="DF29" s="82">
        <v>9477000</v>
      </c>
      <c r="DG29" s="81">
        <v>9772000</v>
      </c>
      <c r="DH29" s="82">
        <v>9343000</v>
      </c>
      <c r="DI29" s="81">
        <v>9772000</v>
      </c>
      <c r="DJ29" s="82">
        <v>9343000</v>
      </c>
      <c r="DK29" s="81">
        <v>10862000</v>
      </c>
      <c r="DL29" s="82">
        <v>10433000</v>
      </c>
      <c r="DM29" s="81">
        <v>11200000</v>
      </c>
      <c r="DN29" s="82">
        <v>10771000</v>
      </c>
    </row>
    <row r="30" spans="1:118" ht="15.75" customHeight="1" x14ac:dyDescent="0.25">
      <c r="A30" s="83">
        <v>2</v>
      </c>
      <c r="B30" s="84" t="s">
        <v>480</v>
      </c>
      <c r="C30" s="100">
        <v>3</v>
      </c>
      <c r="D30" s="81">
        <v>5084000</v>
      </c>
      <c r="E30" s="82">
        <v>4613000</v>
      </c>
      <c r="F30" s="81">
        <v>5841000</v>
      </c>
      <c r="G30" s="82">
        <v>5370000</v>
      </c>
      <c r="H30" s="81">
        <v>5171000</v>
      </c>
      <c r="I30" s="82">
        <v>4700000</v>
      </c>
      <c r="J30" s="81">
        <v>6296000</v>
      </c>
      <c r="K30" s="82">
        <v>5825000</v>
      </c>
      <c r="L30" s="81">
        <v>6257000</v>
      </c>
      <c r="M30" s="82">
        <v>5786000</v>
      </c>
      <c r="N30" s="81">
        <v>5345000</v>
      </c>
      <c r="O30" s="82">
        <v>4874000</v>
      </c>
      <c r="P30" s="81">
        <v>5563000</v>
      </c>
      <c r="Q30" s="82">
        <v>5092000</v>
      </c>
      <c r="R30" s="81">
        <v>6814000</v>
      </c>
      <c r="S30" s="82">
        <v>6343000</v>
      </c>
      <c r="T30" s="81">
        <v>7052000</v>
      </c>
      <c r="U30" s="82">
        <v>6581000</v>
      </c>
      <c r="V30" s="81">
        <v>5706000</v>
      </c>
      <c r="W30" s="82">
        <v>5235000</v>
      </c>
      <c r="X30" s="81">
        <v>5545000</v>
      </c>
      <c r="Y30" s="82">
        <v>5074000</v>
      </c>
      <c r="Z30" s="81">
        <v>5545000</v>
      </c>
      <c r="AA30" s="82">
        <v>5074000</v>
      </c>
      <c r="AB30" s="81">
        <v>6854000</v>
      </c>
      <c r="AC30" s="82">
        <v>6383000</v>
      </c>
      <c r="AD30" s="81">
        <v>7259000</v>
      </c>
      <c r="AE30" s="82">
        <v>6788000</v>
      </c>
      <c r="AF30" s="100">
        <v>3</v>
      </c>
      <c r="AG30" s="81">
        <v>4843000</v>
      </c>
      <c r="AH30" s="82">
        <v>4372000</v>
      </c>
      <c r="AI30" s="81">
        <v>5601000</v>
      </c>
      <c r="AJ30" s="82">
        <v>5130000</v>
      </c>
      <c r="AK30" s="81">
        <v>4930000</v>
      </c>
      <c r="AL30" s="82">
        <v>4459000</v>
      </c>
      <c r="AM30" s="81">
        <v>6056000</v>
      </c>
      <c r="AN30" s="82">
        <v>5585000</v>
      </c>
      <c r="AO30" s="81">
        <v>6016000</v>
      </c>
      <c r="AP30" s="82">
        <v>5545000</v>
      </c>
      <c r="AQ30" s="81">
        <v>5104000</v>
      </c>
      <c r="AR30" s="82">
        <v>4633000</v>
      </c>
      <c r="AS30" s="81">
        <v>5322000</v>
      </c>
      <c r="AT30" s="82">
        <v>4851000</v>
      </c>
      <c r="AU30" s="81">
        <v>6574000</v>
      </c>
      <c r="AV30" s="82">
        <v>6103000</v>
      </c>
      <c r="AW30" s="81">
        <v>6812000</v>
      </c>
      <c r="AX30" s="82">
        <v>6341000</v>
      </c>
      <c r="AY30" s="81">
        <v>5466000</v>
      </c>
      <c r="AZ30" s="82">
        <v>4995000</v>
      </c>
      <c r="BA30" s="81">
        <v>5305000</v>
      </c>
      <c r="BB30" s="82">
        <v>4834000</v>
      </c>
      <c r="BC30" s="81">
        <v>5305000</v>
      </c>
      <c r="BD30" s="82">
        <v>4834000</v>
      </c>
      <c r="BE30" s="81">
        <v>6613000</v>
      </c>
      <c r="BF30" s="82">
        <v>6142000</v>
      </c>
      <c r="BG30" s="81">
        <v>7018000</v>
      </c>
      <c r="BH30" s="82">
        <v>6547000</v>
      </c>
      <c r="BI30" s="100">
        <v>1</v>
      </c>
      <c r="BJ30" s="81">
        <v>5720000</v>
      </c>
      <c r="BK30" s="82">
        <v>5249000</v>
      </c>
      <c r="BL30" s="81">
        <v>6478000</v>
      </c>
      <c r="BM30" s="82">
        <v>6007000</v>
      </c>
      <c r="BN30" s="81">
        <v>5807000</v>
      </c>
      <c r="BO30" s="82">
        <v>5336000</v>
      </c>
      <c r="BP30" s="81">
        <v>6933000</v>
      </c>
      <c r="BQ30" s="82">
        <v>6462000</v>
      </c>
      <c r="BR30" s="81">
        <v>6893000</v>
      </c>
      <c r="BS30" s="82">
        <v>6422000</v>
      </c>
      <c r="BT30" s="81">
        <v>5981000</v>
      </c>
      <c r="BU30" s="82">
        <v>5510000</v>
      </c>
      <c r="BV30" s="81">
        <v>6199000</v>
      </c>
      <c r="BW30" s="82">
        <v>5728000</v>
      </c>
      <c r="BX30" s="81">
        <v>7451000</v>
      </c>
      <c r="BY30" s="82">
        <v>6980000</v>
      </c>
      <c r="BZ30" s="81">
        <v>7689000</v>
      </c>
      <c r="CA30" s="82">
        <v>7218000</v>
      </c>
      <c r="CB30" s="81">
        <v>6343000</v>
      </c>
      <c r="CC30" s="82">
        <v>5872000</v>
      </c>
      <c r="CD30" s="81">
        <v>6182000</v>
      </c>
      <c r="CE30" s="82">
        <v>5711000</v>
      </c>
      <c r="CF30" s="81">
        <v>6182000</v>
      </c>
      <c r="CG30" s="82">
        <v>5711000</v>
      </c>
      <c r="CH30" s="81">
        <v>7490000</v>
      </c>
      <c r="CI30" s="82">
        <v>7019000</v>
      </c>
      <c r="CJ30" s="81">
        <v>7895000</v>
      </c>
      <c r="CK30" s="82">
        <v>7424000</v>
      </c>
      <c r="CL30" s="100">
        <v>1</v>
      </c>
      <c r="CM30" s="81">
        <v>9831000</v>
      </c>
      <c r="CN30" s="82">
        <v>9360000</v>
      </c>
      <c r="CO30" s="81">
        <v>10588000</v>
      </c>
      <c r="CP30" s="82">
        <v>10117000</v>
      </c>
      <c r="CQ30" s="81">
        <v>9918000</v>
      </c>
      <c r="CR30" s="82">
        <v>9447000</v>
      </c>
      <c r="CS30" s="81">
        <v>11044000</v>
      </c>
      <c r="CT30" s="82">
        <v>10573000</v>
      </c>
      <c r="CU30" s="81">
        <v>11004000</v>
      </c>
      <c r="CV30" s="82">
        <v>10533000</v>
      </c>
      <c r="CW30" s="81">
        <v>10092000</v>
      </c>
      <c r="CX30" s="82">
        <v>9621000</v>
      </c>
      <c r="CY30" s="81">
        <v>10310000</v>
      </c>
      <c r="CZ30" s="82">
        <v>9839000</v>
      </c>
      <c r="DA30" s="81">
        <v>11562000</v>
      </c>
      <c r="DB30" s="82">
        <v>11091000</v>
      </c>
      <c r="DC30" s="81">
        <v>11800000</v>
      </c>
      <c r="DD30" s="82">
        <v>11329000</v>
      </c>
      <c r="DE30" s="81">
        <v>10453000</v>
      </c>
      <c r="DF30" s="82">
        <v>9982000</v>
      </c>
      <c r="DG30" s="81">
        <v>10292000</v>
      </c>
      <c r="DH30" s="82">
        <v>9821000</v>
      </c>
      <c r="DI30" s="81">
        <v>10292000</v>
      </c>
      <c r="DJ30" s="82">
        <v>9821000</v>
      </c>
      <c r="DK30" s="81">
        <v>11601000</v>
      </c>
      <c r="DL30" s="82">
        <v>11130000</v>
      </c>
      <c r="DM30" s="81">
        <v>12006000</v>
      </c>
      <c r="DN30" s="82">
        <v>11535000</v>
      </c>
    </row>
    <row r="31" spans="1:118" ht="15.75" customHeight="1" x14ac:dyDescent="0.25">
      <c r="A31" s="83">
        <v>3</v>
      </c>
      <c r="B31" s="84" t="s">
        <v>481</v>
      </c>
      <c r="C31" s="100">
        <v>3</v>
      </c>
      <c r="D31" s="81">
        <v>5170000</v>
      </c>
      <c r="E31" s="82">
        <v>4689000</v>
      </c>
      <c r="F31" s="81">
        <v>5959000</v>
      </c>
      <c r="G31" s="82">
        <v>5478000</v>
      </c>
      <c r="H31" s="81">
        <v>5260000</v>
      </c>
      <c r="I31" s="82">
        <v>4779000</v>
      </c>
      <c r="J31" s="81">
        <v>6433000</v>
      </c>
      <c r="K31" s="82">
        <v>5952000</v>
      </c>
      <c r="L31" s="81">
        <v>6392000</v>
      </c>
      <c r="M31" s="82">
        <v>5911000</v>
      </c>
      <c r="N31" s="81">
        <v>5442000</v>
      </c>
      <c r="O31" s="82">
        <v>4961000</v>
      </c>
      <c r="P31" s="81">
        <v>5668000</v>
      </c>
      <c r="Q31" s="82">
        <v>5187000</v>
      </c>
      <c r="R31" s="81">
        <v>6972000</v>
      </c>
      <c r="S31" s="82">
        <v>6491000</v>
      </c>
      <c r="T31" s="81">
        <v>7220000</v>
      </c>
      <c r="U31" s="82">
        <v>6739000</v>
      </c>
      <c r="V31" s="81">
        <v>5818000</v>
      </c>
      <c r="W31" s="82">
        <v>5337000</v>
      </c>
      <c r="X31" s="81">
        <v>5650000</v>
      </c>
      <c r="Y31" s="82">
        <v>5169000</v>
      </c>
      <c r="Z31" s="81">
        <v>5650000</v>
      </c>
      <c r="AA31" s="82">
        <v>5169000</v>
      </c>
      <c r="AB31" s="81">
        <v>7013000</v>
      </c>
      <c r="AC31" s="82">
        <v>6532000</v>
      </c>
      <c r="AD31" s="81">
        <v>7435000</v>
      </c>
      <c r="AE31" s="82">
        <v>6954000</v>
      </c>
      <c r="AF31" s="100">
        <v>3</v>
      </c>
      <c r="AG31" s="81">
        <v>4926000</v>
      </c>
      <c r="AH31" s="82">
        <v>4445000</v>
      </c>
      <c r="AI31" s="81">
        <v>5715000</v>
      </c>
      <c r="AJ31" s="82">
        <v>5234000</v>
      </c>
      <c r="AK31" s="81">
        <v>5016000</v>
      </c>
      <c r="AL31" s="82">
        <v>4535000</v>
      </c>
      <c r="AM31" s="81">
        <v>6189000</v>
      </c>
      <c r="AN31" s="82">
        <v>5708000</v>
      </c>
      <c r="AO31" s="81">
        <v>6148000</v>
      </c>
      <c r="AP31" s="82">
        <v>5667000</v>
      </c>
      <c r="AQ31" s="81">
        <v>5198000</v>
      </c>
      <c r="AR31" s="82">
        <v>4717000</v>
      </c>
      <c r="AS31" s="81">
        <v>5425000</v>
      </c>
      <c r="AT31" s="82">
        <v>4944000</v>
      </c>
      <c r="AU31" s="81">
        <v>6728000</v>
      </c>
      <c r="AV31" s="82">
        <v>6247000</v>
      </c>
      <c r="AW31" s="81">
        <v>6976000</v>
      </c>
      <c r="AX31" s="82">
        <v>6495000</v>
      </c>
      <c r="AY31" s="81">
        <v>5574000</v>
      </c>
      <c r="AZ31" s="82">
        <v>5093000</v>
      </c>
      <c r="BA31" s="81">
        <v>5406000</v>
      </c>
      <c r="BB31" s="82">
        <v>4925000</v>
      </c>
      <c r="BC31" s="81">
        <v>5406000</v>
      </c>
      <c r="BD31" s="82">
        <v>4925000</v>
      </c>
      <c r="BE31" s="81">
        <v>6770000</v>
      </c>
      <c r="BF31" s="82">
        <v>6289000</v>
      </c>
      <c r="BG31" s="81">
        <v>7191000</v>
      </c>
      <c r="BH31" s="82">
        <v>6710000</v>
      </c>
      <c r="BI31" s="100">
        <v>1</v>
      </c>
      <c r="BJ31" s="81">
        <v>5803000</v>
      </c>
      <c r="BK31" s="82">
        <v>5322000</v>
      </c>
      <c r="BL31" s="81">
        <v>6592000</v>
      </c>
      <c r="BM31" s="82">
        <v>6111000</v>
      </c>
      <c r="BN31" s="81">
        <v>5894000</v>
      </c>
      <c r="BO31" s="82">
        <v>5413000</v>
      </c>
      <c r="BP31" s="81">
        <v>7067000</v>
      </c>
      <c r="BQ31" s="82">
        <v>6586000</v>
      </c>
      <c r="BR31" s="81">
        <v>7026000</v>
      </c>
      <c r="BS31" s="82">
        <v>6545000</v>
      </c>
      <c r="BT31" s="81">
        <v>6076000</v>
      </c>
      <c r="BU31" s="82">
        <v>5595000</v>
      </c>
      <c r="BV31" s="81">
        <v>6302000</v>
      </c>
      <c r="BW31" s="82">
        <v>5821000</v>
      </c>
      <c r="BX31" s="81">
        <v>7606000</v>
      </c>
      <c r="BY31" s="82">
        <v>7125000</v>
      </c>
      <c r="BZ31" s="81">
        <v>7854000</v>
      </c>
      <c r="CA31" s="82">
        <v>7373000</v>
      </c>
      <c r="CB31" s="81">
        <v>6452000</v>
      </c>
      <c r="CC31" s="82">
        <v>5971000</v>
      </c>
      <c r="CD31" s="81">
        <v>6284000</v>
      </c>
      <c r="CE31" s="82">
        <v>5803000</v>
      </c>
      <c r="CF31" s="81">
        <v>6284000</v>
      </c>
      <c r="CG31" s="82">
        <v>5803000</v>
      </c>
      <c r="CH31" s="81">
        <v>7647000</v>
      </c>
      <c r="CI31" s="82">
        <v>7166000</v>
      </c>
      <c r="CJ31" s="81">
        <v>8069000</v>
      </c>
      <c r="CK31" s="82">
        <v>7588000</v>
      </c>
      <c r="CL31" s="100">
        <v>1</v>
      </c>
      <c r="CM31" s="81">
        <v>9941000</v>
      </c>
      <c r="CN31" s="82">
        <v>9460000</v>
      </c>
      <c r="CO31" s="81">
        <v>10730000</v>
      </c>
      <c r="CP31" s="82">
        <v>10249000</v>
      </c>
      <c r="CQ31" s="81">
        <v>10032000</v>
      </c>
      <c r="CR31" s="82">
        <v>9551000</v>
      </c>
      <c r="CS31" s="81">
        <v>11204000</v>
      </c>
      <c r="CT31" s="82">
        <v>10723000</v>
      </c>
      <c r="CU31" s="81">
        <v>11163000</v>
      </c>
      <c r="CV31" s="82">
        <v>10682000</v>
      </c>
      <c r="CW31" s="81">
        <v>10213000</v>
      </c>
      <c r="CX31" s="82">
        <v>9732000</v>
      </c>
      <c r="CY31" s="81">
        <v>10440000</v>
      </c>
      <c r="CZ31" s="82">
        <v>9959000</v>
      </c>
      <c r="DA31" s="81">
        <v>11744000</v>
      </c>
      <c r="DB31" s="82">
        <v>11263000</v>
      </c>
      <c r="DC31" s="81">
        <v>11992000</v>
      </c>
      <c r="DD31" s="82">
        <v>11511000</v>
      </c>
      <c r="DE31" s="81">
        <v>10590000</v>
      </c>
      <c r="DF31" s="82">
        <v>10109000</v>
      </c>
      <c r="DG31" s="81">
        <v>10422000</v>
      </c>
      <c r="DH31" s="82">
        <v>9941000</v>
      </c>
      <c r="DI31" s="81">
        <v>10422000</v>
      </c>
      <c r="DJ31" s="82">
        <v>9941000</v>
      </c>
      <c r="DK31" s="81">
        <v>11785000</v>
      </c>
      <c r="DL31" s="82">
        <v>11304000</v>
      </c>
      <c r="DM31" s="81">
        <v>12207000</v>
      </c>
      <c r="DN31" s="82">
        <v>11726000</v>
      </c>
    </row>
    <row r="32" spans="1:118" ht="15.75" customHeight="1" x14ac:dyDescent="0.25">
      <c r="A32" s="83">
        <v>4</v>
      </c>
      <c r="B32" s="84" t="s">
        <v>482</v>
      </c>
      <c r="C32" s="100">
        <v>3</v>
      </c>
      <c r="D32" s="81">
        <v>5386000</v>
      </c>
      <c r="E32" s="82">
        <v>4878000</v>
      </c>
      <c r="F32" s="81">
        <v>6254000</v>
      </c>
      <c r="G32" s="82">
        <v>5746000</v>
      </c>
      <c r="H32" s="81">
        <v>5486000</v>
      </c>
      <c r="I32" s="82">
        <v>4978000</v>
      </c>
      <c r="J32" s="81">
        <v>6776000</v>
      </c>
      <c r="K32" s="82">
        <v>6268000</v>
      </c>
      <c r="L32" s="81">
        <v>6730000</v>
      </c>
      <c r="M32" s="82">
        <v>6222000</v>
      </c>
      <c r="N32" s="81">
        <v>5685000</v>
      </c>
      <c r="O32" s="82">
        <v>5177000</v>
      </c>
      <c r="P32" s="81">
        <v>5935000</v>
      </c>
      <c r="Q32" s="82">
        <v>5427000</v>
      </c>
      <c r="R32" s="81">
        <v>7369000</v>
      </c>
      <c r="S32" s="82">
        <v>6861000</v>
      </c>
      <c r="T32" s="81">
        <v>7642000</v>
      </c>
      <c r="U32" s="82">
        <v>7134000</v>
      </c>
      <c r="V32" s="81">
        <v>6099000</v>
      </c>
      <c r="W32" s="82">
        <v>5591000</v>
      </c>
      <c r="X32" s="81">
        <v>5915000</v>
      </c>
      <c r="Y32" s="82">
        <v>5407000</v>
      </c>
      <c r="Z32" s="81">
        <v>5915000</v>
      </c>
      <c r="AA32" s="82">
        <v>5407000</v>
      </c>
      <c r="AB32" s="81">
        <v>7414000</v>
      </c>
      <c r="AC32" s="82">
        <v>6906000</v>
      </c>
      <c r="AD32" s="81">
        <v>7878000</v>
      </c>
      <c r="AE32" s="82">
        <v>7370000</v>
      </c>
      <c r="AF32" s="100">
        <v>3</v>
      </c>
      <c r="AG32" s="81">
        <v>5135000</v>
      </c>
      <c r="AH32" s="82">
        <v>4627000</v>
      </c>
      <c r="AI32" s="81">
        <v>6002000</v>
      </c>
      <c r="AJ32" s="82">
        <v>5494000</v>
      </c>
      <c r="AK32" s="81">
        <v>5234000</v>
      </c>
      <c r="AL32" s="82">
        <v>4726000</v>
      </c>
      <c r="AM32" s="81">
        <v>6524000</v>
      </c>
      <c r="AN32" s="82">
        <v>6016000</v>
      </c>
      <c r="AO32" s="81">
        <v>6479000</v>
      </c>
      <c r="AP32" s="82">
        <v>5971000</v>
      </c>
      <c r="AQ32" s="81">
        <v>5434000</v>
      </c>
      <c r="AR32" s="82">
        <v>4926000</v>
      </c>
      <c r="AS32" s="81">
        <v>5683000</v>
      </c>
      <c r="AT32" s="82">
        <v>5175000</v>
      </c>
      <c r="AU32" s="81">
        <v>7117000</v>
      </c>
      <c r="AV32" s="82">
        <v>6609000</v>
      </c>
      <c r="AW32" s="81">
        <v>7390000</v>
      </c>
      <c r="AX32" s="82">
        <v>6882000</v>
      </c>
      <c r="AY32" s="81">
        <v>5848000</v>
      </c>
      <c r="AZ32" s="82">
        <v>5340000</v>
      </c>
      <c r="BA32" s="81">
        <v>5663000</v>
      </c>
      <c r="BB32" s="82">
        <v>5155000</v>
      </c>
      <c r="BC32" s="81">
        <v>5663000</v>
      </c>
      <c r="BD32" s="82">
        <v>5155000</v>
      </c>
      <c r="BE32" s="81">
        <v>7163000</v>
      </c>
      <c r="BF32" s="82">
        <v>6655000</v>
      </c>
      <c r="BG32" s="81">
        <v>7627000</v>
      </c>
      <c r="BH32" s="82">
        <v>7119000</v>
      </c>
      <c r="BI32" s="100">
        <v>1</v>
      </c>
      <c r="BJ32" s="81">
        <v>6014000</v>
      </c>
      <c r="BK32" s="82">
        <v>5506000</v>
      </c>
      <c r="BL32" s="81">
        <v>6882000</v>
      </c>
      <c r="BM32" s="82">
        <v>6374000</v>
      </c>
      <c r="BN32" s="81">
        <v>6114000</v>
      </c>
      <c r="BO32" s="82">
        <v>5606000</v>
      </c>
      <c r="BP32" s="81">
        <v>7403000</v>
      </c>
      <c r="BQ32" s="82">
        <v>6895000</v>
      </c>
      <c r="BR32" s="81">
        <v>7358000</v>
      </c>
      <c r="BS32" s="82">
        <v>6850000</v>
      </c>
      <c r="BT32" s="81">
        <v>6313000</v>
      </c>
      <c r="BU32" s="82">
        <v>5805000</v>
      </c>
      <c r="BV32" s="81">
        <v>6563000</v>
      </c>
      <c r="BW32" s="82">
        <v>6055000</v>
      </c>
      <c r="BX32" s="81">
        <v>7997000</v>
      </c>
      <c r="BY32" s="82">
        <v>7489000</v>
      </c>
      <c r="BZ32" s="81">
        <v>8270000</v>
      </c>
      <c r="CA32" s="82">
        <v>7762000</v>
      </c>
      <c r="CB32" s="81">
        <v>6727000</v>
      </c>
      <c r="CC32" s="82">
        <v>6219000</v>
      </c>
      <c r="CD32" s="81">
        <v>6543000</v>
      </c>
      <c r="CE32" s="82">
        <v>6035000</v>
      </c>
      <c r="CF32" s="81">
        <v>6543000</v>
      </c>
      <c r="CG32" s="82">
        <v>6035000</v>
      </c>
      <c r="CH32" s="81">
        <v>8042000</v>
      </c>
      <c r="CI32" s="82">
        <v>7534000</v>
      </c>
      <c r="CJ32" s="81">
        <v>8506000</v>
      </c>
      <c r="CK32" s="82">
        <v>7998000</v>
      </c>
      <c r="CL32" s="100">
        <v>1</v>
      </c>
      <c r="CM32" s="81">
        <v>10219000</v>
      </c>
      <c r="CN32" s="82">
        <v>9711000</v>
      </c>
      <c r="CO32" s="81">
        <v>11087000</v>
      </c>
      <c r="CP32" s="82">
        <v>10579000</v>
      </c>
      <c r="CQ32" s="81">
        <v>10318000</v>
      </c>
      <c r="CR32" s="82">
        <v>9810000</v>
      </c>
      <c r="CS32" s="81">
        <v>11608000</v>
      </c>
      <c r="CT32" s="82">
        <v>11100000</v>
      </c>
      <c r="CU32" s="81">
        <v>11563000</v>
      </c>
      <c r="CV32" s="82">
        <v>11055000</v>
      </c>
      <c r="CW32" s="81">
        <v>10518000</v>
      </c>
      <c r="CX32" s="82">
        <v>10010000</v>
      </c>
      <c r="CY32" s="81">
        <v>10767000</v>
      </c>
      <c r="CZ32" s="82">
        <v>10259000</v>
      </c>
      <c r="DA32" s="81">
        <v>12202000</v>
      </c>
      <c r="DB32" s="82">
        <v>11694000</v>
      </c>
      <c r="DC32" s="81">
        <v>12474000</v>
      </c>
      <c r="DD32" s="82">
        <v>11966000</v>
      </c>
      <c r="DE32" s="81">
        <v>10932000</v>
      </c>
      <c r="DF32" s="82">
        <v>10424000</v>
      </c>
      <c r="DG32" s="81">
        <v>10747000</v>
      </c>
      <c r="DH32" s="82">
        <v>10239000</v>
      </c>
      <c r="DI32" s="81">
        <v>10747000</v>
      </c>
      <c r="DJ32" s="82">
        <v>10239000</v>
      </c>
      <c r="DK32" s="81">
        <v>12247000</v>
      </c>
      <c r="DL32" s="82">
        <v>11739000</v>
      </c>
      <c r="DM32" s="81">
        <v>12711000</v>
      </c>
      <c r="DN32" s="82">
        <v>12203000</v>
      </c>
    </row>
    <row r="33" spans="1:118" ht="15.75" customHeight="1" x14ac:dyDescent="0.25">
      <c r="A33" s="83">
        <v>5</v>
      </c>
      <c r="B33" s="84" t="s">
        <v>483</v>
      </c>
      <c r="C33" s="100">
        <v>3</v>
      </c>
      <c r="D33" s="81">
        <v>5603000</v>
      </c>
      <c r="E33" s="82">
        <v>5068000</v>
      </c>
      <c r="F33" s="81">
        <v>6550000</v>
      </c>
      <c r="G33" s="82">
        <v>6015000</v>
      </c>
      <c r="H33" s="81">
        <v>5712000</v>
      </c>
      <c r="I33" s="82">
        <v>5177000</v>
      </c>
      <c r="J33" s="81">
        <v>7119000</v>
      </c>
      <c r="K33" s="82">
        <v>6584000</v>
      </c>
      <c r="L33" s="81">
        <v>7069000</v>
      </c>
      <c r="M33" s="82">
        <v>6534000</v>
      </c>
      <c r="N33" s="81">
        <v>5929000</v>
      </c>
      <c r="O33" s="82">
        <v>5394000</v>
      </c>
      <c r="P33" s="81">
        <v>6201000</v>
      </c>
      <c r="Q33" s="82">
        <v>5666000</v>
      </c>
      <c r="R33" s="81">
        <v>7766000</v>
      </c>
      <c r="S33" s="82">
        <v>7231000</v>
      </c>
      <c r="T33" s="81">
        <v>8064000</v>
      </c>
      <c r="U33" s="82">
        <v>7529000</v>
      </c>
      <c r="V33" s="81">
        <v>6381000</v>
      </c>
      <c r="W33" s="82">
        <v>5846000</v>
      </c>
      <c r="X33" s="81">
        <v>6180000</v>
      </c>
      <c r="Y33" s="82">
        <v>5645000</v>
      </c>
      <c r="Z33" s="81">
        <v>6180000</v>
      </c>
      <c r="AA33" s="82">
        <v>5645000</v>
      </c>
      <c r="AB33" s="81">
        <v>7815000</v>
      </c>
      <c r="AC33" s="82">
        <v>7280000</v>
      </c>
      <c r="AD33" s="81">
        <v>8321000</v>
      </c>
      <c r="AE33" s="82">
        <v>7786000</v>
      </c>
      <c r="AF33" s="100">
        <v>3</v>
      </c>
      <c r="AG33" s="81">
        <v>5343000</v>
      </c>
      <c r="AH33" s="82">
        <v>4808000</v>
      </c>
      <c r="AI33" s="81">
        <v>6290000</v>
      </c>
      <c r="AJ33" s="82">
        <v>5755000</v>
      </c>
      <c r="AK33" s="81">
        <v>5452000</v>
      </c>
      <c r="AL33" s="82">
        <v>4917000</v>
      </c>
      <c r="AM33" s="81">
        <v>6859000</v>
      </c>
      <c r="AN33" s="82">
        <v>6324000</v>
      </c>
      <c r="AO33" s="81">
        <v>6810000</v>
      </c>
      <c r="AP33" s="82">
        <v>6275000</v>
      </c>
      <c r="AQ33" s="81">
        <v>5670000</v>
      </c>
      <c r="AR33" s="82">
        <v>5135000</v>
      </c>
      <c r="AS33" s="81">
        <v>5942000</v>
      </c>
      <c r="AT33" s="82">
        <v>5407000</v>
      </c>
      <c r="AU33" s="81">
        <v>7507000</v>
      </c>
      <c r="AV33" s="82">
        <v>6972000</v>
      </c>
      <c r="AW33" s="81">
        <v>7804000</v>
      </c>
      <c r="AX33" s="82">
        <v>7269000</v>
      </c>
      <c r="AY33" s="81">
        <v>6121000</v>
      </c>
      <c r="AZ33" s="82">
        <v>5586000</v>
      </c>
      <c r="BA33" s="81">
        <v>5920000</v>
      </c>
      <c r="BB33" s="82">
        <v>5385000</v>
      </c>
      <c r="BC33" s="81">
        <v>5920000</v>
      </c>
      <c r="BD33" s="82">
        <v>5385000</v>
      </c>
      <c r="BE33" s="81">
        <v>7556000</v>
      </c>
      <c r="BF33" s="82">
        <v>7021000</v>
      </c>
      <c r="BG33" s="81">
        <v>8062000</v>
      </c>
      <c r="BH33" s="82">
        <v>7527000</v>
      </c>
      <c r="BI33" s="100">
        <v>1</v>
      </c>
      <c r="BJ33" s="81">
        <v>6224000</v>
      </c>
      <c r="BK33" s="82">
        <v>5689000</v>
      </c>
      <c r="BL33" s="81">
        <v>7171000</v>
      </c>
      <c r="BM33" s="82">
        <v>6636000</v>
      </c>
      <c r="BN33" s="81">
        <v>6333000</v>
      </c>
      <c r="BO33" s="82">
        <v>5798000</v>
      </c>
      <c r="BP33" s="81">
        <v>7740000</v>
      </c>
      <c r="BQ33" s="82">
        <v>7205000</v>
      </c>
      <c r="BR33" s="81">
        <v>7691000</v>
      </c>
      <c r="BS33" s="82">
        <v>7156000</v>
      </c>
      <c r="BT33" s="81">
        <v>6551000</v>
      </c>
      <c r="BU33" s="82">
        <v>6016000</v>
      </c>
      <c r="BV33" s="81">
        <v>6823000</v>
      </c>
      <c r="BW33" s="82">
        <v>6288000</v>
      </c>
      <c r="BX33" s="81">
        <v>8387000</v>
      </c>
      <c r="BY33" s="82">
        <v>7852000</v>
      </c>
      <c r="BZ33" s="81">
        <v>8685000</v>
      </c>
      <c r="CA33" s="82">
        <v>8150000</v>
      </c>
      <c r="CB33" s="81">
        <v>7002000</v>
      </c>
      <c r="CC33" s="82">
        <v>6467000</v>
      </c>
      <c r="CD33" s="81">
        <v>6801000</v>
      </c>
      <c r="CE33" s="82">
        <v>6266000</v>
      </c>
      <c r="CF33" s="81">
        <v>6801000</v>
      </c>
      <c r="CG33" s="82">
        <v>6266000</v>
      </c>
      <c r="CH33" s="81">
        <v>8437000</v>
      </c>
      <c r="CI33" s="82">
        <v>7902000</v>
      </c>
      <c r="CJ33" s="81">
        <v>8943000</v>
      </c>
      <c r="CK33" s="82">
        <v>8408000</v>
      </c>
      <c r="CL33" s="100">
        <v>1</v>
      </c>
      <c r="CM33" s="81">
        <v>10496000</v>
      </c>
      <c r="CN33" s="82">
        <v>9961000</v>
      </c>
      <c r="CO33" s="81">
        <v>11443000</v>
      </c>
      <c r="CP33" s="82">
        <v>10908000</v>
      </c>
      <c r="CQ33" s="81">
        <v>10605000</v>
      </c>
      <c r="CR33" s="82">
        <v>10070000</v>
      </c>
      <c r="CS33" s="81">
        <v>12012000</v>
      </c>
      <c r="CT33" s="82">
        <v>11477000</v>
      </c>
      <c r="CU33" s="81">
        <v>11963000</v>
      </c>
      <c r="CV33" s="82">
        <v>11428000</v>
      </c>
      <c r="CW33" s="81">
        <v>10822000</v>
      </c>
      <c r="CX33" s="82">
        <v>10287000</v>
      </c>
      <c r="CY33" s="81">
        <v>11095000</v>
      </c>
      <c r="CZ33" s="82">
        <v>10560000</v>
      </c>
      <c r="DA33" s="81">
        <v>12659000</v>
      </c>
      <c r="DB33" s="82">
        <v>12124000</v>
      </c>
      <c r="DC33" s="81">
        <v>12957000</v>
      </c>
      <c r="DD33" s="82">
        <v>12422000</v>
      </c>
      <c r="DE33" s="81">
        <v>11274000</v>
      </c>
      <c r="DF33" s="82">
        <v>10739000</v>
      </c>
      <c r="DG33" s="81">
        <v>11073000</v>
      </c>
      <c r="DH33" s="82">
        <v>10538000</v>
      </c>
      <c r="DI33" s="81">
        <v>11073000</v>
      </c>
      <c r="DJ33" s="82">
        <v>10538000</v>
      </c>
      <c r="DK33" s="81">
        <v>12709000</v>
      </c>
      <c r="DL33" s="82">
        <v>12174000</v>
      </c>
      <c r="DM33" s="81">
        <v>13215000</v>
      </c>
      <c r="DN33" s="82">
        <v>12680000</v>
      </c>
    </row>
    <row r="34" spans="1:118" ht="15.75" customHeight="1" x14ac:dyDescent="0.25">
      <c r="A34" s="83">
        <v>6</v>
      </c>
      <c r="B34" s="84" t="s">
        <v>484</v>
      </c>
      <c r="C34" s="100">
        <v>6</v>
      </c>
      <c r="D34" s="81">
        <v>8409000</v>
      </c>
      <c r="E34" s="82">
        <v>7768000</v>
      </c>
      <c r="F34" s="81">
        <v>9672000</v>
      </c>
      <c r="G34" s="82">
        <v>9031000</v>
      </c>
      <c r="H34" s="81">
        <v>8554000</v>
      </c>
      <c r="I34" s="82">
        <v>7913000</v>
      </c>
      <c r="J34" s="81">
        <v>10430000</v>
      </c>
      <c r="K34" s="82">
        <v>9789000</v>
      </c>
      <c r="L34" s="81">
        <v>10365000</v>
      </c>
      <c r="M34" s="82">
        <v>9724000</v>
      </c>
      <c r="N34" s="81">
        <v>8844000</v>
      </c>
      <c r="O34" s="82">
        <v>8203000</v>
      </c>
      <c r="P34" s="81">
        <v>9207000</v>
      </c>
      <c r="Q34" s="82">
        <v>8566000</v>
      </c>
      <c r="R34" s="81">
        <v>11293000</v>
      </c>
      <c r="S34" s="82">
        <v>10652000</v>
      </c>
      <c r="T34" s="81">
        <v>11690000</v>
      </c>
      <c r="U34" s="82">
        <v>11049000</v>
      </c>
      <c r="V34" s="81">
        <v>9447000</v>
      </c>
      <c r="W34" s="82">
        <v>8806000</v>
      </c>
      <c r="X34" s="81">
        <v>9178000</v>
      </c>
      <c r="Y34" s="82">
        <v>8537000</v>
      </c>
      <c r="Z34" s="81">
        <v>9178000</v>
      </c>
      <c r="AA34" s="82">
        <v>8537000</v>
      </c>
      <c r="AB34" s="81">
        <v>11359000</v>
      </c>
      <c r="AC34" s="82">
        <v>10718000</v>
      </c>
      <c r="AD34" s="81">
        <v>12034000</v>
      </c>
      <c r="AE34" s="82">
        <v>11393000</v>
      </c>
      <c r="AF34" s="100">
        <v>6</v>
      </c>
      <c r="AG34" s="81">
        <v>7953000</v>
      </c>
      <c r="AH34" s="82">
        <v>7312000</v>
      </c>
      <c r="AI34" s="81">
        <v>9215000</v>
      </c>
      <c r="AJ34" s="82">
        <v>8574000</v>
      </c>
      <c r="AK34" s="81">
        <v>8098000</v>
      </c>
      <c r="AL34" s="82">
        <v>7457000</v>
      </c>
      <c r="AM34" s="81">
        <v>9974000</v>
      </c>
      <c r="AN34" s="82">
        <v>9333000</v>
      </c>
      <c r="AO34" s="81">
        <v>9908000</v>
      </c>
      <c r="AP34" s="82">
        <v>9267000</v>
      </c>
      <c r="AQ34" s="81">
        <v>8388000</v>
      </c>
      <c r="AR34" s="82">
        <v>7747000</v>
      </c>
      <c r="AS34" s="81">
        <v>8751000</v>
      </c>
      <c r="AT34" s="82">
        <v>8110000</v>
      </c>
      <c r="AU34" s="81">
        <v>10837000</v>
      </c>
      <c r="AV34" s="82">
        <v>10196000</v>
      </c>
      <c r="AW34" s="81">
        <v>11234000</v>
      </c>
      <c r="AX34" s="82">
        <v>10593000</v>
      </c>
      <c r="AY34" s="81">
        <v>8990000</v>
      </c>
      <c r="AZ34" s="82">
        <v>8349000</v>
      </c>
      <c r="BA34" s="81">
        <v>8722000</v>
      </c>
      <c r="BB34" s="82">
        <v>8081000</v>
      </c>
      <c r="BC34" s="81">
        <v>8722000</v>
      </c>
      <c r="BD34" s="82">
        <v>8081000</v>
      </c>
      <c r="BE34" s="81">
        <v>10903000</v>
      </c>
      <c r="BF34" s="82">
        <v>10262000</v>
      </c>
      <c r="BG34" s="81">
        <v>11578000</v>
      </c>
      <c r="BH34" s="82">
        <v>10937000</v>
      </c>
      <c r="BI34" s="100">
        <v>2</v>
      </c>
      <c r="BJ34" s="81">
        <v>9702000</v>
      </c>
      <c r="BK34" s="82">
        <v>9061000</v>
      </c>
      <c r="BL34" s="81">
        <v>10964000</v>
      </c>
      <c r="BM34" s="82">
        <v>10323000</v>
      </c>
      <c r="BN34" s="81">
        <v>9847000</v>
      </c>
      <c r="BO34" s="82">
        <v>9206000</v>
      </c>
      <c r="BP34" s="81">
        <v>11723000</v>
      </c>
      <c r="BQ34" s="82">
        <v>11082000</v>
      </c>
      <c r="BR34" s="81">
        <v>11657000</v>
      </c>
      <c r="BS34" s="82">
        <v>11016000</v>
      </c>
      <c r="BT34" s="81">
        <v>10137000</v>
      </c>
      <c r="BU34" s="82">
        <v>9496000</v>
      </c>
      <c r="BV34" s="81">
        <v>10500000</v>
      </c>
      <c r="BW34" s="82">
        <v>9859000</v>
      </c>
      <c r="BX34" s="81">
        <v>12586000</v>
      </c>
      <c r="BY34" s="82">
        <v>11945000</v>
      </c>
      <c r="BZ34" s="81">
        <v>12983000</v>
      </c>
      <c r="CA34" s="82">
        <v>12342000</v>
      </c>
      <c r="CB34" s="81">
        <v>10739000</v>
      </c>
      <c r="CC34" s="82">
        <v>10098000</v>
      </c>
      <c r="CD34" s="81">
        <v>10471000</v>
      </c>
      <c r="CE34" s="82">
        <v>9830000</v>
      </c>
      <c r="CF34" s="81">
        <v>10471000</v>
      </c>
      <c r="CG34" s="82">
        <v>9830000</v>
      </c>
      <c r="CH34" s="81">
        <v>12652000</v>
      </c>
      <c r="CI34" s="82">
        <v>12011000</v>
      </c>
      <c r="CJ34" s="81">
        <v>13327000</v>
      </c>
      <c r="CK34" s="82">
        <v>12686000</v>
      </c>
      <c r="CL34" s="100">
        <v>2</v>
      </c>
      <c r="CM34" s="81">
        <v>17709000</v>
      </c>
      <c r="CN34" s="82">
        <v>17068000</v>
      </c>
      <c r="CO34" s="81">
        <v>18972000</v>
      </c>
      <c r="CP34" s="82">
        <v>18331000</v>
      </c>
      <c r="CQ34" s="81">
        <v>17854000</v>
      </c>
      <c r="CR34" s="82">
        <v>17213000</v>
      </c>
      <c r="CS34" s="81">
        <v>19730000</v>
      </c>
      <c r="CT34" s="82">
        <v>19089000</v>
      </c>
      <c r="CU34" s="81">
        <v>19665000</v>
      </c>
      <c r="CV34" s="82">
        <v>19024000</v>
      </c>
      <c r="CW34" s="81">
        <v>18144000</v>
      </c>
      <c r="CX34" s="82">
        <v>17503000</v>
      </c>
      <c r="CY34" s="81">
        <v>18507000</v>
      </c>
      <c r="CZ34" s="82">
        <v>17866000</v>
      </c>
      <c r="DA34" s="81">
        <v>20593000</v>
      </c>
      <c r="DB34" s="82">
        <v>19952000</v>
      </c>
      <c r="DC34" s="81">
        <v>20990000</v>
      </c>
      <c r="DD34" s="82">
        <v>20349000</v>
      </c>
      <c r="DE34" s="81">
        <v>18747000</v>
      </c>
      <c r="DF34" s="82">
        <v>18106000</v>
      </c>
      <c r="DG34" s="81">
        <v>18478000</v>
      </c>
      <c r="DH34" s="82">
        <v>17837000</v>
      </c>
      <c r="DI34" s="81">
        <v>18478000</v>
      </c>
      <c r="DJ34" s="82">
        <v>17837000</v>
      </c>
      <c r="DK34" s="81">
        <v>20659000</v>
      </c>
      <c r="DL34" s="82">
        <v>20018000</v>
      </c>
      <c r="DM34" s="81">
        <v>21334000</v>
      </c>
      <c r="DN34" s="82">
        <v>20693000</v>
      </c>
    </row>
    <row r="35" spans="1:118" ht="15.75" customHeight="1" x14ac:dyDescent="0.25">
      <c r="A35" s="83">
        <v>7</v>
      </c>
      <c r="B35" s="84" t="s">
        <v>485</v>
      </c>
      <c r="C35" s="100">
        <v>6</v>
      </c>
      <c r="D35" s="81">
        <v>9102000</v>
      </c>
      <c r="E35" s="82">
        <v>8375000</v>
      </c>
      <c r="F35" s="81">
        <v>10617000</v>
      </c>
      <c r="G35" s="82">
        <v>9890000</v>
      </c>
      <c r="H35" s="81">
        <v>9276000</v>
      </c>
      <c r="I35" s="82">
        <v>8549000</v>
      </c>
      <c r="J35" s="81">
        <v>11527000</v>
      </c>
      <c r="K35" s="82">
        <v>10800000</v>
      </c>
      <c r="L35" s="81">
        <v>11448000</v>
      </c>
      <c r="M35" s="82">
        <v>10721000</v>
      </c>
      <c r="N35" s="81">
        <v>9624000</v>
      </c>
      <c r="O35" s="82">
        <v>8897000</v>
      </c>
      <c r="P35" s="81">
        <v>10060000</v>
      </c>
      <c r="Q35" s="82">
        <v>9333000</v>
      </c>
      <c r="R35" s="81">
        <v>12563000</v>
      </c>
      <c r="S35" s="82">
        <v>11836000</v>
      </c>
      <c r="T35" s="81">
        <v>13039000</v>
      </c>
      <c r="U35" s="82">
        <v>12312000</v>
      </c>
      <c r="V35" s="81">
        <v>10347000</v>
      </c>
      <c r="W35" s="82">
        <v>9620000</v>
      </c>
      <c r="X35" s="81">
        <v>10025000</v>
      </c>
      <c r="Y35" s="82">
        <v>9298000</v>
      </c>
      <c r="Z35" s="81">
        <v>10025000</v>
      </c>
      <c r="AA35" s="82">
        <v>9298000</v>
      </c>
      <c r="AB35" s="81">
        <v>12642000</v>
      </c>
      <c r="AC35" s="82">
        <v>11915000</v>
      </c>
      <c r="AD35" s="81">
        <v>13452000</v>
      </c>
      <c r="AE35" s="82">
        <v>12725000</v>
      </c>
      <c r="AF35" s="100">
        <v>6</v>
      </c>
      <c r="AG35" s="81">
        <v>8621000</v>
      </c>
      <c r="AH35" s="82">
        <v>7894000</v>
      </c>
      <c r="AI35" s="81">
        <v>10136000</v>
      </c>
      <c r="AJ35" s="82">
        <v>9409000</v>
      </c>
      <c r="AK35" s="81">
        <v>8795000</v>
      </c>
      <c r="AL35" s="82">
        <v>8068000</v>
      </c>
      <c r="AM35" s="81">
        <v>11046000</v>
      </c>
      <c r="AN35" s="82">
        <v>10319000</v>
      </c>
      <c r="AO35" s="81">
        <v>10967000</v>
      </c>
      <c r="AP35" s="82">
        <v>10240000</v>
      </c>
      <c r="AQ35" s="81">
        <v>9143000</v>
      </c>
      <c r="AR35" s="82">
        <v>8416000</v>
      </c>
      <c r="AS35" s="81">
        <v>9578000</v>
      </c>
      <c r="AT35" s="82">
        <v>8851000</v>
      </c>
      <c r="AU35" s="81">
        <v>12082000</v>
      </c>
      <c r="AV35" s="82">
        <v>11355000</v>
      </c>
      <c r="AW35" s="81">
        <v>12558000</v>
      </c>
      <c r="AX35" s="82">
        <v>11831000</v>
      </c>
      <c r="AY35" s="81">
        <v>9866000</v>
      </c>
      <c r="AZ35" s="82">
        <v>9139000</v>
      </c>
      <c r="BA35" s="81">
        <v>9544000</v>
      </c>
      <c r="BB35" s="82">
        <v>8817000</v>
      </c>
      <c r="BC35" s="81">
        <v>9544000</v>
      </c>
      <c r="BD35" s="82">
        <v>8817000</v>
      </c>
      <c r="BE35" s="81">
        <v>12161000</v>
      </c>
      <c r="BF35" s="82">
        <v>11434000</v>
      </c>
      <c r="BG35" s="81">
        <v>12970000</v>
      </c>
      <c r="BH35" s="82">
        <v>12243000</v>
      </c>
      <c r="BI35" s="100">
        <v>2</v>
      </c>
      <c r="BJ35" s="81">
        <v>10375000</v>
      </c>
      <c r="BK35" s="82">
        <v>9648000</v>
      </c>
      <c r="BL35" s="81">
        <v>11890000</v>
      </c>
      <c r="BM35" s="82">
        <v>11163000</v>
      </c>
      <c r="BN35" s="81">
        <v>10549000</v>
      </c>
      <c r="BO35" s="82">
        <v>9822000</v>
      </c>
      <c r="BP35" s="81">
        <v>12800000</v>
      </c>
      <c r="BQ35" s="82">
        <v>12073000</v>
      </c>
      <c r="BR35" s="81">
        <v>12721000</v>
      </c>
      <c r="BS35" s="82">
        <v>11994000</v>
      </c>
      <c r="BT35" s="81">
        <v>10897000</v>
      </c>
      <c r="BU35" s="82">
        <v>10170000</v>
      </c>
      <c r="BV35" s="81">
        <v>11332000</v>
      </c>
      <c r="BW35" s="82">
        <v>10605000</v>
      </c>
      <c r="BX35" s="81">
        <v>13836000</v>
      </c>
      <c r="BY35" s="82">
        <v>13109000</v>
      </c>
      <c r="BZ35" s="81">
        <v>14312000</v>
      </c>
      <c r="CA35" s="82">
        <v>13585000</v>
      </c>
      <c r="CB35" s="81">
        <v>11620000</v>
      </c>
      <c r="CC35" s="82">
        <v>10893000</v>
      </c>
      <c r="CD35" s="81">
        <v>11298000</v>
      </c>
      <c r="CE35" s="82">
        <v>10571000</v>
      </c>
      <c r="CF35" s="81">
        <v>11298000</v>
      </c>
      <c r="CG35" s="82">
        <v>10571000</v>
      </c>
      <c r="CH35" s="81">
        <v>13915000</v>
      </c>
      <c r="CI35" s="82">
        <v>13188000</v>
      </c>
      <c r="CJ35" s="81">
        <v>14725000</v>
      </c>
      <c r="CK35" s="82">
        <v>13998000</v>
      </c>
      <c r="CL35" s="100">
        <v>2</v>
      </c>
      <c r="CM35" s="81">
        <v>18596000</v>
      </c>
      <c r="CN35" s="82">
        <v>17869000</v>
      </c>
      <c r="CO35" s="81">
        <v>20111000</v>
      </c>
      <c r="CP35" s="82">
        <v>19384000</v>
      </c>
      <c r="CQ35" s="81">
        <v>18771000</v>
      </c>
      <c r="CR35" s="82">
        <v>18044000</v>
      </c>
      <c r="CS35" s="81">
        <v>21022000</v>
      </c>
      <c r="CT35" s="82">
        <v>20295000</v>
      </c>
      <c r="CU35" s="81">
        <v>20943000</v>
      </c>
      <c r="CV35" s="82">
        <v>20216000</v>
      </c>
      <c r="CW35" s="81">
        <v>19119000</v>
      </c>
      <c r="CX35" s="82">
        <v>18392000</v>
      </c>
      <c r="CY35" s="81">
        <v>19554000</v>
      </c>
      <c r="CZ35" s="82">
        <v>18827000</v>
      </c>
      <c r="DA35" s="81">
        <v>22058000</v>
      </c>
      <c r="DB35" s="82">
        <v>21331000</v>
      </c>
      <c r="DC35" s="81">
        <v>22534000</v>
      </c>
      <c r="DD35" s="82">
        <v>21807000</v>
      </c>
      <c r="DE35" s="81">
        <v>19841000</v>
      </c>
      <c r="DF35" s="82">
        <v>19114000</v>
      </c>
      <c r="DG35" s="81">
        <v>19519000</v>
      </c>
      <c r="DH35" s="82">
        <v>18792000</v>
      </c>
      <c r="DI35" s="81">
        <v>19519000</v>
      </c>
      <c r="DJ35" s="82">
        <v>18792000</v>
      </c>
      <c r="DK35" s="81">
        <v>22137000</v>
      </c>
      <c r="DL35" s="82">
        <v>21410000</v>
      </c>
      <c r="DM35" s="81">
        <v>22946000</v>
      </c>
      <c r="DN35" s="82">
        <v>22219000</v>
      </c>
    </row>
    <row r="36" spans="1:118" ht="15.75" customHeight="1" x14ac:dyDescent="0.25">
      <c r="A36" s="83">
        <v>8</v>
      </c>
      <c r="B36" s="84" t="s">
        <v>486</v>
      </c>
      <c r="C36" s="100">
        <v>6</v>
      </c>
      <c r="D36" s="81">
        <v>9275000</v>
      </c>
      <c r="E36" s="82">
        <v>8528000</v>
      </c>
      <c r="F36" s="81">
        <v>10853000</v>
      </c>
      <c r="G36" s="82">
        <v>10106000</v>
      </c>
      <c r="H36" s="81">
        <v>9456000</v>
      </c>
      <c r="I36" s="82">
        <v>8709000</v>
      </c>
      <c r="J36" s="81">
        <v>11801000</v>
      </c>
      <c r="K36" s="82">
        <v>11054000</v>
      </c>
      <c r="L36" s="81">
        <v>11719000</v>
      </c>
      <c r="M36" s="82">
        <v>10972000</v>
      </c>
      <c r="N36" s="81">
        <v>9819000</v>
      </c>
      <c r="O36" s="82">
        <v>9072000</v>
      </c>
      <c r="P36" s="81">
        <v>10272000</v>
      </c>
      <c r="Q36" s="82">
        <v>9525000</v>
      </c>
      <c r="R36" s="81">
        <v>12880000</v>
      </c>
      <c r="S36" s="82">
        <v>12133000</v>
      </c>
      <c r="T36" s="81">
        <v>13376000</v>
      </c>
      <c r="U36" s="82">
        <v>12629000</v>
      </c>
      <c r="V36" s="81">
        <v>10571000</v>
      </c>
      <c r="W36" s="82">
        <v>9824000</v>
      </c>
      <c r="X36" s="81">
        <v>10236000</v>
      </c>
      <c r="Y36" s="82">
        <v>9489000</v>
      </c>
      <c r="Z36" s="81">
        <v>10236000</v>
      </c>
      <c r="AA36" s="82">
        <v>9489000</v>
      </c>
      <c r="AB36" s="81">
        <v>12962000</v>
      </c>
      <c r="AC36" s="82">
        <v>12215000</v>
      </c>
      <c r="AD36" s="81">
        <v>13806000</v>
      </c>
      <c r="AE36" s="82">
        <v>13059000</v>
      </c>
      <c r="AF36" s="100">
        <v>6</v>
      </c>
      <c r="AG36" s="81">
        <v>8787000</v>
      </c>
      <c r="AH36" s="82">
        <v>8040000</v>
      </c>
      <c r="AI36" s="81">
        <v>10365000</v>
      </c>
      <c r="AJ36" s="82">
        <v>9618000</v>
      </c>
      <c r="AK36" s="81">
        <v>8968000</v>
      </c>
      <c r="AL36" s="82">
        <v>8221000</v>
      </c>
      <c r="AM36" s="81">
        <v>11314000</v>
      </c>
      <c r="AN36" s="82">
        <v>10567000</v>
      </c>
      <c r="AO36" s="81">
        <v>11231000</v>
      </c>
      <c r="AP36" s="82">
        <v>10484000</v>
      </c>
      <c r="AQ36" s="81">
        <v>9331000</v>
      </c>
      <c r="AR36" s="82">
        <v>8584000</v>
      </c>
      <c r="AS36" s="81">
        <v>9785000</v>
      </c>
      <c r="AT36" s="82">
        <v>9038000</v>
      </c>
      <c r="AU36" s="81">
        <v>12392000</v>
      </c>
      <c r="AV36" s="82">
        <v>11645000</v>
      </c>
      <c r="AW36" s="81">
        <v>12888000</v>
      </c>
      <c r="AX36" s="82">
        <v>12141000</v>
      </c>
      <c r="AY36" s="81">
        <v>10084000</v>
      </c>
      <c r="AZ36" s="82">
        <v>9337000</v>
      </c>
      <c r="BA36" s="81">
        <v>9748000</v>
      </c>
      <c r="BB36" s="82">
        <v>9001000</v>
      </c>
      <c r="BC36" s="81">
        <v>9748000</v>
      </c>
      <c r="BD36" s="82">
        <v>9001000</v>
      </c>
      <c r="BE36" s="81">
        <v>12475000</v>
      </c>
      <c r="BF36" s="82">
        <v>11728000</v>
      </c>
      <c r="BG36" s="81">
        <v>13318000</v>
      </c>
      <c r="BH36" s="82">
        <v>12571000</v>
      </c>
      <c r="BI36" s="100">
        <v>2</v>
      </c>
      <c r="BJ36" s="81">
        <v>10542000</v>
      </c>
      <c r="BK36" s="82">
        <v>9795000</v>
      </c>
      <c r="BL36" s="81">
        <v>12120000</v>
      </c>
      <c r="BM36" s="82">
        <v>11373000</v>
      </c>
      <c r="BN36" s="81">
        <v>10724000</v>
      </c>
      <c r="BO36" s="82">
        <v>9977000</v>
      </c>
      <c r="BP36" s="81">
        <v>13069000</v>
      </c>
      <c r="BQ36" s="82">
        <v>12322000</v>
      </c>
      <c r="BR36" s="81">
        <v>12987000</v>
      </c>
      <c r="BS36" s="82">
        <v>12240000</v>
      </c>
      <c r="BT36" s="81">
        <v>11087000</v>
      </c>
      <c r="BU36" s="82">
        <v>10340000</v>
      </c>
      <c r="BV36" s="81">
        <v>11540000</v>
      </c>
      <c r="BW36" s="82">
        <v>10793000</v>
      </c>
      <c r="BX36" s="81">
        <v>14148000</v>
      </c>
      <c r="BY36" s="82">
        <v>13401000</v>
      </c>
      <c r="BZ36" s="81">
        <v>14644000</v>
      </c>
      <c r="CA36" s="82">
        <v>13897000</v>
      </c>
      <c r="CB36" s="81">
        <v>11839000</v>
      </c>
      <c r="CC36" s="82">
        <v>11092000</v>
      </c>
      <c r="CD36" s="81">
        <v>11504000</v>
      </c>
      <c r="CE36" s="82">
        <v>10757000</v>
      </c>
      <c r="CF36" s="81">
        <v>11504000</v>
      </c>
      <c r="CG36" s="82">
        <v>10757000</v>
      </c>
      <c r="CH36" s="81">
        <v>14230000</v>
      </c>
      <c r="CI36" s="82">
        <v>13483000</v>
      </c>
      <c r="CJ36" s="81">
        <v>15074000</v>
      </c>
      <c r="CK36" s="82">
        <v>14327000</v>
      </c>
      <c r="CL36" s="100">
        <v>2</v>
      </c>
      <c r="CM36" s="81">
        <v>18818000</v>
      </c>
      <c r="CN36" s="82">
        <v>18071000</v>
      </c>
      <c r="CO36" s="81">
        <v>20396000</v>
      </c>
      <c r="CP36" s="82">
        <v>19649000</v>
      </c>
      <c r="CQ36" s="81">
        <v>18999000</v>
      </c>
      <c r="CR36" s="82">
        <v>18252000</v>
      </c>
      <c r="CS36" s="81">
        <v>21344000</v>
      </c>
      <c r="CT36" s="82">
        <v>20597000</v>
      </c>
      <c r="CU36" s="81">
        <v>21262000</v>
      </c>
      <c r="CV36" s="82">
        <v>20515000</v>
      </c>
      <c r="CW36" s="81">
        <v>19362000</v>
      </c>
      <c r="CX36" s="82">
        <v>18615000</v>
      </c>
      <c r="CY36" s="81">
        <v>19815000</v>
      </c>
      <c r="CZ36" s="82">
        <v>19068000</v>
      </c>
      <c r="DA36" s="81">
        <v>22423000</v>
      </c>
      <c r="DB36" s="82">
        <v>21676000</v>
      </c>
      <c r="DC36" s="81">
        <v>22919000</v>
      </c>
      <c r="DD36" s="82">
        <v>22172000</v>
      </c>
      <c r="DE36" s="81">
        <v>20115000</v>
      </c>
      <c r="DF36" s="82">
        <v>19368000</v>
      </c>
      <c r="DG36" s="81">
        <v>19779000</v>
      </c>
      <c r="DH36" s="82">
        <v>19032000</v>
      </c>
      <c r="DI36" s="81">
        <v>19779000</v>
      </c>
      <c r="DJ36" s="82">
        <v>19032000</v>
      </c>
      <c r="DK36" s="81">
        <v>22505000</v>
      </c>
      <c r="DL36" s="82">
        <v>21758000</v>
      </c>
      <c r="DM36" s="81">
        <v>23349000</v>
      </c>
      <c r="DN36" s="82">
        <v>22602000</v>
      </c>
    </row>
    <row r="37" spans="1:118" ht="15.75" customHeight="1" x14ac:dyDescent="0.25">
      <c r="A37" s="83">
        <v>9</v>
      </c>
      <c r="B37" s="84" t="s">
        <v>487</v>
      </c>
      <c r="C37" s="100">
        <v>6</v>
      </c>
      <c r="D37" s="81">
        <v>9708000</v>
      </c>
      <c r="E37" s="82">
        <v>8907000</v>
      </c>
      <c r="F37" s="81">
        <v>11444000</v>
      </c>
      <c r="G37" s="82">
        <v>10643000</v>
      </c>
      <c r="H37" s="81">
        <v>9907000</v>
      </c>
      <c r="I37" s="82">
        <v>9106000</v>
      </c>
      <c r="J37" s="81">
        <v>12487000</v>
      </c>
      <c r="K37" s="82">
        <v>11686000</v>
      </c>
      <c r="L37" s="81">
        <v>12396000</v>
      </c>
      <c r="M37" s="82">
        <v>11595000</v>
      </c>
      <c r="N37" s="81">
        <v>10306000</v>
      </c>
      <c r="O37" s="82">
        <v>9505000</v>
      </c>
      <c r="P37" s="81">
        <v>10805000</v>
      </c>
      <c r="Q37" s="82">
        <v>10004000</v>
      </c>
      <c r="R37" s="81">
        <v>13674000</v>
      </c>
      <c r="S37" s="82">
        <v>12873000</v>
      </c>
      <c r="T37" s="81">
        <v>14219000</v>
      </c>
      <c r="U37" s="82">
        <v>13418000</v>
      </c>
      <c r="V37" s="81">
        <v>11134000</v>
      </c>
      <c r="W37" s="82">
        <v>10333000</v>
      </c>
      <c r="X37" s="81">
        <v>10765000</v>
      </c>
      <c r="Y37" s="82">
        <v>9964000</v>
      </c>
      <c r="Z37" s="81">
        <v>10765000</v>
      </c>
      <c r="AA37" s="82">
        <v>9964000</v>
      </c>
      <c r="AB37" s="81">
        <v>13764000</v>
      </c>
      <c r="AC37" s="82">
        <v>12963000</v>
      </c>
      <c r="AD37" s="81">
        <v>14692000</v>
      </c>
      <c r="AE37" s="82">
        <v>13891000</v>
      </c>
      <c r="AF37" s="100">
        <v>6</v>
      </c>
      <c r="AG37" s="81">
        <v>9205000</v>
      </c>
      <c r="AH37" s="82">
        <v>8404000</v>
      </c>
      <c r="AI37" s="81">
        <v>10940000</v>
      </c>
      <c r="AJ37" s="82">
        <v>10139000</v>
      </c>
      <c r="AK37" s="81">
        <v>9404000</v>
      </c>
      <c r="AL37" s="82">
        <v>8603000</v>
      </c>
      <c r="AM37" s="81">
        <v>11984000</v>
      </c>
      <c r="AN37" s="82">
        <v>11183000</v>
      </c>
      <c r="AO37" s="81">
        <v>11893000</v>
      </c>
      <c r="AP37" s="82">
        <v>11092000</v>
      </c>
      <c r="AQ37" s="81">
        <v>9803000</v>
      </c>
      <c r="AR37" s="82">
        <v>9002000</v>
      </c>
      <c r="AS37" s="81">
        <v>10302000</v>
      </c>
      <c r="AT37" s="82">
        <v>9501000</v>
      </c>
      <c r="AU37" s="81">
        <v>13170000</v>
      </c>
      <c r="AV37" s="82">
        <v>12369000</v>
      </c>
      <c r="AW37" s="81">
        <v>13716000</v>
      </c>
      <c r="AX37" s="82">
        <v>12915000</v>
      </c>
      <c r="AY37" s="81">
        <v>10631000</v>
      </c>
      <c r="AZ37" s="82">
        <v>9830000</v>
      </c>
      <c r="BA37" s="81">
        <v>10262000</v>
      </c>
      <c r="BB37" s="82">
        <v>9461000</v>
      </c>
      <c r="BC37" s="81">
        <v>10262000</v>
      </c>
      <c r="BD37" s="82">
        <v>9461000</v>
      </c>
      <c r="BE37" s="81">
        <v>13261000</v>
      </c>
      <c r="BF37" s="82">
        <v>12460000</v>
      </c>
      <c r="BG37" s="81">
        <v>14189000</v>
      </c>
      <c r="BH37" s="82">
        <v>13388000</v>
      </c>
      <c r="BI37" s="100">
        <v>2</v>
      </c>
      <c r="BJ37" s="81">
        <v>10963000</v>
      </c>
      <c r="BK37" s="82">
        <v>10162000</v>
      </c>
      <c r="BL37" s="81">
        <v>12699000</v>
      </c>
      <c r="BM37" s="82">
        <v>11898000</v>
      </c>
      <c r="BN37" s="81">
        <v>11163000</v>
      </c>
      <c r="BO37" s="82">
        <v>10362000</v>
      </c>
      <c r="BP37" s="81">
        <v>13742000</v>
      </c>
      <c r="BQ37" s="82">
        <v>12941000</v>
      </c>
      <c r="BR37" s="81">
        <v>13652000</v>
      </c>
      <c r="BS37" s="82">
        <v>12851000</v>
      </c>
      <c r="BT37" s="81">
        <v>11562000</v>
      </c>
      <c r="BU37" s="82">
        <v>10761000</v>
      </c>
      <c r="BV37" s="81">
        <v>12061000</v>
      </c>
      <c r="BW37" s="82">
        <v>11260000</v>
      </c>
      <c r="BX37" s="81">
        <v>14929000</v>
      </c>
      <c r="BY37" s="82">
        <v>14128000</v>
      </c>
      <c r="BZ37" s="81">
        <v>15475000</v>
      </c>
      <c r="CA37" s="82">
        <v>14674000</v>
      </c>
      <c r="CB37" s="81">
        <v>12390000</v>
      </c>
      <c r="CC37" s="82">
        <v>11589000</v>
      </c>
      <c r="CD37" s="81">
        <v>12021000</v>
      </c>
      <c r="CE37" s="82">
        <v>11220000</v>
      </c>
      <c r="CF37" s="81">
        <v>12021000</v>
      </c>
      <c r="CG37" s="82">
        <v>11220000</v>
      </c>
      <c r="CH37" s="81">
        <v>15020000</v>
      </c>
      <c r="CI37" s="82">
        <v>14219000</v>
      </c>
      <c r="CJ37" s="81">
        <v>15947000</v>
      </c>
      <c r="CK37" s="82">
        <v>15146000</v>
      </c>
      <c r="CL37" s="100">
        <v>2</v>
      </c>
      <c r="CM37" s="81">
        <v>19373000</v>
      </c>
      <c r="CN37" s="82">
        <v>18572000</v>
      </c>
      <c r="CO37" s="81">
        <v>21109000</v>
      </c>
      <c r="CP37" s="82">
        <v>20308000</v>
      </c>
      <c r="CQ37" s="81">
        <v>19572000</v>
      </c>
      <c r="CR37" s="82">
        <v>18771000</v>
      </c>
      <c r="CS37" s="81">
        <v>22152000</v>
      </c>
      <c r="CT37" s="82">
        <v>21351000</v>
      </c>
      <c r="CU37" s="81">
        <v>22061000</v>
      </c>
      <c r="CV37" s="82">
        <v>21260000</v>
      </c>
      <c r="CW37" s="81">
        <v>19971000</v>
      </c>
      <c r="CX37" s="82">
        <v>19170000</v>
      </c>
      <c r="CY37" s="81">
        <v>20470000</v>
      </c>
      <c r="CZ37" s="82">
        <v>19669000</v>
      </c>
      <c r="DA37" s="81">
        <v>23339000</v>
      </c>
      <c r="DB37" s="82">
        <v>22538000</v>
      </c>
      <c r="DC37" s="81">
        <v>23884000</v>
      </c>
      <c r="DD37" s="82">
        <v>23083000</v>
      </c>
      <c r="DE37" s="81">
        <v>20799000</v>
      </c>
      <c r="DF37" s="82">
        <v>19998000</v>
      </c>
      <c r="DG37" s="81">
        <v>20430000</v>
      </c>
      <c r="DH37" s="82">
        <v>19629000</v>
      </c>
      <c r="DI37" s="81">
        <v>20430000</v>
      </c>
      <c r="DJ37" s="82">
        <v>19629000</v>
      </c>
      <c r="DK37" s="81">
        <v>23429000</v>
      </c>
      <c r="DL37" s="82">
        <v>22628000</v>
      </c>
      <c r="DM37" s="81">
        <v>24357000</v>
      </c>
      <c r="DN37" s="82">
        <v>23556000</v>
      </c>
    </row>
    <row r="38" spans="1:118" ht="15.75" customHeight="1" x14ac:dyDescent="0.25">
      <c r="A38" s="83">
        <v>10</v>
      </c>
      <c r="B38" s="84" t="s">
        <v>488</v>
      </c>
      <c r="C38" s="100">
        <v>6</v>
      </c>
      <c r="D38" s="81">
        <v>10140000</v>
      </c>
      <c r="E38" s="82">
        <v>9286000</v>
      </c>
      <c r="F38" s="81">
        <v>12034000</v>
      </c>
      <c r="G38" s="82">
        <v>11180000</v>
      </c>
      <c r="H38" s="81">
        <v>10358000</v>
      </c>
      <c r="I38" s="82">
        <v>9504000</v>
      </c>
      <c r="J38" s="81">
        <v>13172000</v>
      </c>
      <c r="K38" s="82">
        <v>12318000</v>
      </c>
      <c r="L38" s="81">
        <v>13073000</v>
      </c>
      <c r="M38" s="82">
        <v>12219000</v>
      </c>
      <c r="N38" s="81">
        <v>10793000</v>
      </c>
      <c r="O38" s="82">
        <v>9939000</v>
      </c>
      <c r="P38" s="81">
        <v>11337000</v>
      </c>
      <c r="Q38" s="82">
        <v>10483000</v>
      </c>
      <c r="R38" s="81">
        <v>14466000</v>
      </c>
      <c r="S38" s="82">
        <v>13612000</v>
      </c>
      <c r="T38" s="81">
        <v>15062000</v>
      </c>
      <c r="U38" s="82">
        <v>14208000</v>
      </c>
      <c r="V38" s="81">
        <v>11696000</v>
      </c>
      <c r="W38" s="82">
        <v>10842000</v>
      </c>
      <c r="X38" s="81">
        <v>11294000</v>
      </c>
      <c r="Y38" s="82">
        <v>10440000</v>
      </c>
      <c r="Z38" s="81">
        <v>11294000</v>
      </c>
      <c r="AA38" s="82">
        <v>10440000</v>
      </c>
      <c r="AB38" s="81">
        <v>14565000</v>
      </c>
      <c r="AC38" s="82">
        <v>13711000</v>
      </c>
      <c r="AD38" s="81">
        <v>15577000</v>
      </c>
      <c r="AE38" s="82">
        <v>14723000</v>
      </c>
      <c r="AF38" s="100">
        <v>6</v>
      </c>
      <c r="AG38" s="81">
        <v>9621000</v>
      </c>
      <c r="AH38" s="82">
        <v>8767000</v>
      </c>
      <c r="AI38" s="81">
        <v>11515000</v>
      </c>
      <c r="AJ38" s="82">
        <v>10661000</v>
      </c>
      <c r="AK38" s="81">
        <v>9839000</v>
      </c>
      <c r="AL38" s="82">
        <v>8985000</v>
      </c>
      <c r="AM38" s="81">
        <v>12653000</v>
      </c>
      <c r="AN38" s="82">
        <v>11799000</v>
      </c>
      <c r="AO38" s="81">
        <v>12554000</v>
      </c>
      <c r="AP38" s="82">
        <v>11700000</v>
      </c>
      <c r="AQ38" s="81">
        <v>10274000</v>
      </c>
      <c r="AR38" s="82">
        <v>9420000</v>
      </c>
      <c r="AS38" s="81">
        <v>10818000</v>
      </c>
      <c r="AT38" s="82">
        <v>9964000</v>
      </c>
      <c r="AU38" s="81">
        <v>13948000</v>
      </c>
      <c r="AV38" s="82">
        <v>13094000</v>
      </c>
      <c r="AW38" s="81">
        <v>14543000</v>
      </c>
      <c r="AX38" s="82">
        <v>13689000</v>
      </c>
      <c r="AY38" s="81">
        <v>11177000</v>
      </c>
      <c r="AZ38" s="82">
        <v>10323000</v>
      </c>
      <c r="BA38" s="81">
        <v>10775000</v>
      </c>
      <c r="BB38" s="82">
        <v>9921000</v>
      </c>
      <c r="BC38" s="81">
        <v>10775000</v>
      </c>
      <c r="BD38" s="82">
        <v>9921000</v>
      </c>
      <c r="BE38" s="81">
        <v>14046000</v>
      </c>
      <c r="BF38" s="82">
        <v>13192000</v>
      </c>
      <c r="BG38" s="81">
        <v>15058000</v>
      </c>
      <c r="BH38" s="82">
        <v>14204000</v>
      </c>
      <c r="BI38" s="100">
        <v>2</v>
      </c>
      <c r="BJ38" s="81">
        <v>11383000</v>
      </c>
      <c r="BK38" s="82">
        <v>10529000</v>
      </c>
      <c r="BL38" s="81">
        <v>13277000</v>
      </c>
      <c r="BM38" s="82">
        <v>12423000</v>
      </c>
      <c r="BN38" s="81">
        <v>11601000</v>
      </c>
      <c r="BO38" s="82">
        <v>10747000</v>
      </c>
      <c r="BP38" s="81">
        <v>14415000</v>
      </c>
      <c r="BQ38" s="82">
        <v>13561000</v>
      </c>
      <c r="BR38" s="81">
        <v>14316000</v>
      </c>
      <c r="BS38" s="82">
        <v>13462000</v>
      </c>
      <c r="BT38" s="81">
        <v>12036000</v>
      </c>
      <c r="BU38" s="82">
        <v>11182000</v>
      </c>
      <c r="BV38" s="81">
        <v>12580000</v>
      </c>
      <c r="BW38" s="82">
        <v>11726000</v>
      </c>
      <c r="BX38" s="81">
        <v>15709000</v>
      </c>
      <c r="BY38" s="82">
        <v>14855000</v>
      </c>
      <c r="BZ38" s="81">
        <v>16305000</v>
      </c>
      <c r="CA38" s="82">
        <v>15451000</v>
      </c>
      <c r="CB38" s="81">
        <v>12939000</v>
      </c>
      <c r="CC38" s="82">
        <v>12085000</v>
      </c>
      <c r="CD38" s="81">
        <v>12536000</v>
      </c>
      <c r="CE38" s="82">
        <v>11682000</v>
      </c>
      <c r="CF38" s="81">
        <v>12536000</v>
      </c>
      <c r="CG38" s="82">
        <v>11682000</v>
      </c>
      <c r="CH38" s="81">
        <v>15808000</v>
      </c>
      <c r="CI38" s="82">
        <v>14954000</v>
      </c>
      <c r="CJ38" s="81">
        <v>16820000</v>
      </c>
      <c r="CK38" s="82">
        <v>15966000</v>
      </c>
      <c r="CL38" s="100">
        <v>2</v>
      </c>
      <c r="CM38" s="81">
        <v>19926000</v>
      </c>
      <c r="CN38" s="82">
        <v>19072000</v>
      </c>
      <c r="CO38" s="81">
        <v>21820000</v>
      </c>
      <c r="CP38" s="82">
        <v>20966000</v>
      </c>
      <c r="CQ38" s="81">
        <v>20144000</v>
      </c>
      <c r="CR38" s="82">
        <v>19290000</v>
      </c>
      <c r="CS38" s="81">
        <v>22958000</v>
      </c>
      <c r="CT38" s="82">
        <v>22104000</v>
      </c>
      <c r="CU38" s="81">
        <v>22860000</v>
      </c>
      <c r="CV38" s="82">
        <v>22006000</v>
      </c>
      <c r="CW38" s="81">
        <v>20579000</v>
      </c>
      <c r="CX38" s="82">
        <v>19725000</v>
      </c>
      <c r="CY38" s="81">
        <v>21124000</v>
      </c>
      <c r="CZ38" s="82">
        <v>20270000</v>
      </c>
      <c r="DA38" s="81">
        <v>24253000</v>
      </c>
      <c r="DB38" s="82">
        <v>23399000</v>
      </c>
      <c r="DC38" s="81">
        <v>24848000</v>
      </c>
      <c r="DD38" s="82">
        <v>23994000</v>
      </c>
      <c r="DE38" s="81">
        <v>21483000</v>
      </c>
      <c r="DF38" s="82">
        <v>20629000</v>
      </c>
      <c r="DG38" s="81">
        <v>21080000</v>
      </c>
      <c r="DH38" s="82">
        <v>20226000</v>
      </c>
      <c r="DI38" s="81">
        <v>21080000</v>
      </c>
      <c r="DJ38" s="82">
        <v>20226000</v>
      </c>
      <c r="DK38" s="81">
        <v>24352000</v>
      </c>
      <c r="DL38" s="82">
        <v>23498000</v>
      </c>
      <c r="DM38" s="81">
        <v>25364000</v>
      </c>
      <c r="DN38" s="82">
        <v>24510000</v>
      </c>
    </row>
    <row r="39" spans="1:118" ht="15.75" customHeight="1" x14ac:dyDescent="0.3">
      <c r="A39" s="74"/>
      <c r="B39" s="90" t="s">
        <v>439</v>
      </c>
      <c r="C39" s="99"/>
      <c r="D39" s="94"/>
      <c r="E39" s="60"/>
      <c r="F39" s="94"/>
      <c r="G39" s="60"/>
      <c r="H39" s="94"/>
      <c r="I39" s="60"/>
      <c r="J39" s="94"/>
      <c r="K39" s="60"/>
      <c r="L39" s="94"/>
      <c r="M39" s="60"/>
      <c r="N39" s="94"/>
      <c r="O39" s="60"/>
      <c r="P39" s="94"/>
      <c r="Q39" s="60"/>
      <c r="R39" s="94"/>
      <c r="S39" s="60"/>
      <c r="T39" s="94"/>
      <c r="U39" s="60"/>
      <c r="V39" s="94"/>
      <c r="W39" s="60"/>
      <c r="X39" s="94"/>
      <c r="Y39" s="60"/>
      <c r="Z39" s="94"/>
      <c r="AA39" s="60"/>
      <c r="AB39" s="94"/>
      <c r="AC39" s="60"/>
      <c r="AD39" s="94"/>
      <c r="AE39" s="60"/>
      <c r="AF39" s="99"/>
      <c r="AG39" s="94"/>
      <c r="AH39" s="60"/>
      <c r="AI39" s="94"/>
      <c r="AJ39" s="60"/>
      <c r="AK39" s="94"/>
      <c r="AL39" s="60"/>
      <c r="AM39" s="94"/>
      <c r="AN39" s="60"/>
      <c r="AO39" s="94"/>
      <c r="AP39" s="60"/>
      <c r="AQ39" s="94"/>
      <c r="AR39" s="60"/>
      <c r="AS39" s="94"/>
      <c r="AT39" s="60"/>
      <c r="AU39" s="94"/>
      <c r="AV39" s="60"/>
      <c r="AW39" s="94"/>
      <c r="AX39" s="60"/>
      <c r="AY39" s="94"/>
      <c r="AZ39" s="60"/>
      <c r="BA39" s="94"/>
      <c r="BB39" s="60"/>
      <c r="BC39" s="94"/>
      <c r="BD39" s="60"/>
      <c r="BE39" s="94"/>
      <c r="BF39" s="60"/>
      <c r="BG39" s="94"/>
      <c r="BH39" s="60"/>
      <c r="BI39" s="99"/>
      <c r="BJ39" s="94"/>
      <c r="BK39" s="60"/>
      <c r="BL39" s="94"/>
      <c r="BM39" s="60"/>
      <c r="BN39" s="94"/>
      <c r="BO39" s="60"/>
      <c r="BP39" s="94"/>
      <c r="BQ39" s="60"/>
      <c r="BR39" s="94"/>
      <c r="BS39" s="60"/>
      <c r="BT39" s="94"/>
      <c r="BU39" s="60"/>
      <c r="BV39" s="94"/>
      <c r="BW39" s="60"/>
      <c r="BX39" s="94"/>
      <c r="BY39" s="60"/>
      <c r="BZ39" s="94"/>
      <c r="CA39" s="60"/>
      <c r="CB39" s="94"/>
      <c r="CC39" s="60"/>
      <c r="CD39" s="94"/>
      <c r="CE39" s="60"/>
      <c r="CF39" s="94"/>
      <c r="CG39" s="60"/>
      <c r="CH39" s="94"/>
      <c r="CI39" s="60"/>
      <c r="CJ39" s="94"/>
      <c r="CK39" s="60"/>
      <c r="CL39" s="99"/>
      <c r="CM39" s="94"/>
      <c r="CN39" s="60"/>
      <c r="CO39" s="94"/>
      <c r="CP39" s="60"/>
      <c r="CQ39" s="94"/>
      <c r="CR39" s="60"/>
      <c r="CS39" s="94"/>
      <c r="CT39" s="60"/>
      <c r="CU39" s="94"/>
      <c r="CV39" s="60"/>
      <c r="CW39" s="94"/>
      <c r="CX39" s="60"/>
      <c r="CY39" s="94"/>
      <c r="CZ39" s="60"/>
      <c r="DA39" s="94"/>
      <c r="DB39" s="60"/>
      <c r="DC39" s="94"/>
      <c r="DD39" s="60"/>
      <c r="DE39" s="94"/>
      <c r="DF39" s="60"/>
      <c r="DG39" s="94"/>
      <c r="DH39" s="60"/>
      <c r="DI39" s="94"/>
      <c r="DJ39" s="60"/>
      <c r="DK39" s="94"/>
      <c r="DL39" s="60"/>
      <c r="DM39" s="94"/>
      <c r="DN39" s="60"/>
    </row>
    <row r="40" spans="1:118" ht="15.75" customHeight="1" x14ac:dyDescent="0.25">
      <c r="A40" s="79">
        <v>1</v>
      </c>
      <c r="B40" s="80" t="s">
        <v>489</v>
      </c>
      <c r="C40" s="100">
        <v>3</v>
      </c>
      <c r="D40" s="81">
        <v>5582000</v>
      </c>
      <c r="E40" s="82">
        <v>5031000</v>
      </c>
      <c r="F40" s="81">
        <v>6371000</v>
      </c>
      <c r="G40" s="82">
        <v>5820000</v>
      </c>
      <c r="H40" s="81">
        <v>5672000</v>
      </c>
      <c r="I40" s="82">
        <v>5121000</v>
      </c>
      <c r="J40" s="81">
        <v>6845000</v>
      </c>
      <c r="K40" s="82">
        <v>6294000</v>
      </c>
      <c r="L40" s="81">
        <v>6804000</v>
      </c>
      <c r="M40" s="82">
        <v>6253000</v>
      </c>
      <c r="N40" s="81">
        <v>5854000</v>
      </c>
      <c r="O40" s="82">
        <v>5303000</v>
      </c>
      <c r="P40" s="81">
        <v>6080000</v>
      </c>
      <c r="Q40" s="82">
        <v>5529000</v>
      </c>
      <c r="R40" s="81">
        <v>7384000</v>
      </c>
      <c r="S40" s="82">
        <v>6833000</v>
      </c>
      <c r="T40" s="81">
        <v>7632000</v>
      </c>
      <c r="U40" s="82">
        <v>7081000</v>
      </c>
      <c r="V40" s="81">
        <v>6230000</v>
      </c>
      <c r="W40" s="82">
        <v>5679000</v>
      </c>
      <c r="X40" s="81">
        <v>6062000</v>
      </c>
      <c r="Y40" s="82">
        <v>5511000</v>
      </c>
      <c r="Z40" s="81">
        <v>6062000</v>
      </c>
      <c r="AA40" s="82">
        <v>5511000</v>
      </c>
      <c r="AB40" s="81">
        <v>7425000</v>
      </c>
      <c r="AC40" s="82">
        <v>6874000</v>
      </c>
      <c r="AD40" s="81">
        <v>7847000</v>
      </c>
      <c r="AE40" s="82">
        <v>7296000</v>
      </c>
      <c r="AF40" s="100">
        <v>3</v>
      </c>
      <c r="AG40" s="81">
        <v>5312000</v>
      </c>
      <c r="AH40" s="82">
        <v>4761000</v>
      </c>
      <c r="AI40" s="81">
        <v>6101000</v>
      </c>
      <c r="AJ40" s="82">
        <v>5550000</v>
      </c>
      <c r="AK40" s="81">
        <v>5403000</v>
      </c>
      <c r="AL40" s="82">
        <v>4852000</v>
      </c>
      <c r="AM40" s="81">
        <v>6575000</v>
      </c>
      <c r="AN40" s="82">
        <v>6024000</v>
      </c>
      <c r="AO40" s="81">
        <v>6534000</v>
      </c>
      <c r="AP40" s="82">
        <v>5983000</v>
      </c>
      <c r="AQ40" s="81">
        <v>5584000</v>
      </c>
      <c r="AR40" s="82">
        <v>5033000</v>
      </c>
      <c r="AS40" s="81">
        <v>5811000</v>
      </c>
      <c r="AT40" s="82">
        <v>5260000</v>
      </c>
      <c r="AU40" s="81">
        <v>7115000</v>
      </c>
      <c r="AV40" s="82">
        <v>6564000</v>
      </c>
      <c r="AW40" s="81">
        <v>7363000</v>
      </c>
      <c r="AX40" s="82">
        <v>6812000</v>
      </c>
      <c r="AY40" s="81">
        <v>5961000</v>
      </c>
      <c r="AZ40" s="82">
        <v>5410000</v>
      </c>
      <c r="BA40" s="81">
        <v>5793000</v>
      </c>
      <c r="BB40" s="82">
        <v>5242000</v>
      </c>
      <c r="BC40" s="81">
        <v>5793000</v>
      </c>
      <c r="BD40" s="82">
        <v>5242000</v>
      </c>
      <c r="BE40" s="81">
        <v>7156000</v>
      </c>
      <c r="BF40" s="82">
        <v>6605000</v>
      </c>
      <c r="BG40" s="81">
        <v>7578000</v>
      </c>
      <c r="BH40" s="82">
        <v>7027000</v>
      </c>
      <c r="BI40" s="100">
        <v>1</v>
      </c>
      <c r="BJ40" s="81">
        <v>6193000</v>
      </c>
      <c r="BK40" s="82">
        <v>5642000</v>
      </c>
      <c r="BL40" s="81">
        <v>6982000</v>
      </c>
      <c r="BM40" s="82">
        <v>6431000</v>
      </c>
      <c r="BN40" s="81">
        <v>6284000</v>
      </c>
      <c r="BO40" s="82">
        <v>5733000</v>
      </c>
      <c r="BP40" s="81">
        <v>7456000</v>
      </c>
      <c r="BQ40" s="82">
        <v>6905000</v>
      </c>
      <c r="BR40" s="81">
        <v>7415000</v>
      </c>
      <c r="BS40" s="82">
        <v>6864000</v>
      </c>
      <c r="BT40" s="81">
        <v>6465000</v>
      </c>
      <c r="BU40" s="82">
        <v>5914000</v>
      </c>
      <c r="BV40" s="81">
        <v>6692000</v>
      </c>
      <c r="BW40" s="82">
        <v>6141000</v>
      </c>
      <c r="BX40" s="81">
        <v>7996000</v>
      </c>
      <c r="BY40" s="82">
        <v>7445000</v>
      </c>
      <c r="BZ40" s="81">
        <v>8244000</v>
      </c>
      <c r="CA40" s="82">
        <v>7693000</v>
      </c>
      <c r="CB40" s="81">
        <v>6841000</v>
      </c>
      <c r="CC40" s="82">
        <v>6290000</v>
      </c>
      <c r="CD40" s="81">
        <v>6674000</v>
      </c>
      <c r="CE40" s="82">
        <v>6123000</v>
      </c>
      <c r="CF40" s="81">
        <v>6674000</v>
      </c>
      <c r="CG40" s="82">
        <v>6123000</v>
      </c>
      <c r="CH40" s="81">
        <v>8037000</v>
      </c>
      <c r="CI40" s="82">
        <v>7486000</v>
      </c>
      <c r="CJ40" s="81">
        <v>8459000</v>
      </c>
      <c r="CK40" s="82">
        <v>7908000</v>
      </c>
      <c r="CL40" s="100">
        <v>1</v>
      </c>
      <c r="CM40" s="81">
        <v>10499000</v>
      </c>
      <c r="CN40" s="82">
        <v>9948000</v>
      </c>
      <c r="CO40" s="81">
        <v>11288000</v>
      </c>
      <c r="CP40" s="82">
        <v>10737000</v>
      </c>
      <c r="CQ40" s="81">
        <v>10589000</v>
      </c>
      <c r="CR40" s="82">
        <v>10038000</v>
      </c>
      <c r="CS40" s="81">
        <v>11762000</v>
      </c>
      <c r="CT40" s="82">
        <v>11211000</v>
      </c>
      <c r="CU40" s="81">
        <v>11721000</v>
      </c>
      <c r="CV40" s="82">
        <v>11170000</v>
      </c>
      <c r="CW40" s="81">
        <v>10771000</v>
      </c>
      <c r="CX40" s="82">
        <v>10220000</v>
      </c>
      <c r="CY40" s="81">
        <v>10998000</v>
      </c>
      <c r="CZ40" s="82">
        <v>10447000</v>
      </c>
      <c r="DA40" s="81">
        <v>12301000</v>
      </c>
      <c r="DB40" s="82">
        <v>11750000</v>
      </c>
      <c r="DC40" s="81">
        <v>12549000</v>
      </c>
      <c r="DD40" s="82">
        <v>11998000</v>
      </c>
      <c r="DE40" s="81">
        <v>11147000</v>
      </c>
      <c r="DF40" s="82">
        <v>10596000</v>
      </c>
      <c r="DG40" s="81">
        <v>10979000</v>
      </c>
      <c r="DH40" s="82">
        <v>10428000</v>
      </c>
      <c r="DI40" s="81">
        <v>10979000</v>
      </c>
      <c r="DJ40" s="82">
        <v>10428000</v>
      </c>
      <c r="DK40" s="81">
        <v>12343000</v>
      </c>
      <c r="DL40" s="82">
        <v>11792000</v>
      </c>
      <c r="DM40" s="81">
        <v>12764000</v>
      </c>
      <c r="DN40" s="82">
        <v>12213000</v>
      </c>
    </row>
    <row r="41" spans="1:118" ht="15.75" customHeight="1" x14ac:dyDescent="0.25">
      <c r="A41" s="83">
        <v>2</v>
      </c>
      <c r="B41" s="84" t="s">
        <v>490</v>
      </c>
      <c r="C41" s="100">
        <v>3</v>
      </c>
      <c r="D41" s="81">
        <v>6006000</v>
      </c>
      <c r="E41" s="82">
        <v>5399000</v>
      </c>
      <c r="F41" s="81">
        <v>6953000</v>
      </c>
      <c r="G41" s="82">
        <v>6346000</v>
      </c>
      <c r="H41" s="81">
        <v>6115000</v>
      </c>
      <c r="I41" s="82">
        <v>5508000</v>
      </c>
      <c r="J41" s="81">
        <v>7522000</v>
      </c>
      <c r="K41" s="82">
        <v>6915000</v>
      </c>
      <c r="L41" s="81">
        <v>7473000</v>
      </c>
      <c r="M41" s="82">
        <v>6866000</v>
      </c>
      <c r="N41" s="81">
        <v>6333000</v>
      </c>
      <c r="O41" s="82">
        <v>5726000</v>
      </c>
      <c r="P41" s="81">
        <v>6605000</v>
      </c>
      <c r="Q41" s="82">
        <v>5998000</v>
      </c>
      <c r="R41" s="81">
        <v>8170000</v>
      </c>
      <c r="S41" s="82">
        <v>7563000</v>
      </c>
      <c r="T41" s="81">
        <v>8467000</v>
      </c>
      <c r="U41" s="82">
        <v>7860000</v>
      </c>
      <c r="V41" s="81">
        <v>6784000</v>
      </c>
      <c r="W41" s="82">
        <v>6177000</v>
      </c>
      <c r="X41" s="81">
        <v>6583000</v>
      </c>
      <c r="Y41" s="82">
        <v>5976000</v>
      </c>
      <c r="Z41" s="81">
        <v>6583000</v>
      </c>
      <c r="AA41" s="82">
        <v>5976000</v>
      </c>
      <c r="AB41" s="81">
        <v>8219000</v>
      </c>
      <c r="AC41" s="82">
        <v>7612000</v>
      </c>
      <c r="AD41" s="81">
        <v>8725000</v>
      </c>
      <c r="AE41" s="82">
        <v>8118000</v>
      </c>
      <c r="AF41" s="100">
        <v>3</v>
      </c>
      <c r="AG41" s="81">
        <v>5724000</v>
      </c>
      <c r="AH41" s="82">
        <v>5117000</v>
      </c>
      <c r="AI41" s="81">
        <v>6671000</v>
      </c>
      <c r="AJ41" s="82">
        <v>6064000</v>
      </c>
      <c r="AK41" s="81">
        <v>5833000</v>
      </c>
      <c r="AL41" s="82">
        <v>5226000</v>
      </c>
      <c r="AM41" s="81">
        <v>7240000</v>
      </c>
      <c r="AN41" s="82">
        <v>6633000</v>
      </c>
      <c r="AO41" s="81">
        <v>7191000</v>
      </c>
      <c r="AP41" s="82">
        <v>6584000</v>
      </c>
      <c r="AQ41" s="81">
        <v>6051000</v>
      </c>
      <c r="AR41" s="82">
        <v>5444000</v>
      </c>
      <c r="AS41" s="81">
        <v>6323000</v>
      </c>
      <c r="AT41" s="82">
        <v>5716000</v>
      </c>
      <c r="AU41" s="81">
        <v>7888000</v>
      </c>
      <c r="AV41" s="82">
        <v>7281000</v>
      </c>
      <c r="AW41" s="81">
        <v>8185000</v>
      </c>
      <c r="AX41" s="82">
        <v>7578000</v>
      </c>
      <c r="AY41" s="81">
        <v>6503000</v>
      </c>
      <c r="AZ41" s="82">
        <v>5896000</v>
      </c>
      <c r="BA41" s="81">
        <v>6301000</v>
      </c>
      <c r="BB41" s="82">
        <v>5694000</v>
      </c>
      <c r="BC41" s="81">
        <v>6301000</v>
      </c>
      <c r="BD41" s="82">
        <v>5694000</v>
      </c>
      <c r="BE41" s="81">
        <v>7937000</v>
      </c>
      <c r="BF41" s="82">
        <v>7330000</v>
      </c>
      <c r="BG41" s="81">
        <v>8443000</v>
      </c>
      <c r="BH41" s="82">
        <v>7836000</v>
      </c>
      <c r="BI41" s="100">
        <v>1</v>
      </c>
      <c r="BJ41" s="81">
        <v>6608000</v>
      </c>
      <c r="BK41" s="82">
        <v>6001000</v>
      </c>
      <c r="BL41" s="81">
        <v>7555000</v>
      </c>
      <c r="BM41" s="82">
        <v>6948000</v>
      </c>
      <c r="BN41" s="81">
        <v>6717000</v>
      </c>
      <c r="BO41" s="82">
        <v>6110000</v>
      </c>
      <c r="BP41" s="81">
        <v>8124000</v>
      </c>
      <c r="BQ41" s="82">
        <v>7517000</v>
      </c>
      <c r="BR41" s="81">
        <v>8074000</v>
      </c>
      <c r="BS41" s="82">
        <v>7467000</v>
      </c>
      <c r="BT41" s="81">
        <v>6934000</v>
      </c>
      <c r="BU41" s="82">
        <v>6327000</v>
      </c>
      <c r="BV41" s="81">
        <v>7206000</v>
      </c>
      <c r="BW41" s="82">
        <v>6599000</v>
      </c>
      <c r="BX41" s="81">
        <v>8771000</v>
      </c>
      <c r="BY41" s="82">
        <v>8164000</v>
      </c>
      <c r="BZ41" s="81">
        <v>9069000</v>
      </c>
      <c r="CA41" s="82">
        <v>8462000</v>
      </c>
      <c r="CB41" s="81">
        <v>7386000</v>
      </c>
      <c r="CC41" s="82">
        <v>6779000</v>
      </c>
      <c r="CD41" s="81">
        <v>7185000</v>
      </c>
      <c r="CE41" s="82">
        <v>6578000</v>
      </c>
      <c r="CF41" s="81">
        <v>7185000</v>
      </c>
      <c r="CG41" s="82">
        <v>6578000</v>
      </c>
      <c r="CH41" s="81">
        <v>8820000</v>
      </c>
      <c r="CI41" s="82">
        <v>8213000</v>
      </c>
      <c r="CJ41" s="81">
        <v>9327000</v>
      </c>
      <c r="CK41" s="82">
        <v>8720000</v>
      </c>
      <c r="CL41" s="100">
        <v>1</v>
      </c>
      <c r="CM41" s="81">
        <v>11021000</v>
      </c>
      <c r="CN41" s="82">
        <v>10414000</v>
      </c>
      <c r="CO41" s="81">
        <v>11968000</v>
      </c>
      <c r="CP41" s="82">
        <v>11361000</v>
      </c>
      <c r="CQ41" s="81">
        <v>11130000</v>
      </c>
      <c r="CR41" s="82">
        <v>10523000</v>
      </c>
      <c r="CS41" s="81">
        <v>12537000</v>
      </c>
      <c r="CT41" s="82">
        <v>11930000</v>
      </c>
      <c r="CU41" s="81">
        <v>12487000</v>
      </c>
      <c r="CV41" s="82">
        <v>11880000</v>
      </c>
      <c r="CW41" s="81">
        <v>11347000</v>
      </c>
      <c r="CX41" s="82">
        <v>10740000</v>
      </c>
      <c r="CY41" s="81">
        <v>11619000</v>
      </c>
      <c r="CZ41" s="82">
        <v>11012000</v>
      </c>
      <c r="DA41" s="81">
        <v>13184000</v>
      </c>
      <c r="DB41" s="82">
        <v>12577000</v>
      </c>
      <c r="DC41" s="81">
        <v>13482000</v>
      </c>
      <c r="DD41" s="82">
        <v>12875000</v>
      </c>
      <c r="DE41" s="81">
        <v>11799000</v>
      </c>
      <c r="DF41" s="82">
        <v>11192000</v>
      </c>
      <c r="DG41" s="81">
        <v>11598000</v>
      </c>
      <c r="DH41" s="82">
        <v>10991000</v>
      </c>
      <c r="DI41" s="81">
        <v>11598000</v>
      </c>
      <c r="DJ41" s="82">
        <v>10991000</v>
      </c>
      <c r="DK41" s="81">
        <v>13233000</v>
      </c>
      <c r="DL41" s="82">
        <v>12626000</v>
      </c>
      <c r="DM41" s="81">
        <v>13740000</v>
      </c>
      <c r="DN41" s="82">
        <v>13133000</v>
      </c>
    </row>
    <row r="42" spans="1:118" ht="15.75" customHeight="1" x14ac:dyDescent="0.25">
      <c r="A42" s="83">
        <v>3</v>
      </c>
      <c r="B42" s="84" t="s">
        <v>491</v>
      </c>
      <c r="C42" s="100">
        <v>3</v>
      </c>
      <c r="D42" s="81">
        <v>6113000</v>
      </c>
      <c r="E42" s="82">
        <v>5492000</v>
      </c>
      <c r="F42" s="81">
        <v>7099000</v>
      </c>
      <c r="G42" s="82">
        <v>6478000</v>
      </c>
      <c r="H42" s="81">
        <v>6226000</v>
      </c>
      <c r="I42" s="82">
        <v>5605000</v>
      </c>
      <c r="J42" s="81">
        <v>7692000</v>
      </c>
      <c r="K42" s="82">
        <v>7071000</v>
      </c>
      <c r="L42" s="81">
        <v>7640000</v>
      </c>
      <c r="M42" s="82">
        <v>7019000</v>
      </c>
      <c r="N42" s="81">
        <v>6453000</v>
      </c>
      <c r="O42" s="82">
        <v>5832000</v>
      </c>
      <c r="P42" s="81">
        <v>6736000</v>
      </c>
      <c r="Q42" s="82">
        <v>6115000</v>
      </c>
      <c r="R42" s="81">
        <v>8366000</v>
      </c>
      <c r="S42" s="82">
        <v>7745000</v>
      </c>
      <c r="T42" s="81">
        <v>8676000</v>
      </c>
      <c r="U42" s="82">
        <v>8055000</v>
      </c>
      <c r="V42" s="81">
        <v>6923000</v>
      </c>
      <c r="W42" s="82">
        <v>6302000</v>
      </c>
      <c r="X42" s="81">
        <v>6713000</v>
      </c>
      <c r="Y42" s="82">
        <v>6092000</v>
      </c>
      <c r="Z42" s="81">
        <v>6713000</v>
      </c>
      <c r="AA42" s="82">
        <v>6092000</v>
      </c>
      <c r="AB42" s="81">
        <v>8417000</v>
      </c>
      <c r="AC42" s="82">
        <v>7796000</v>
      </c>
      <c r="AD42" s="81">
        <v>8945000</v>
      </c>
      <c r="AE42" s="82">
        <v>8324000</v>
      </c>
      <c r="AF42" s="100">
        <v>3</v>
      </c>
      <c r="AG42" s="81">
        <v>5827000</v>
      </c>
      <c r="AH42" s="82">
        <v>5206000</v>
      </c>
      <c r="AI42" s="81">
        <v>6814000</v>
      </c>
      <c r="AJ42" s="82">
        <v>6193000</v>
      </c>
      <c r="AK42" s="81">
        <v>5941000</v>
      </c>
      <c r="AL42" s="82">
        <v>5320000</v>
      </c>
      <c r="AM42" s="81">
        <v>7407000</v>
      </c>
      <c r="AN42" s="82">
        <v>6786000</v>
      </c>
      <c r="AO42" s="81">
        <v>7355000</v>
      </c>
      <c r="AP42" s="82">
        <v>6734000</v>
      </c>
      <c r="AQ42" s="81">
        <v>6168000</v>
      </c>
      <c r="AR42" s="82">
        <v>5547000</v>
      </c>
      <c r="AS42" s="81">
        <v>6451000</v>
      </c>
      <c r="AT42" s="82">
        <v>5830000</v>
      </c>
      <c r="AU42" s="81">
        <v>8081000</v>
      </c>
      <c r="AV42" s="82">
        <v>7460000</v>
      </c>
      <c r="AW42" s="81">
        <v>8391000</v>
      </c>
      <c r="AX42" s="82">
        <v>7770000</v>
      </c>
      <c r="AY42" s="81">
        <v>6638000</v>
      </c>
      <c r="AZ42" s="82">
        <v>6017000</v>
      </c>
      <c r="BA42" s="81">
        <v>6428000</v>
      </c>
      <c r="BB42" s="82">
        <v>5807000</v>
      </c>
      <c r="BC42" s="81">
        <v>6428000</v>
      </c>
      <c r="BD42" s="82">
        <v>5807000</v>
      </c>
      <c r="BE42" s="81">
        <v>8132000</v>
      </c>
      <c r="BF42" s="82">
        <v>7511000</v>
      </c>
      <c r="BG42" s="81">
        <v>8659000</v>
      </c>
      <c r="BH42" s="82">
        <v>8038000</v>
      </c>
      <c r="BI42" s="100">
        <v>1</v>
      </c>
      <c r="BJ42" s="81">
        <v>6712000</v>
      </c>
      <c r="BK42" s="82">
        <v>6091000</v>
      </c>
      <c r="BL42" s="81">
        <v>7698000</v>
      </c>
      <c r="BM42" s="82">
        <v>7077000</v>
      </c>
      <c r="BN42" s="81">
        <v>6825000</v>
      </c>
      <c r="BO42" s="82">
        <v>6204000</v>
      </c>
      <c r="BP42" s="81">
        <v>8291000</v>
      </c>
      <c r="BQ42" s="82">
        <v>7670000</v>
      </c>
      <c r="BR42" s="81">
        <v>8239000</v>
      </c>
      <c r="BS42" s="82">
        <v>7618000</v>
      </c>
      <c r="BT42" s="81">
        <v>7052000</v>
      </c>
      <c r="BU42" s="82">
        <v>6431000</v>
      </c>
      <c r="BV42" s="81">
        <v>7335000</v>
      </c>
      <c r="BW42" s="82">
        <v>6714000</v>
      </c>
      <c r="BX42" s="81">
        <v>8965000</v>
      </c>
      <c r="BY42" s="82">
        <v>8344000</v>
      </c>
      <c r="BZ42" s="81">
        <v>9275000</v>
      </c>
      <c r="CA42" s="82">
        <v>8654000</v>
      </c>
      <c r="CB42" s="81">
        <v>7522000</v>
      </c>
      <c r="CC42" s="82">
        <v>6901000</v>
      </c>
      <c r="CD42" s="81">
        <v>7312000</v>
      </c>
      <c r="CE42" s="82">
        <v>6691000</v>
      </c>
      <c r="CF42" s="81">
        <v>7312000</v>
      </c>
      <c r="CG42" s="82">
        <v>6691000</v>
      </c>
      <c r="CH42" s="81">
        <v>9016000</v>
      </c>
      <c r="CI42" s="82">
        <v>8395000</v>
      </c>
      <c r="CJ42" s="81">
        <v>9544000</v>
      </c>
      <c r="CK42" s="82">
        <v>8923000</v>
      </c>
      <c r="CL42" s="100">
        <v>1</v>
      </c>
      <c r="CM42" s="81">
        <v>11151000</v>
      </c>
      <c r="CN42" s="82">
        <v>10530000</v>
      </c>
      <c r="CO42" s="81">
        <v>12138000</v>
      </c>
      <c r="CP42" s="82">
        <v>11517000</v>
      </c>
      <c r="CQ42" s="81">
        <v>11265000</v>
      </c>
      <c r="CR42" s="82">
        <v>10644000</v>
      </c>
      <c r="CS42" s="81">
        <v>12730000</v>
      </c>
      <c r="CT42" s="82">
        <v>12109000</v>
      </c>
      <c r="CU42" s="81">
        <v>12679000</v>
      </c>
      <c r="CV42" s="82">
        <v>12058000</v>
      </c>
      <c r="CW42" s="81">
        <v>11492000</v>
      </c>
      <c r="CX42" s="82">
        <v>10871000</v>
      </c>
      <c r="CY42" s="81">
        <v>11775000</v>
      </c>
      <c r="CZ42" s="82">
        <v>11154000</v>
      </c>
      <c r="DA42" s="81">
        <v>13405000</v>
      </c>
      <c r="DB42" s="82">
        <v>12784000</v>
      </c>
      <c r="DC42" s="81">
        <v>13715000</v>
      </c>
      <c r="DD42" s="82">
        <v>13094000</v>
      </c>
      <c r="DE42" s="81">
        <v>11962000</v>
      </c>
      <c r="DF42" s="82">
        <v>11341000</v>
      </c>
      <c r="DG42" s="81">
        <v>11752000</v>
      </c>
      <c r="DH42" s="82">
        <v>11131000</v>
      </c>
      <c r="DI42" s="81">
        <v>11752000</v>
      </c>
      <c r="DJ42" s="82">
        <v>11131000</v>
      </c>
      <c r="DK42" s="81">
        <v>13456000</v>
      </c>
      <c r="DL42" s="82">
        <v>12835000</v>
      </c>
      <c r="DM42" s="81">
        <v>13983000</v>
      </c>
      <c r="DN42" s="82">
        <v>13362000</v>
      </c>
    </row>
    <row r="43" spans="1:118" ht="15.75" customHeight="1" x14ac:dyDescent="0.25">
      <c r="A43" s="83">
        <v>4</v>
      </c>
      <c r="B43" s="84" t="s">
        <v>492</v>
      </c>
      <c r="C43" s="100">
        <v>3</v>
      </c>
      <c r="D43" s="81">
        <v>6379000</v>
      </c>
      <c r="E43" s="82">
        <v>5722000</v>
      </c>
      <c r="F43" s="81">
        <v>7463000</v>
      </c>
      <c r="G43" s="82">
        <v>6806000</v>
      </c>
      <c r="H43" s="81">
        <v>6503000</v>
      </c>
      <c r="I43" s="82">
        <v>5846000</v>
      </c>
      <c r="J43" s="81">
        <v>8116000</v>
      </c>
      <c r="K43" s="82">
        <v>7459000</v>
      </c>
      <c r="L43" s="81">
        <v>8059000</v>
      </c>
      <c r="M43" s="82">
        <v>7402000</v>
      </c>
      <c r="N43" s="81">
        <v>6753000</v>
      </c>
      <c r="O43" s="82">
        <v>6096000</v>
      </c>
      <c r="P43" s="81">
        <v>7064000</v>
      </c>
      <c r="Q43" s="82">
        <v>6407000</v>
      </c>
      <c r="R43" s="81">
        <v>8857000</v>
      </c>
      <c r="S43" s="82">
        <v>8200000</v>
      </c>
      <c r="T43" s="81">
        <v>9198000</v>
      </c>
      <c r="U43" s="82">
        <v>8541000</v>
      </c>
      <c r="V43" s="81">
        <v>7270000</v>
      </c>
      <c r="W43" s="82">
        <v>6613000</v>
      </c>
      <c r="X43" s="81">
        <v>7039000</v>
      </c>
      <c r="Y43" s="82">
        <v>6382000</v>
      </c>
      <c r="Z43" s="81">
        <v>7039000</v>
      </c>
      <c r="AA43" s="82">
        <v>6382000</v>
      </c>
      <c r="AB43" s="81">
        <v>8914000</v>
      </c>
      <c r="AC43" s="82">
        <v>8257000</v>
      </c>
      <c r="AD43" s="81">
        <v>9494000</v>
      </c>
      <c r="AE43" s="82">
        <v>8837000</v>
      </c>
      <c r="AF43" s="100">
        <v>3</v>
      </c>
      <c r="AG43" s="81">
        <v>6086000</v>
      </c>
      <c r="AH43" s="82">
        <v>5429000</v>
      </c>
      <c r="AI43" s="81">
        <v>7171000</v>
      </c>
      <c r="AJ43" s="82">
        <v>6514000</v>
      </c>
      <c r="AK43" s="81">
        <v>6210000</v>
      </c>
      <c r="AL43" s="82">
        <v>5553000</v>
      </c>
      <c r="AM43" s="81">
        <v>7823000</v>
      </c>
      <c r="AN43" s="82">
        <v>7166000</v>
      </c>
      <c r="AO43" s="81">
        <v>7766000</v>
      </c>
      <c r="AP43" s="82">
        <v>7109000</v>
      </c>
      <c r="AQ43" s="81">
        <v>6460000</v>
      </c>
      <c r="AR43" s="82">
        <v>5803000</v>
      </c>
      <c r="AS43" s="81">
        <v>6771000</v>
      </c>
      <c r="AT43" s="82">
        <v>6114000</v>
      </c>
      <c r="AU43" s="81">
        <v>8564000</v>
      </c>
      <c r="AV43" s="82">
        <v>7907000</v>
      </c>
      <c r="AW43" s="81">
        <v>8905000</v>
      </c>
      <c r="AX43" s="82">
        <v>8248000</v>
      </c>
      <c r="AY43" s="81">
        <v>6977000</v>
      </c>
      <c r="AZ43" s="82">
        <v>6320000</v>
      </c>
      <c r="BA43" s="81">
        <v>6747000</v>
      </c>
      <c r="BB43" s="82">
        <v>6090000</v>
      </c>
      <c r="BC43" s="81">
        <v>6747000</v>
      </c>
      <c r="BD43" s="82">
        <v>6090000</v>
      </c>
      <c r="BE43" s="81">
        <v>8621000</v>
      </c>
      <c r="BF43" s="82">
        <v>7964000</v>
      </c>
      <c r="BG43" s="81">
        <v>9201000</v>
      </c>
      <c r="BH43" s="82">
        <v>8544000</v>
      </c>
      <c r="BI43" s="100">
        <v>1</v>
      </c>
      <c r="BJ43" s="81">
        <v>6971000</v>
      </c>
      <c r="BK43" s="82">
        <v>6314000</v>
      </c>
      <c r="BL43" s="81">
        <v>8056000</v>
      </c>
      <c r="BM43" s="82">
        <v>7399000</v>
      </c>
      <c r="BN43" s="81">
        <v>7096000</v>
      </c>
      <c r="BO43" s="82">
        <v>6439000</v>
      </c>
      <c r="BP43" s="81">
        <v>8708000</v>
      </c>
      <c r="BQ43" s="82">
        <v>8051000</v>
      </c>
      <c r="BR43" s="81">
        <v>8652000</v>
      </c>
      <c r="BS43" s="82">
        <v>7995000</v>
      </c>
      <c r="BT43" s="81">
        <v>7345000</v>
      </c>
      <c r="BU43" s="82">
        <v>6688000</v>
      </c>
      <c r="BV43" s="81">
        <v>7657000</v>
      </c>
      <c r="BW43" s="82">
        <v>7000000</v>
      </c>
      <c r="BX43" s="81">
        <v>9450000</v>
      </c>
      <c r="BY43" s="82">
        <v>8793000</v>
      </c>
      <c r="BZ43" s="81">
        <v>9791000</v>
      </c>
      <c r="CA43" s="82">
        <v>9134000</v>
      </c>
      <c r="CB43" s="81">
        <v>7863000</v>
      </c>
      <c r="CC43" s="82">
        <v>7206000</v>
      </c>
      <c r="CD43" s="81">
        <v>7632000</v>
      </c>
      <c r="CE43" s="82">
        <v>6975000</v>
      </c>
      <c r="CF43" s="81">
        <v>7632000</v>
      </c>
      <c r="CG43" s="82">
        <v>6975000</v>
      </c>
      <c r="CH43" s="81">
        <v>9507000</v>
      </c>
      <c r="CI43" s="82">
        <v>8850000</v>
      </c>
      <c r="CJ43" s="81">
        <v>10086000</v>
      </c>
      <c r="CK43" s="82">
        <v>9429000</v>
      </c>
      <c r="CL43" s="100">
        <v>1</v>
      </c>
      <c r="CM43" s="81">
        <v>11478000</v>
      </c>
      <c r="CN43" s="82">
        <v>10821000</v>
      </c>
      <c r="CO43" s="81">
        <v>12563000</v>
      </c>
      <c r="CP43" s="82">
        <v>11906000</v>
      </c>
      <c r="CQ43" s="81">
        <v>11603000</v>
      </c>
      <c r="CR43" s="82">
        <v>10946000</v>
      </c>
      <c r="CS43" s="81">
        <v>13215000</v>
      </c>
      <c r="CT43" s="82">
        <v>12558000</v>
      </c>
      <c r="CU43" s="81">
        <v>13159000</v>
      </c>
      <c r="CV43" s="82">
        <v>12502000</v>
      </c>
      <c r="CW43" s="81">
        <v>11852000</v>
      </c>
      <c r="CX43" s="82">
        <v>11195000</v>
      </c>
      <c r="CY43" s="81">
        <v>12164000</v>
      </c>
      <c r="CZ43" s="82">
        <v>11507000</v>
      </c>
      <c r="DA43" s="81">
        <v>13957000</v>
      </c>
      <c r="DB43" s="82">
        <v>13300000</v>
      </c>
      <c r="DC43" s="81">
        <v>14298000</v>
      </c>
      <c r="DD43" s="82">
        <v>13641000</v>
      </c>
      <c r="DE43" s="81">
        <v>12370000</v>
      </c>
      <c r="DF43" s="82">
        <v>11713000</v>
      </c>
      <c r="DG43" s="81">
        <v>12139000</v>
      </c>
      <c r="DH43" s="82">
        <v>11482000</v>
      </c>
      <c r="DI43" s="81">
        <v>12139000</v>
      </c>
      <c r="DJ43" s="82">
        <v>11482000</v>
      </c>
      <c r="DK43" s="81">
        <v>14013000</v>
      </c>
      <c r="DL43" s="82">
        <v>13356000</v>
      </c>
      <c r="DM43" s="81">
        <v>14593000</v>
      </c>
      <c r="DN43" s="82">
        <v>13936000</v>
      </c>
    </row>
    <row r="44" spans="1:118" ht="15.75" customHeight="1" x14ac:dyDescent="0.25">
      <c r="A44" s="83">
        <v>5</v>
      </c>
      <c r="B44" s="84" t="s">
        <v>493</v>
      </c>
      <c r="C44" s="100">
        <v>3</v>
      </c>
      <c r="D44" s="81">
        <v>6644000</v>
      </c>
      <c r="E44" s="82">
        <v>5952000</v>
      </c>
      <c r="F44" s="81">
        <v>7827000</v>
      </c>
      <c r="G44" s="82">
        <v>7135000</v>
      </c>
      <c r="H44" s="81">
        <v>6780000</v>
      </c>
      <c r="I44" s="82">
        <v>6088000</v>
      </c>
      <c r="J44" s="81">
        <v>8538000</v>
      </c>
      <c r="K44" s="82">
        <v>7846000</v>
      </c>
      <c r="L44" s="81">
        <v>8477000</v>
      </c>
      <c r="M44" s="82">
        <v>7785000</v>
      </c>
      <c r="N44" s="81">
        <v>7052000</v>
      </c>
      <c r="O44" s="82">
        <v>6360000</v>
      </c>
      <c r="P44" s="81">
        <v>7392000</v>
      </c>
      <c r="Q44" s="82">
        <v>6700000</v>
      </c>
      <c r="R44" s="81">
        <v>9348000</v>
      </c>
      <c r="S44" s="82">
        <v>8656000</v>
      </c>
      <c r="T44" s="81">
        <v>9720000</v>
      </c>
      <c r="U44" s="82">
        <v>9028000</v>
      </c>
      <c r="V44" s="81">
        <v>7616000</v>
      </c>
      <c r="W44" s="82">
        <v>6924000</v>
      </c>
      <c r="X44" s="81">
        <v>7365000</v>
      </c>
      <c r="Y44" s="82">
        <v>6673000</v>
      </c>
      <c r="Z44" s="81">
        <v>7365000</v>
      </c>
      <c r="AA44" s="82">
        <v>6673000</v>
      </c>
      <c r="AB44" s="81">
        <v>9409000</v>
      </c>
      <c r="AC44" s="82">
        <v>8717000</v>
      </c>
      <c r="AD44" s="81">
        <v>10042000</v>
      </c>
      <c r="AE44" s="82">
        <v>9350000</v>
      </c>
      <c r="AF44" s="100">
        <v>3</v>
      </c>
      <c r="AG44" s="81">
        <v>6343000</v>
      </c>
      <c r="AH44" s="82">
        <v>5651000</v>
      </c>
      <c r="AI44" s="81">
        <v>7526000</v>
      </c>
      <c r="AJ44" s="82">
        <v>6834000</v>
      </c>
      <c r="AK44" s="81">
        <v>6479000</v>
      </c>
      <c r="AL44" s="82">
        <v>5787000</v>
      </c>
      <c r="AM44" s="81">
        <v>8238000</v>
      </c>
      <c r="AN44" s="82">
        <v>7546000</v>
      </c>
      <c r="AO44" s="81">
        <v>8176000</v>
      </c>
      <c r="AP44" s="82">
        <v>7484000</v>
      </c>
      <c r="AQ44" s="81">
        <v>6751000</v>
      </c>
      <c r="AR44" s="82">
        <v>6059000</v>
      </c>
      <c r="AS44" s="81">
        <v>7091000</v>
      </c>
      <c r="AT44" s="82">
        <v>6399000</v>
      </c>
      <c r="AU44" s="81">
        <v>9047000</v>
      </c>
      <c r="AV44" s="82">
        <v>8355000</v>
      </c>
      <c r="AW44" s="81">
        <v>9419000</v>
      </c>
      <c r="AX44" s="82">
        <v>8727000</v>
      </c>
      <c r="AY44" s="81">
        <v>7315000</v>
      </c>
      <c r="AZ44" s="82">
        <v>6623000</v>
      </c>
      <c r="BA44" s="81">
        <v>7064000</v>
      </c>
      <c r="BB44" s="82">
        <v>6372000</v>
      </c>
      <c r="BC44" s="81">
        <v>7064000</v>
      </c>
      <c r="BD44" s="82">
        <v>6372000</v>
      </c>
      <c r="BE44" s="81">
        <v>9109000</v>
      </c>
      <c r="BF44" s="82">
        <v>8417000</v>
      </c>
      <c r="BG44" s="81">
        <v>9741000</v>
      </c>
      <c r="BH44" s="82">
        <v>9049000</v>
      </c>
      <c r="BI44" s="100">
        <v>1</v>
      </c>
      <c r="BJ44" s="81">
        <v>7230000</v>
      </c>
      <c r="BK44" s="82">
        <v>6538000</v>
      </c>
      <c r="BL44" s="81">
        <v>8414000</v>
      </c>
      <c r="BM44" s="82">
        <v>7722000</v>
      </c>
      <c r="BN44" s="81">
        <v>7366000</v>
      </c>
      <c r="BO44" s="82">
        <v>6674000</v>
      </c>
      <c r="BP44" s="81">
        <v>9125000</v>
      </c>
      <c r="BQ44" s="82">
        <v>8433000</v>
      </c>
      <c r="BR44" s="81">
        <v>9063000</v>
      </c>
      <c r="BS44" s="82">
        <v>8371000</v>
      </c>
      <c r="BT44" s="81">
        <v>7638000</v>
      </c>
      <c r="BU44" s="82">
        <v>6946000</v>
      </c>
      <c r="BV44" s="81">
        <v>7978000</v>
      </c>
      <c r="BW44" s="82">
        <v>7286000</v>
      </c>
      <c r="BX44" s="81">
        <v>9934000</v>
      </c>
      <c r="BY44" s="82">
        <v>9242000</v>
      </c>
      <c r="BZ44" s="81">
        <v>10306000</v>
      </c>
      <c r="CA44" s="82">
        <v>9614000</v>
      </c>
      <c r="CB44" s="81">
        <v>8203000</v>
      </c>
      <c r="CC44" s="82">
        <v>7511000</v>
      </c>
      <c r="CD44" s="81">
        <v>7951000</v>
      </c>
      <c r="CE44" s="82">
        <v>7259000</v>
      </c>
      <c r="CF44" s="81">
        <v>7951000</v>
      </c>
      <c r="CG44" s="82">
        <v>7259000</v>
      </c>
      <c r="CH44" s="81">
        <v>9996000</v>
      </c>
      <c r="CI44" s="82">
        <v>9304000</v>
      </c>
      <c r="CJ44" s="81">
        <v>10628000</v>
      </c>
      <c r="CK44" s="82">
        <v>9936000</v>
      </c>
      <c r="CL44" s="100">
        <v>1</v>
      </c>
      <c r="CM44" s="81">
        <v>11804000</v>
      </c>
      <c r="CN44" s="82">
        <v>11112000</v>
      </c>
      <c r="CO44" s="81">
        <v>12988000</v>
      </c>
      <c r="CP44" s="82">
        <v>12296000</v>
      </c>
      <c r="CQ44" s="81">
        <v>11940000</v>
      </c>
      <c r="CR44" s="82">
        <v>11248000</v>
      </c>
      <c r="CS44" s="81">
        <v>13699000</v>
      </c>
      <c r="CT44" s="82">
        <v>13007000</v>
      </c>
      <c r="CU44" s="81">
        <v>13637000</v>
      </c>
      <c r="CV44" s="82">
        <v>12945000</v>
      </c>
      <c r="CW44" s="81">
        <v>12212000</v>
      </c>
      <c r="CX44" s="82">
        <v>11520000</v>
      </c>
      <c r="CY44" s="81">
        <v>12552000</v>
      </c>
      <c r="CZ44" s="82">
        <v>11860000</v>
      </c>
      <c r="DA44" s="81">
        <v>14508000</v>
      </c>
      <c r="DB44" s="82">
        <v>13816000</v>
      </c>
      <c r="DC44" s="81">
        <v>14880000</v>
      </c>
      <c r="DD44" s="82">
        <v>14188000</v>
      </c>
      <c r="DE44" s="81">
        <v>12777000</v>
      </c>
      <c r="DF44" s="82">
        <v>12085000</v>
      </c>
      <c r="DG44" s="81">
        <v>12525000</v>
      </c>
      <c r="DH44" s="82">
        <v>11833000</v>
      </c>
      <c r="DI44" s="81">
        <v>12525000</v>
      </c>
      <c r="DJ44" s="82">
        <v>11833000</v>
      </c>
      <c r="DK44" s="81">
        <v>14570000</v>
      </c>
      <c r="DL44" s="82">
        <v>13878000</v>
      </c>
      <c r="DM44" s="81">
        <v>15202000</v>
      </c>
      <c r="DN44" s="82">
        <v>14510000</v>
      </c>
    </row>
    <row r="45" spans="1:118" x14ac:dyDescent="0.25">
      <c r="A45" s="83">
        <v>6</v>
      </c>
      <c r="B45" s="84" t="s">
        <v>494</v>
      </c>
      <c r="C45" s="100">
        <v>6</v>
      </c>
      <c r="D45" s="81">
        <v>9843000</v>
      </c>
      <c r="E45" s="82">
        <v>9008000</v>
      </c>
      <c r="F45" s="81">
        <v>11421000</v>
      </c>
      <c r="G45" s="82">
        <v>10586000</v>
      </c>
      <c r="H45" s="81">
        <v>10024000</v>
      </c>
      <c r="I45" s="82">
        <v>9189000</v>
      </c>
      <c r="J45" s="81">
        <v>12369000</v>
      </c>
      <c r="K45" s="82">
        <v>11534000</v>
      </c>
      <c r="L45" s="81">
        <v>12287000</v>
      </c>
      <c r="M45" s="82">
        <v>11452000</v>
      </c>
      <c r="N45" s="81">
        <v>10387000</v>
      </c>
      <c r="O45" s="82">
        <v>9552000</v>
      </c>
      <c r="P45" s="81">
        <v>10840000</v>
      </c>
      <c r="Q45" s="82">
        <v>10005000</v>
      </c>
      <c r="R45" s="81">
        <v>13448000</v>
      </c>
      <c r="S45" s="82">
        <v>12613000</v>
      </c>
      <c r="T45" s="81">
        <v>13944000</v>
      </c>
      <c r="U45" s="82">
        <v>13109000</v>
      </c>
      <c r="V45" s="81">
        <v>11139000</v>
      </c>
      <c r="W45" s="82">
        <v>10304000</v>
      </c>
      <c r="X45" s="81">
        <v>10804000</v>
      </c>
      <c r="Y45" s="82">
        <v>9969000</v>
      </c>
      <c r="Z45" s="81">
        <v>10804000</v>
      </c>
      <c r="AA45" s="82">
        <v>9969000</v>
      </c>
      <c r="AB45" s="81">
        <v>13530000</v>
      </c>
      <c r="AC45" s="82">
        <v>12695000</v>
      </c>
      <c r="AD45" s="81">
        <v>14374000</v>
      </c>
      <c r="AE45" s="82">
        <v>13539000</v>
      </c>
      <c r="AF45" s="100">
        <v>6</v>
      </c>
      <c r="AG45" s="81">
        <v>9304000</v>
      </c>
      <c r="AH45" s="82">
        <v>8469000</v>
      </c>
      <c r="AI45" s="81">
        <v>10882000</v>
      </c>
      <c r="AJ45" s="82">
        <v>10047000</v>
      </c>
      <c r="AK45" s="81">
        <v>9485000</v>
      </c>
      <c r="AL45" s="82">
        <v>8650000</v>
      </c>
      <c r="AM45" s="81">
        <v>11830000</v>
      </c>
      <c r="AN45" s="82">
        <v>10995000</v>
      </c>
      <c r="AO45" s="81">
        <v>11748000</v>
      </c>
      <c r="AP45" s="82">
        <v>10913000</v>
      </c>
      <c r="AQ45" s="81">
        <v>9848000</v>
      </c>
      <c r="AR45" s="82">
        <v>9013000</v>
      </c>
      <c r="AS45" s="81">
        <v>10301000</v>
      </c>
      <c r="AT45" s="82">
        <v>9466000</v>
      </c>
      <c r="AU45" s="81">
        <v>12909000</v>
      </c>
      <c r="AV45" s="82">
        <v>12074000</v>
      </c>
      <c r="AW45" s="81">
        <v>13405000</v>
      </c>
      <c r="AX45" s="82">
        <v>12570000</v>
      </c>
      <c r="AY45" s="81">
        <v>10601000</v>
      </c>
      <c r="AZ45" s="82">
        <v>9766000</v>
      </c>
      <c r="BA45" s="81">
        <v>10265000</v>
      </c>
      <c r="BB45" s="82">
        <v>9430000</v>
      </c>
      <c r="BC45" s="81">
        <v>10265000</v>
      </c>
      <c r="BD45" s="82">
        <v>9430000</v>
      </c>
      <c r="BE45" s="81">
        <v>12992000</v>
      </c>
      <c r="BF45" s="82">
        <v>12157000</v>
      </c>
      <c r="BG45" s="81">
        <v>13835000</v>
      </c>
      <c r="BH45" s="82">
        <v>13000000</v>
      </c>
      <c r="BI45" s="100">
        <v>2</v>
      </c>
      <c r="BJ45" s="81">
        <v>11066000</v>
      </c>
      <c r="BK45" s="82">
        <v>10231000</v>
      </c>
      <c r="BL45" s="81">
        <v>12644000</v>
      </c>
      <c r="BM45" s="82">
        <v>11809000</v>
      </c>
      <c r="BN45" s="81">
        <v>11247000</v>
      </c>
      <c r="BO45" s="82">
        <v>10412000</v>
      </c>
      <c r="BP45" s="81">
        <v>13592000</v>
      </c>
      <c r="BQ45" s="82">
        <v>12757000</v>
      </c>
      <c r="BR45" s="81">
        <v>13510000</v>
      </c>
      <c r="BS45" s="82">
        <v>12675000</v>
      </c>
      <c r="BT45" s="81">
        <v>11610000</v>
      </c>
      <c r="BU45" s="82">
        <v>10775000</v>
      </c>
      <c r="BV45" s="81">
        <v>12063000</v>
      </c>
      <c r="BW45" s="82">
        <v>11228000</v>
      </c>
      <c r="BX45" s="81">
        <v>14671000</v>
      </c>
      <c r="BY45" s="82">
        <v>13836000</v>
      </c>
      <c r="BZ45" s="81">
        <v>15167000</v>
      </c>
      <c r="CA45" s="82">
        <v>14332000</v>
      </c>
      <c r="CB45" s="81">
        <v>12362000</v>
      </c>
      <c r="CC45" s="82">
        <v>11527000</v>
      </c>
      <c r="CD45" s="81">
        <v>12027000</v>
      </c>
      <c r="CE45" s="82">
        <v>11192000</v>
      </c>
      <c r="CF45" s="81">
        <v>12027000</v>
      </c>
      <c r="CG45" s="82">
        <v>11192000</v>
      </c>
      <c r="CH45" s="81">
        <v>14753000</v>
      </c>
      <c r="CI45" s="82">
        <v>13918000</v>
      </c>
      <c r="CJ45" s="81">
        <v>15597000</v>
      </c>
      <c r="CK45" s="82">
        <v>14762000</v>
      </c>
      <c r="CL45" s="100">
        <v>2</v>
      </c>
      <c r="CM45" s="81">
        <v>19677000</v>
      </c>
      <c r="CN45" s="82">
        <v>18842000</v>
      </c>
      <c r="CO45" s="81">
        <v>21255000</v>
      </c>
      <c r="CP45" s="82">
        <v>20420000</v>
      </c>
      <c r="CQ45" s="81">
        <v>19858000</v>
      </c>
      <c r="CR45" s="82">
        <v>19023000</v>
      </c>
      <c r="CS45" s="81">
        <v>22204000</v>
      </c>
      <c r="CT45" s="82">
        <v>21369000</v>
      </c>
      <c r="CU45" s="81">
        <v>22121000</v>
      </c>
      <c r="CV45" s="82">
        <v>21286000</v>
      </c>
      <c r="CW45" s="81">
        <v>20221000</v>
      </c>
      <c r="CX45" s="82">
        <v>19386000</v>
      </c>
      <c r="CY45" s="81">
        <v>20675000</v>
      </c>
      <c r="CZ45" s="82">
        <v>19840000</v>
      </c>
      <c r="DA45" s="81">
        <v>23282000</v>
      </c>
      <c r="DB45" s="82">
        <v>22447000</v>
      </c>
      <c r="DC45" s="81">
        <v>23778000</v>
      </c>
      <c r="DD45" s="82">
        <v>22943000</v>
      </c>
      <c r="DE45" s="81">
        <v>20974000</v>
      </c>
      <c r="DF45" s="82">
        <v>20139000</v>
      </c>
      <c r="DG45" s="81">
        <v>20638000</v>
      </c>
      <c r="DH45" s="82">
        <v>19803000</v>
      </c>
      <c r="DI45" s="81">
        <v>20638000</v>
      </c>
      <c r="DJ45" s="82">
        <v>19803000</v>
      </c>
      <c r="DK45" s="81">
        <v>23365000</v>
      </c>
      <c r="DL45" s="82">
        <v>22530000</v>
      </c>
      <c r="DM45" s="81">
        <v>24208000</v>
      </c>
      <c r="DN45" s="82">
        <v>23373000</v>
      </c>
    </row>
    <row r="46" spans="1:118" x14ac:dyDescent="0.25">
      <c r="A46" s="83">
        <v>7</v>
      </c>
      <c r="B46" s="84" t="s">
        <v>495</v>
      </c>
      <c r="C46" s="100">
        <v>6</v>
      </c>
      <c r="D46" s="81">
        <v>10692000</v>
      </c>
      <c r="E46" s="82">
        <v>9744000</v>
      </c>
      <c r="F46" s="81">
        <v>12586000</v>
      </c>
      <c r="G46" s="82">
        <v>11638000</v>
      </c>
      <c r="H46" s="81">
        <v>10910000</v>
      </c>
      <c r="I46" s="82">
        <v>9962000</v>
      </c>
      <c r="J46" s="81">
        <v>13724000</v>
      </c>
      <c r="K46" s="82">
        <v>12776000</v>
      </c>
      <c r="L46" s="81">
        <v>13625000</v>
      </c>
      <c r="M46" s="82">
        <v>12677000</v>
      </c>
      <c r="N46" s="81">
        <v>11345000</v>
      </c>
      <c r="O46" s="82">
        <v>10397000</v>
      </c>
      <c r="P46" s="81">
        <v>11889000</v>
      </c>
      <c r="Q46" s="82">
        <v>10941000</v>
      </c>
      <c r="R46" s="81">
        <v>15019000</v>
      </c>
      <c r="S46" s="82">
        <v>14071000</v>
      </c>
      <c r="T46" s="81">
        <v>15614000</v>
      </c>
      <c r="U46" s="82">
        <v>14666000</v>
      </c>
      <c r="V46" s="81">
        <v>12248000</v>
      </c>
      <c r="W46" s="82">
        <v>11300000</v>
      </c>
      <c r="X46" s="81">
        <v>11846000</v>
      </c>
      <c r="Y46" s="82">
        <v>10898000</v>
      </c>
      <c r="Z46" s="81">
        <v>11846000</v>
      </c>
      <c r="AA46" s="82">
        <v>10898000</v>
      </c>
      <c r="AB46" s="81">
        <v>15117000</v>
      </c>
      <c r="AC46" s="82">
        <v>14169000</v>
      </c>
      <c r="AD46" s="81">
        <v>16130000</v>
      </c>
      <c r="AE46" s="82">
        <v>15182000</v>
      </c>
      <c r="AF46" s="100">
        <v>6</v>
      </c>
      <c r="AG46" s="81">
        <v>10128000</v>
      </c>
      <c r="AH46" s="82">
        <v>9180000</v>
      </c>
      <c r="AI46" s="81">
        <v>12022000</v>
      </c>
      <c r="AJ46" s="82">
        <v>11074000</v>
      </c>
      <c r="AK46" s="81">
        <v>10346000</v>
      </c>
      <c r="AL46" s="82">
        <v>9398000</v>
      </c>
      <c r="AM46" s="81">
        <v>13160000</v>
      </c>
      <c r="AN46" s="82">
        <v>12212000</v>
      </c>
      <c r="AO46" s="81">
        <v>13061000</v>
      </c>
      <c r="AP46" s="82">
        <v>12113000</v>
      </c>
      <c r="AQ46" s="81">
        <v>10781000</v>
      </c>
      <c r="AR46" s="82">
        <v>9833000</v>
      </c>
      <c r="AS46" s="81">
        <v>11325000</v>
      </c>
      <c r="AT46" s="82">
        <v>10377000</v>
      </c>
      <c r="AU46" s="81">
        <v>14455000</v>
      </c>
      <c r="AV46" s="82">
        <v>13507000</v>
      </c>
      <c r="AW46" s="81">
        <v>15050000</v>
      </c>
      <c r="AX46" s="82">
        <v>14102000</v>
      </c>
      <c r="AY46" s="81">
        <v>11685000</v>
      </c>
      <c r="AZ46" s="82">
        <v>10737000</v>
      </c>
      <c r="BA46" s="81">
        <v>11282000</v>
      </c>
      <c r="BB46" s="82">
        <v>10334000</v>
      </c>
      <c r="BC46" s="81">
        <v>11282000</v>
      </c>
      <c r="BD46" s="82">
        <v>10334000</v>
      </c>
      <c r="BE46" s="81">
        <v>14554000</v>
      </c>
      <c r="BF46" s="82">
        <v>13606000</v>
      </c>
      <c r="BG46" s="81">
        <v>15566000</v>
      </c>
      <c r="BH46" s="82">
        <v>14618000</v>
      </c>
      <c r="BI46" s="100">
        <v>2</v>
      </c>
      <c r="BJ46" s="81">
        <v>11895000</v>
      </c>
      <c r="BK46" s="82">
        <v>10947000</v>
      </c>
      <c r="BL46" s="81">
        <v>13789000</v>
      </c>
      <c r="BM46" s="82">
        <v>12841000</v>
      </c>
      <c r="BN46" s="81">
        <v>12113000</v>
      </c>
      <c r="BO46" s="82">
        <v>11165000</v>
      </c>
      <c r="BP46" s="81">
        <v>14927000</v>
      </c>
      <c r="BQ46" s="82">
        <v>13979000</v>
      </c>
      <c r="BR46" s="81">
        <v>14828000</v>
      </c>
      <c r="BS46" s="82">
        <v>13880000</v>
      </c>
      <c r="BT46" s="81">
        <v>12548000</v>
      </c>
      <c r="BU46" s="82">
        <v>11600000</v>
      </c>
      <c r="BV46" s="81">
        <v>13092000</v>
      </c>
      <c r="BW46" s="82">
        <v>12144000</v>
      </c>
      <c r="BX46" s="81">
        <v>16222000</v>
      </c>
      <c r="BY46" s="82">
        <v>15274000</v>
      </c>
      <c r="BZ46" s="81">
        <v>16817000</v>
      </c>
      <c r="CA46" s="82">
        <v>15869000</v>
      </c>
      <c r="CB46" s="81">
        <v>13451000</v>
      </c>
      <c r="CC46" s="82">
        <v>12503000</v>
      </c>
      <c r="CD46" s="81">
        <v>13049000</v>
      </c>
      <c r="CE46" s="82">
        <v>12101000</v>
      </c>
      <c r="CF46" s="81">
        <v>13049000</v>
      </c>
      <c r="CG46" s="82">
        <v>12101000</v>
      </c>
      <c r="CH46" s="81">
        <v>16320000</v>
      </c>
      <c r="CI46" s="82">
        <v>15372000</v>
      </c>
      <c r="CJ46" s="81">
        <v>17333000</v>
      </c>
      <c r="CK46" s="82">
        <v>16385000</v>
      </c>
      <c r="CL46" s="100">
        <v>2</v>
      </c>
      <c r="CM46" s="81">
        <v>20721000</v>
      </c>
      <c r="CN46" s="82">
        <v>19773000</v>
      </c>
      <c r="CO46" s="81">
        <v>22615000</v>
      </c>
      <c r="CP46" s="82">
        <v>21667000</v>
      </c>
      <c r="CQ46" s="81">
        <v>20939000</v>
      </c>
      <c r="CR46" s="82">
        <v>19991000</v>
      </c>
      <c r="CS46" s="81">
        <v>23753000</v>
      </c>
      <c r="CT46" s="82">
        <v>22805000</v>
      </c>
      <c r="CU46" s="81">
        <v>23654000</v>
      </c>
      <c r="CV46" s="82">
        <v>22706000</v>
      </c>
      <c r="CW46" s="81">
        <v>21374000</v>
      </c>
      <c r="CX46" s="82">
        <v>20426000</v>
      </c>
      <c r="CY46" s="81">
        <v>21918000</v>
      </c>
      <c r="CZ46" s="82">
        <v>20970000</v>
      </c>
      <c r="DA46" s="81">
        <v>25048000</v>
      </c>
      <c r="DB46" s="82">
        <v>24100000</v>
      </c>
      <c r="DC46" s="81">
        <v>25643000</v>
      </c>
      <c r="DD46" s="82">
        <v>24695000</v>
      </c>
      <c r="DE46" s="81">
        <v>22277000</v>
      </c>
      <c r="DF46" s="82">
        <v>21329000</v>
      </c>
      <c r="DG46" s="81">
        <v>21875000</v>
      </c>
      <c r="DH46" s="82">
        <v>20927000</v>
      </c>
      <c r="DI46" s="81">
        <v>21875000</v>
      </c>
      <c r="DJ46" s="82">
        <v>20927000</v>
      </c>
      <c r="DK46" s="81">
        <v>25146000</v>
      </c>
      <c r="DL46" s="82">
        <v>24198000</v>
      </c>
      <c r="DM46" s="81">
        <v>26159000</v>
      </c>
      <c r="DN46" s="82">
        <v>25211000</v>
      </c>
    </row>
    <row r="47" spans="1:118" x14ac:dyDescent="0.25">
      <c r="A47" s="83">
        <v>8</v>
      </c>
      <c r="B47" s="84" t="s">
        <v>496</v>
      </c>
      <c r="C47" s="100">
        <v>6</v>
      </c>
      <c r="D47" s="81">
        <v>10906000</v>
      </c>
      <c r="E47" s="82">
        <v>9929000</v>
      </c>
      <c r="F47" s="81">
        <v>12878000</v>
      </c>
      <c r="G47" s="82">
        <v>11901000</v>
      </c>
      <c r="H47" s="81">
        <v>11132000</v>
      </c>
      <c r="I47" s="82">
        <v>10155000</v>
      </c>
      <c r="J47" s="81">
        <v>14064000</v>
      </c>
      <c r="K47" s="82">
        <v>13087000</v>
      </c>
      <c r="L47" s="81">
        <v>13961000</v>
      </c>
      <c r="M47" s="82">
        <v>12984000</v>
      </c>
      <c r="N47" s="81">
        <v>11586000</v>
      </c>
      <c r="O47" s="82">
        <v>10609000</v>
      </c>
      <c r="P47" s="81">
        <v>12153000</v>
      </c>
      <c r="Q47" s="82">
        <v>11176000</v>
      </c>
      <c r="R47" s="81">
        <v>15412000</v>
      </c>
      <c r="S47" s="82">
        <v>14435000</v>
      </c>
      <c r="T47" s="81">
        <v>16032000</v>
      </c>
      <c r="U47" s="82">
        <v>15055000</v>
      </c>
      <c r="V47" s="81">
        <v>12527000</v>
      </c>
      <c r="W47" s="82">
        <v>11550000</v>
      </c>
      <c r="X47" s="81">
        <v>12107000</v>
      </c>
      <c r="Y47" s="82">
        <v>11130000</v>
      </c>
      <c r="Z47" s="81">
        <v>12107000</v>
      </c>
      <c r="AA47" s="82">
        <v>11130000</v>
      </c>
      <c r="AB47" s="81">
        <v>15515000</v>
      </c>
      <c r="AC47" s="82">
        <v>14538000</v>
      </c>
      <c r="AD47" s="81">
        <v>16570000</v>
      </c>
      <c r="AE47" s="82">
        <v>15593000</v>
      </c>
      <c r="AF47" s="100">
        <v>6</v>
      </c>
      <c r="AG47" s="81">
        <v>10335000</v>
      </c>
      <c r="AH47" s="82">
        <v>9358000</v>
      </c>
      <c r="AI47" s="81">
        <v>12308000</v>
      </c>
      <c r="AJ47" s="82">
        <v>11331000</v>
      </c>
      <c r="AK47" s="81">
        <v>10562000</v>
      </c>
      <c r="AL47" s="82">
        <v>9585000</v>
      </c>
      <c r="AM47" s="81">
        <v>13494000</v>
      </c>
      <c r="AN47" s="82">
        <v>12517000</v>
      </c>
      <c r="AO47" s="81">
        <v>13391000</v>
      </c>
      <c r="AP47" s="82">
        <v>12414000</v>
      </c>
      <c r="AQ47" s="81">
        <v>11016000</v>
      </c>
      <c r="AR47" s="82">
        <v>10039000</v>
      </c>
      <c r="AS47" s="81">
        <v>11582000</v>
      </c>
      <c r="AT47" s="82">
        <v>10605000</v>
      </c>
      <c r="AU47" s="81">
        <v>14842000</v>
      </c>
      <c r="AV47" s="82">
        <v>13865000</v>
      </c>
      <c r="AW47" s="81">
        <v>15462000</v>
      </c>
      <c r="AX47" s="82">
        <v>14485000</v>
      </c>
      <c r="AY47" s="81">
        <v>11956000</v>
      </c>
      <c r="AZ47" s="82">
        <v>10979000</v>
      </c>
      <c r="BA47" s="81">
        <v>11537000</v>
      </c>
      <c r="BB47" s="82">
        <v>10560000</v>
      </c>
      <c r="BC47" s="81">
        <v>11537000</v>
      </c>
      <c r="BD47" s="82">
        <v>10560000</v>
      </c>
      <c r="BE47" s="81">
        <v>14945000</v>
      </c>
      <c r="BF47" s="82">
        <v>13968000</v>
      </c>
      <c r="BG47" s="81">
        <v>15999000</v>
      </c>
      <c r="BH47" s="82">
        <v>15022000</v>
      </c>
      <c r="BI47" s="100">
        <v>2</v>
      </c>
      <c r="BJ47" s="81">
        <v>12104000</v>
      </c>
      <c r="BK47" s="82">
        <v>11127000</v>
      </c>
      <c r="BL47" s="81">
        <v>14076000</v>
      </c>
      <c r="BM47" s="82">
        <v>13099000</v>
      </c>
      <c r="BN47" s="81">
        <v>12330000</v>
      </c>
      <c r="BO47" s="82">
        <v>11353000</v>
      </c>
      <c r="BP47" s="81">
        <v>15262000</v>
      </c>
      <c r="BQ47" s="82">
        <v>14285000</v>
      </c>
      <c r="BR47" s="81">
        <v>15159000</v>
      </c>
      <c r="BS47" s="82">
        <v>14182000</v>
      </c>
      <c r="BT47" s="81">
        <v>12784000</v>
      </c>
      <c r="BU47" s="82">
        <v>11807000</v>
      </c>
      <c r="BV47" s="81">
        <v>13351000</v>
      </c>
      <c r="BW47" s="82">
        <v>12374000</v>
      </c>
      <c r="BX47" s="81">
        <v>16610000</v>
      </c>
      <c r="BY47" s="82">
        <v>15633000</v>
      </c>
      <c r="BZ47" s="81">
        <v>17230000</v>
      </c>
      <c r="CA47" s="82">
        <v>16253000</v>
      </c>
      <c r="CB47" s="81">
        <v>13725000</v>
      </c>
      <c r="CC47" s="82">
        <v>12748000</v>
      </c>
      <c r="CD47" s="81">
        <v>13305000</v>
      </c>
      <c r="CE47" s="82">
        <v>12328000</v>
      </c>
      <c r="CF47" s="81">
        <v>13305000</v>
      </c>
      <c r="CG47" s="82">
        <v>12328000</v>
      </c>
      <c r="CH47" s="81">
        <v>16713000</v>
      </c>
      <c r="CI47" s="82">
        <v>15736000</v>
      </c>
      <c r="CJ47" s="81">
        <v>17768000</v>
      </c>
      <c r="CK47" s="82">
        <v>16791000</v>
      </c>
      <c r="CL47" s="100">
        <v>2</v>
      </c>
      <c r="CM47" s="81">
        <v>20983000</v>
      </c>
      <c r="CN47" s="82">
        <v>20006000</v>
      </c>
      <c r="CO47" s="81">
        <v>22956000</v>
      </c>
      <c r="CP47" s="82">
        <v>21979000</v>
      </c>
      <c r="CQ47" s="81">
        <v>21210000</v>
      </c>
      <c r="CR47" s="82">
        <v>20233000</v>
      </c>
      <c r="CS47" s="81">
        <v>24141000</v>
      </c>
      <c r="CT47" s="82">
        <v>23164000</v>
      </c>
      <c r="CU47" s="81">
        <v>24039000</v>
      </c>
      <c r="CV47" s="82">
        <v>23062000</v>
      </c>
      <c r="CW47" s="81">
        <v>21664000</v>
      </c>
      <c r="CX47" s="82">
        <v>20687000</v>
      </c>
      <c r="CY47" s="81">
        <v>22230000</v>
      </c>
      <c r="CZ47" s="82">
        <v>21253000</v>
      </c>
      <c r="DA47" s="81">
        <v>25490000</v>
      </c>
      <c r="DB47" s="82">
        <v>24513000</v>
      </c>
      <c r="DC47" s="81">
        <v>26110000</v>
      </c>
      <c r="DD47" s="82">
        <v>25133000</v>
      </c>
      <c r="DE47" s="81">
        <v>22604000</v>
      </c>
      <c r="DF47" s="82">
        <v>21627000</v>
      </c>
      <c r="DG47" s="81">
        <v>22185000</v>
      </c>
      <c r="DH47" s="82">
        <v>21208000</v>
      </c>
      <c r="DI47" s="81">
        <v>22185000</v>
      </c>
      <c r="DJ47" s="82">
        <v>21208000</v>
      </c>
      <c r="DK47" s="81">
        <v>25593000</v>
      </c>
      <c r="DL47" s="82">
        <v>24616000</v>
      </c>
      <c r="DM47" s="81">
        <v>26647000</v>
      </c>
      <c r="DN47" s="82">
        <v>25670000</v>
      </c>
    </row>
    <row r="48" spans="1:118" x14ac:dyDescent="0.25">
      <c r="A48" s="83">
        <v>9</v>
      </c>
      <c r="B48" s="84" t="s">
        <v>497</v>
      </c>
      <c r="C48" s="100">
        <v>6</v>
      </c>
      <c r="D48" s="81">
        <v>11437000</v>
      </c>
      <c r="E48" s="82">
        <v>10389000</v>
      </c>
      <c r="F48" s="81">
        <v>13606000</v>
      </c>
      <c r="G48" s="82">
        <v>12558000</v>
      </c>
      <c r="H48" s="81">
        <v>11686000</v>
      </c>
      <c r="I48" s="82">
        <v>10638000</v>
      </c>
      <c r="J48" s="81">
        <v>14911000</v>
      </c>
      <c r="K48" s="82">
        <v>13863000</v>
      </c>
      <c r="L48" s="81">
        <v>14797000</v>
      </c>
      <c r="M48" s="82">
        <v>13749000</v>
      </c>
      <c r="N48" s="81">
        <v>12185000</v>
      </c>
      <c r="O48" s="82">
        <v>11137000</v>
      </c>
      <c r="P48" s="81">
        <v>12808000</v>
      </c>
      <c r="Q48" s="82">
        <v>11760000</v>
      </c>
      <c r="R48" s="81">
        <v>16394000</v>
      </c>
      <c r="S48" s="82">
        <v>15346000</v>
      </c>
      <c r="T48" s="81">
        <v>17076000</v>
      </c>
      <c r="U48" s="82">
        <v>16028000</v>
      </c>
      <c r="V48" s="81">
        <v>13220000</v>
      </c>
      <c r="W48" s="82">
        <v>12172000</v>
      </c>
      <c r="X48" s="81">
        <v>12758000</v>
      </c>
      <c r="Y48" s="82">
        <v>11710000</v>
      </c>
      <c r="Z48" s="81">
        <v>12758000</v>
      </c>
      <c r="AA48" s="82">
        <v>11710000</v>
      </c>
      <c r="AB48" s="81">
        <v>16507000</v>
      </c>
      <c r="AC48" s="82">
        <v>15459000</v>
      </c>
      <c r="AD48" s="81">
        <v>17667000</v>
      </c>
      <c r="AE48" s="82">
        <v>16619000</v>
      </c>
      <c r="AF48" s="100">
        <v>6</v>
      </c>
      <c r="AG48" s="81">
        <v>10851000</v>
      </c>
      <c r="AH48" s="82">
        <v>9803000</v>
      </c>
      <c r="AI48" s="81">
        <v>13021000</v>
      </c>
      <c r="AJ48" s="82">
        <v>11973000</v>
      </c>
      <c r="AK48" s="81">
        <v>11100000</v>
      </c>
      <c r="AL48" s="82">
        <v>10052000</v>
      </c>
      <c r="AM48" s="81">
        <v>14325000</v>
      </c>
      <c r="AN48" s="82">
        <v>13277000</v>
      </c>
      <c r="AO48" s="81">
        <v>14212000</v>
      </c>
      <c r="AP48" s="82">
        <v>13164000</v>
      </c>
      <c r="AQ48" s="81">
        <v>11599000</v>
      </c>
      <c r="AR48" s="82">
        <v>10551000</v>
      </c>
      <c r="AS48" s="81">
        <v>12222000</v>
      </c>
      <c r="AT48" s="82">
        <v>11174000</v>
      </c>
      <c r="AU48" s="81">
        <v>15808000</v>
      </c>
      <c r="AV48" s="82">
        <v>14760000</v>
      </c>
      <c r="AW48" s="81">
        <v>16490000</v>
      </c>
      <c r="AX48" s="82">
        <v>15442000</v>
      </c>
      <c r="AY48" s="81">
        <v>12634000</v>
      </c>
      <c r="AZ48" s="82">
        <v>11586000</v>
      </c>
      <c r="BA48" s="81">
        <v>12173000</v>
      </c>
      <c r="BB48" s="82">
        <v>11125000</v>
      </c>
      <c r="BC48" s="81">
        <v>12173000</v>
      </c>
      <c r="BD48" s="82">
        <v>11125000</v>
      </c>
      <c r="BE48" s="81">
        <v>15921000</v>
      </c>
      <c r="BF48" s="82">
        <v>14873000</v>
      </c>
      <c r="BG48" s="81">
        <v>17081000</v>
      </c>
      <c r="BH48" s="82">
        <v>16033000</v>
      </c>
      <c r="BI48" s="100">
        <v>2</v>
      </c>
      <c r="BJ48" s="81">
        <v>12622000</v>
      </c>
      <c r="BK48" s="82">
        <v>11574000</v>
      </c>
      <c r="BL48" s="81">
        <v>14792000</v>
      </c>
      <c r="BM48" s="82">
        <v>13744000</v>
      </c>
      <c r="BN48" s="81">
        <v>12872000</v>
      </c>
      <c r="BO48" s="82">
        <v>11824000</v>
      </c>
      <c r="BP48" s="81">
        <v>16096000</v>
      </c>
      <c r="BQ48" s="82">
        <v>15048000</v>
      </c>
      <c r="BR48" s="81">
        <v>15983000</v>
      </c>
      <c r="BS48" s="82">
        <v>14935000</v>
      </c>
      <c r="BT48" s="81">
        <v>13370000</v>
      </c>
      <c r="BU48" s="82">
        <v>12322000</v>
      </c>
      <c r="BV48" s="81">
        <v>13994000</v>
      </c>
      <c r="BW48" s="82">
        <v>12946000</v>
      </c>
      <c r="BX48" s="81">
        <v>17580000</v>
      </c>
      <c r="BY48" s="82">
        <v>16532000</v>
      </c>
      <c r="BZ48" s="81">
        <v>18262000</v>
      </c>
      <c r="CA48" s="82">
        <v>17214000</v>
      </c>
      <c r="CB48" s="81">
        <v>14405000</v>
      </c>
      <c r="CC48" s="82">
        <v>13357000</v>
      </c>
      <c r="CD48" s="81">
        <v>13944000</v>
      </c>
      <c r="CE48" s="82">
        <v>12896000</v>
      </c>
      <c r="CF48" s="81">
        <v>13944000</v>
      </c>
      <c r="CG48" s="82">
        <v>12896000</v>
      </c>
      <c r="CH48" s="81">
        <v>17693000</v>
      </c>
      <c r="CI48" s="82">
        <v>16645000</v>
      </c>
      <c r="CJ48" s="81">
        <v>18852000</v>
      </c>
      <c r="CK48" s="82">
        <v>17804000</v>
      </c>
      <c r="CL48" s="100">
        <v>2</v>
      </c>
      <c r="CM48" s="81">
        <v>21636000</v>
      </c>
      <c r="CN48" s="82">
        <v>20588000</v>
      </c>
      <c r="CO48" s="81">
        <v>23806000</v>
      </c>
      <c r="CP48" s="82">
        <v>22758000</v>
      </c>
      <c r="CQ48" s="81">
        <v>21885000</v>
      </c>
      <c r="CR48" s="82">
        <v>20837000</v>
      </c>
      <c r="CS48" s="81">
        <v>25110000</v>
      </c>
      <c r="CT48" s="82">
        <v>24062000</v>
      </c>
      <c r="CU48" s="81">
        <v>24997000</v>
      </c>
      <c r="CV48" s="82">
        <v>23949000</v>
      </c>
      <c r="CW48" s="81">
        <v>22384000</v>
      </c>
      <c r="CX48" s="82">
        <v>21336000</v>
      </c>
      <c r="CY48" s="81">
        <v>23008000</v>
      </c>
      <c r="CZ48" s="82">
        <v>21960000</v>
      </c>
      <c r="DA48" s="81">
        <v>26593000</v>
      </c>
      <c r="DB48" s="82">
        <v>25545000</v>
      </c>
      <c r="DC48" s="81">
        <v>27275000</v>
      </c>
      <c r="DD48" s="82">
        <v>26227000</v>
      </c>
      <c r="DE48" s="81">
        <v>23419000</v>
      </c>
      <c r="DF48" s="82">
        <v>22371000</v>
      </c>
      <c r="DG48" s="81">
        <v>22958000</v>
      </c>
      <c r="DH48" s="82">
        <v>21910000</v>
      </c>
      <c r="DI48" s="81">
        <v>22958000</v>
      </c>
      <c r="DJ48" s="82">
        <v>21910000</v>
      </c>
      <c r="DK48" s="81">
        <v>26706000</v>
      </c>
      <c r="DL48" s="82">
        <v>25658000</v>
      </c>
      <c r="DM48" s="81">
        <v>27866000</v>
      </c>
      <c r="DN48" s="82">
        <v>26818000</v>
      </c>
    </row>
    <row r="49" spans="1:118" x14ac:dyDescent="0.25">
      <c r="A49" s="83">
        <v>10</v>
      </c>
      <c r="B49" s="84" t="s">
        <v>498</v>
      </c>
      <c r="C49" s="100">
        <v>6</v>
      </c>
      <c r="D49" s="81">
        <v>11968000</v>
      </c>
      <c r="E49" s="82">
        <v>10850000</v>
      </c>
      <c r="F49" s="81">
        <v>14335000</v>
      </c>
      <c r="G49" s="82">
        <v>13217000</v>
      </c>
      <c r="H49" s="81">
        <v>12240000</v>
      </c>
      <c r="I49" s="82">
        <v>11122000</v>
      </c>
      <c r="J49" s="81">
        <v>15757000</v>
      </c>
      <c r="K49" s="82">
        <v>14639000</v>
      </c>
      <c r="L49" s="81">
        <v>15634000</v>
      </c>
      <c r="M49" s="82">
        <v>14516000</v>
      </c>
      <c r="N49" s="81">
        <v>12784000</v>
      </c>
      <c r="O49" s="82">
        <v>11666000</v>
      </c>
      <c r="P49" s="81">
        <v>13464000</v>
      </c>
      <c r="Q49" s="82">
        <v>12346000</v>
      </c>
      <c r="R49" s="81">
        <v>17376000</v>
      </c>
      <c r="S49" s="82">
        <v>16258000</v>
      </c>
      <c r="T49" s="81">
        <v>18120000</v>
      </c>
      <c r="U49" s="82">
        <v>17002000</v>
      </c>
      <c r="V49" s="81">
        <v>13913000</v>
      </c>
      <c r="W49" s="82">
        <v>12795000</v>
      </c>
      <c r="X49" s="81">
        <v>13410000</v>
      </c>
      <c r="Y49" s="82">
        <v>12292000</v>
      </c>
      <c r="Z49" s="81">
        <v>13410000</v>
      </c>
      <c r="AA49" s="82">
        <v>12292000</v>
      </c>
      <c r="AB49" s="81">
        <v>17499000</v>
      </c>
      <c r="AC49" s="82">
        <v>16381000</v>
      </c>
      <c r="AD49" s="81">
        <v>18764000</v>
      </c>
      <c r="AE49" s="82">
        <v>17646000</v>
      </c>
      <c r="AF49" s="100">
        <v>6</v>
      </c>
      <c r="AG49" s="81">
        <v>11366000</v>
      </c>
      <c r="AH49" s="82">
        <v>10248000</v>
      </c>
      <c r="AI49" s="81">
        <v>13733000</v>
      </c>
      <c r="AJ49" s="82">
        <v>12615000</v>
      </c>
      <c r="AK49" s="81">
        <v>11638000</v>
      </c>
      <c r="AL49" s="82">
        <v>10520000</v>
      </c>
      <c r="AM49" s="81">
        <v>15156000</v>
      </c>
      <c r="AN49" s="82">
        <v>14038000</v>
      </c>
      <c r="AO49" s="81">
        <v>15032000</v>
      </c>
      <c r="AP49" s="82">
        <v>13914000</v>
      </c>
      <c r="AQ49" s="81">
        <v>12182000</v>
      </c>
      <c r="AR49" s="82">
        <v>11064000</v>
      </c>
      <c r="AS49" s="81">
        <v>12862000</v>
      </c>
      <c r="AT49" s="82">
        <v>11744000</v>
      </c>
      <c r="AU49" s="81">
        <v>16774000</v>
      </c>
      <c r="AV49" s="82">
        <v>15656000</v>
      </c>
      <c r="AW49" s="81">
        <v>17518000</v>
      </c>
      <c r="AX49" s="82">
        <v>16400000</v>
      </c>
      <c r="AY49" s="81">
        <v>13311000</v>
      </c>
      <c r="AZ49" s="82">
        <v>12193000</v>
      </c>
      <c r="BA49" s="81">
        <v>12808000</v>
      </c>
      <c r="BB49" s="82">
        <v>11690000</v>
      </c>
      <c r="BC49" s="81">
        <v>12808000</v>
      </c>
      <c r="BD49" s="82">
        <v>11690000</v>
      </c>
      <c r="BE49" s="81">
        <v>16898000</v>
      </c>
      <c r="BF49" s="82">
        <v>15780000</v>
      </c>
      <c r="BG49" s="81">
        <v>18163000</v>
      </c>
      <c r="BH49" s="82">
        <v>17045000</v>
      </c>
      <c r="BI49" s="100">
        <v>2</v>
      </c>
      <c r="BJ49" s="81">
        <v>13141000</v>
      </c>
      <c r="BK49" s="82">
        <v>12023000</v>
      </c>
      <c r="BL49" s="81">
        <v>15508000</v>
      </c>
      <c r="BM49" s="82">
        <v>14390000</v>
      </c>
      <c r="BN49" s="81">
        <v>13413000</v>
      </c>
      <c r="BO49" s="82">
        <v>12295000</v>
      </c>
      <c r="BP49" s="81">
        <v>16930000</v>
      </c>
      <c r="BQ49" s="82">
        <v>15812000</v>
      </c>
      <c r="BR49" s="81">
        <v>16807000</v>
      </c>
      <c r="BS49" s="82">
        <v>15689000</v>
      </c>
      <c r="BT49" s="81">
        <v>13957000</v>
      </c>
      <c r="BU49" s="82">
        <v>12839000</v>
      </c>
      <c r="BV49" s="81">
        <v>14637000</v>
      </c>
      <c r="BW49" s="82">
        <v>13519000</v>
      </c>
      <c r="BX49" s="81">
        <v>18549000</v>
      </c>
      <c r="BY49" s="82">
        <v>17431000</v>
      </c>
      <c r="BZ49" s="81">
        <v>19293000</v>
      </c>
      <c r="CA49" s="82">
        <v>18175000</v>
      </c>
      <c r="CB49" s="81">
        <v>15086000</v>
      </c>
      <c r="CC49" s="82">
        <v>13968000</v>
      </c>
      <c r="CD49" s="81">
        <v>14583000</v>
      </c>
      <c r="CE49" s="82">
        <v>13465000</v>
      </c>
      <c r="CF49" s="81">
        <v>14583000</v>
      </c>
      <c r="CG49" s="82">
        <v>13465000</v>
      </c>
      <c r="CH49" s="81">
        <v>18672000</v>
      </c>
      <c r="CI49" s="82">
        <v>17554000</v>
      </c>
      <c r="CJ49" s="81">
        <v>19937000</v>
      </c>
      <c r="CK49" s="82">
        <v>18819000</v>
      </c>
      <c r="CL49" s="100">
        <v>2</v>
      </c>
      <c r="CM49" s="81">
        <v>22289000</v>
      </c>
      <c r="CN49" s="82">
        <v>21171000</v>
      </c>
      <c r="CO49" s="81">
        <v>24656000</v>
      </c>
      <c r="CP49" s="82">
        <v>23538000</v>
      </c>
      <c r="CQ49" s="81">
        <v>22561000</v>
      </c>
      <c r="CR49" s="82">
        <v>21443000</v>
      </c>
      <c r="CS49" s="81">
        <v>26078000</v>
      </c>
      <c r="CT49" s="82">
        <v>24960000</v>
      </c>
      <c r="CU49" s="81">
        <v>25955000</v>
      </c>
      <c r="CV49" s="82">
        <v>24837000</v>
      </c>
      <c r="CW49" s="81">
        <v>23105000</v>
      </c>
      <c r="CX49" s="82">
        <v>21987000</v>
      </c>
      <c r="CY49" s="81">
        <v>23785000</v>
      </c>
      <c r="CZ49" s="82">
        <v>22667000</v>
      </c>
      <c r="DA49" s="81">
        <v>27697000</v>
      </c>
      <c r="DB49" s="82">
        <v>26579000</v>
      </c>
      <c r="DC49" s="81">
        <v>28441000</v>
      </c>
      <c r="DD49" s="82">
        <v>27323000</v>
      </c>
      <c r="DE49" s="81">
        <v>24234000</v>
      </c>
      <c r="DF49" s="82">
        <v>23116000</v>
      </c>
      <c r="DG49" s="81">
        <v>23731000</v>
      </c>
      <c r="DH49" s="82">
        <v>22613000</v>
      </c>
      <c r="DI49" s="81">
        <v>23731000</v>
      </c>
      <c r="DJ49" s="82">
        <v>22613000</v>
      </c>
      <c r="DK49" s="81">
        <v>27820000</v>
      </c>
      <c r="DL49" s="82">
        <v>26702000</v>
      </c>
      <c r="DM49" s="81">
        <v>29085000</v>
      </c>
      <c r="DN49" s="82">
        <v>27967000</v>
      </c>
    </row>
    <row r="50" spans="1:118" ht="20.25" x14ac:dyDescent="0.3">
      <c r="A50" s="74"/>
      <c r="B50" s="91" t="s">
        <v>450</v>
      </c>
      <c r="C50" s="99"/>
      <c r="D50" s="94"/>
      <c r="E50" s="60"/>
      <c r="F50" s="94"/>
      <c r="G50" s="60"/>
      <c r="H50" s="94"/>
      <c r="I50" s="60"/>
      <c r="J50" s="94"/>
      <c r="K50" s="60"/>
      <c r="L50" s="94"/>
      <c r="M50" s="60"/>
      <c r="N50" s="94"/>
      <c r="O50" s="60"/>
      <c r="P50" s="94"/>
      <c r="Q50" s="60"/>
      <c r="R50" s="94"/>
      <c r="S50" s="60"/>
      <c r="T50" s="94"/>
      <c r="U50" s="60"/>
      <c r="V50" s="94"/>
      <c r="W50" s="60"/>
      <c r="X50" s="94"/>
      <c r="Y50" s="60"/>
      <c r="Z50" s="94"/>
      <c r="AA50" s="60"/>
      <c r="AB50" s="94"/>
      <c r="AC50" s="60"/>
      <c r="AD50" s="94"/>
      <c r="AE50" s="60"/>
      <c r="AF50" s="99"/>
      <c r="AG50" s="94"/>
      <c r="AH50" s="60"/>
      <c r="AI50" s="94"/>
      <c r="AJ50" s="60"/>
      <c r="AK50" s="94"/>
      <c r="AL50" s="60"/>
      <c r="AM50" s="94"/>
      <c r="AN50" s="60"/>
      <c r="AO50" s="94"/>
      <c r="AP50" s="60"/>
      <c r="AQ50" s="94"/>
      <c r="AR50" s="60"/>
      <c r="AS50" s="94"/>
      <c r="AT50" s="60"/>
      <c r="AU50" s="94"/>
      <c r="AV50" s="60"/>
      <c r="AW50" s="94"/>
      <c r="AX50" s="60"/>
      <c r="AY50" s="94"/>
      <c r="AZ50" s="60"/>
      <c r="BA50" s="94"/>
      <c r="BB50" s="60"/>
      <c r="BC50" s="94"/>
      <c r="BD50" s="60"/>
      <c r="BE50" s="94"/>
      <c r="BF50" s="60"/>
      <c r="BG50" s="94"/>
      <c r="BH50" s="60"/>
      <c r="BI50" s="99"/>
      <c r="BJ50" s="94"/>
      <c r="BK50" s="60"/>
      <c r="BL50" s="94"/>
      <c r="BM50" s="60"/>
      <c r="BN50" s="94"/>
      <c r="BO50" s="60"/>
      <c r="BP50" s="94"/>
      <c r="BQ50" s="60"/>
      <c r="BR50" s="94"/>
      <c r="BS50" s="60"/>
      <c r="BT50" s="94"/>
      <c r="BU50" s="60"/>
      <c r="BV50" s="94"/>
      <c r="BW50" s="60"/>
      <c r="BX50" s="94"/>
      <c r="BY50" s="60"/>
      <c r="BZ50" s="94"/>
      <c r="CA50" s="60"/>
      <c r="CB50" s="94"/>
      <c r="CC50" s="60"/>
      <c r="CD50" s="94"/>
      <c r="CE50" s="60"/>
      <c r="CF50" s="94"/>
      <c r="CG50" s="60"/>
      <c r="CH50" s="94"/>
      <c r="CI50" s="60"/>
      <c r="CJ50" s="94"/>
      <c r="CK50" s="60"/>
      <c r="CL50" s="99"/>
      <c r="CM50" s="94"/>
      <c r="CN50" s="60"/>
      <c r="CO50" s="94"/>
      <c r="CP50" s="60"/>
      <c r="CQ50" s="94"/>
      <c r="CR50" s="60"/>
      <c r="CS50" s="94"/>
      <c r="CT50" s="60"/>
      <c r="CU50" s="94"/>
      <c r="CV50" s="60"/>
      <c r="CW50" s="94"/>
      <c r="CX50" s="60"/>
      <c r="CY50" s="94"/>
      <c r="CZ50" s="60"/>
      <c r="DA50" s="94"/>
      <c r="DB50" s="60"/>
      <c r="DC50" s="94"/>
      <c r="DD50" s="60"/>
      <c r="DE50" s="94"/>
      <c r="DF50" s="60"/>
      <c r="DG50" s="94"/>
      <c r="DH50" s="60"/>
      <c r="DI50" s="94"/>
      <c r="DJ50" s="60"/>
      <c r="DK50" s="94"/>
      <c r="DL50" s="60"/>
      <c r="DM50" s="94"/>
      <c r="DN50" s="60"/>
    </row>
    <row r="51" spans="1:118" x14ac:dyDescent="0.25">
      <c r="A51" s="79">
        <v>1</v>
      </c>
      <c r="B51" s="80" t="s">
        <v>489</v>
      </c>
      <c r="C51" s="100">
        <v>3</v>
      </c>
      <c r="D51" s="81">
        <v>6139000</v>
      </c>
      <c r="E51" s="82">
        <v>5535000</v>
      </c>
      <c r="F51" s="81">
        <v>7086000</v>
      </c>
      <c r="G51" s="82">
        <v>6482000</v>
      </c>
      <c r="H51" s="81">
        <v>6248000</v>
      </c>
      <c r="I51" s="82">
        <v>5644000</v>
      </c>
      <c r="J51" s="81">
        <v>7655000</v>
      </c>
      <c r="K51" s="82">
        <v>7051000</v>
      </c>
      <c r="L51" s="81">
        <v>7605000</v>
      </c>
      <c r="M51" s="82">
        <v>7001000</v>
      </c>
      <c r="N51" s="81">
        <v>6465000</v>
      </c>
      <c r="O51" s="82">
        <v>5861000</v>
      </c>
      <c r="P51" s="81">
        <v>6737000</v>
      </c>
      <c r="Q51" s="82">
        <v>6133000</v>
      </c>
      <c r="R51" s="81">
        <v>8302000</v>
      </c>
      <c r="S51" s="82">
        <v>7698000</v>
      </c>
      <c r="T51" s="81">
        <v>8600000</v>
      </c>
      <c r="U51" s="82">
        <v>7996000</v>
      </c>
      <c r="V51" s="81">
        <v>6917000</v>
      </c>
      <c r="W51" s="82">
        <v>6313000</v>
      </c>
      <c r="X51" s="81">
        <v>6716000</v>
      </c>
      <c r="Y51" s="82">
        <v>6112000</v>
      </c>
      <c r="Z51" s="81">
        <v>6716000</v>
      </c>
      <c r="AA51" s="82">
        <v>6112000</v>
      </c>
      <c r="AB51" s="81">
        <v>8351000</v>
      </c>
      <c r="AC51" s="82">
        <v>7747000</v>
      </c>
      <c r="AD51" s="81">
        <v>8858000</v>
      </c>
      <c r="AE51" s="82">
        <v>8254000</v>
      </c>
      <c r="AF51" s="100">
        <v>3</v>
      </c>
      <c r="AG51" s="81">
        <v>5828000</v>
      </c>
      <c r="AH51" s="82">
        <v>5224000</v>
      </c>
      <c r="AI51" s="81">
        <v>6775000</v>
      </c>
      <c r="AJ51" s="82">
        <v>6171000</v>
      </c>
      <c r="AK51" s="81">
        <v>5937000</v>
      </c>
      <c r="AL51" s="82">
        <v>5333000</v>
      </c>
      <c r="AM51" s="81">
        <v>7344000</v>
      </c>
      <c r="AN51" s="82">
        <v>6740000</v>
      </c>
      <c r="AO51" s="81">
        <v>7295000</v>
      </c>
      <c r="AP51" s="82">
        <v>6691000</v>
      </c>
      <c r="AQ51" s="81">
        <v>6155000</v>
      </c>
      <c r="AR51" s="82">
        <v>5551000</v>
      </c>
      <c r="AS51" s="81">
        <v>6427000</v>
      </c>
      <c r="AT51" s="82">
        <v>5823000</v>
      </c>
      <c r="AU51" s="81">
        <v>7991000</v>
      </c>
      <c r="AV51" s="82">
        <v>7387000</v>
      </c>
      <c r="AW51" s="81">
        <v>8289000</v>
      </c>
      <c r="AX51" s="82">
        <v>7685000</v>
      </c>
      <c r="AY51" s="81">
        <v>6606000</v>
      </c>
      <c r="AZ51" s="82">
        <v>6002000</v>
      </c>
      <c r="BA51" s="81">
        <v>6405000</v>
      </c>
      <c r="BB51" s="82">
        <v>5801000</v>
      </c>
      <c r="BC51" s="81">
        <v>6405000</v>
      </c>
      <c r="BD51" s="82">
        <v>5801000</v>
      </c>
      <c r="BE51" s="81">
        <v>8041000</v>
      </c>
      <c r="BF51" s="82">
        <v>7437000</v>
      </c>
      <c r="BG51" s="81">
        <v>8547000</v>
      </c>
      <c r="BH51" s="82">
        <v>7943000</v>
      </c>
      <c r="BI51" s="100">
        <v>1</v>
      </c>
      <c r="BJ51" s="81">
        <v>6715000</v>
      </c>
      <c r="BK51" s="82">
        <v>6111000</v>
      </c>
      <c r="BL51" s="81">
        <v>7662000</v>
      </c>
      <c r="BM51" s="82">
        <v>7058000</v>
      </c>
      <c r="BN51" s="81">
        <v>6824000</v>
      </c>
      <c r="BO51" s="82">
        <v>6220000</v>
      </c>
      <c r="BP51" s="81">
        <v>8231000</v>
      </c>
      <c r="BQ51" s="82">
        <v>7627000</v>
      </c>
      <c r="BR51" s="81">
        <v>8182000</v>
      </c>
      <c r="BS51" s="82">
        <v>7578000</v>
      </c>
      <c r="BT51" s="81">
        <v>7042000</v>
      </c>
      <c r="BU51" s="82">
        <v>6438000</v>
      </c>
      <c r="BV51" s="81">
        <v>7314000</v>
      </c>
      <c r="BW51" s="82">
        <v>6710000</v>
      </c>
      <c r="BX51" s="81">
        <v>8879000</v>
      </c>
      <c r="BY51" s="82">
        <v>8275000</v>
      </c>
      <c r="BZ51" s="81">
        <v>9176000</v>
      </c>
      <c r="CA51" s="82">
        <v>8572000</v>
      </c>
      <c r="CB51" s="81">
        <v>7494000</v>
      </c>
      <c r="CC51" s="82">
        <v>6890000</v>
      </c>
      <c r="CD51" s="81">
        <v>7292000</v>
      </c>
      <c r="CE51" s="82">
        <v>6688000</v>
      </c>
      <c r="CF51" s="81">
        <v>7292000</v>
      </c>
      <c r="CG51" s="82">
        <v>6688000</v>
      </c>
      <c r="CH51" s="81">
        <v>8928000</v>
      </c>
      <c r="CI51" s="82">
        <v>8324000</v>
      </c>
      <c r="CJ51" s="81">
        <v>9434000</v>
      </c>
      <c r="CK51" s="82">
        <v>8830000</v>
      </c>
      <c r="CL51" s="100">
        <v>1</v>
      </c>
      <c r="CM51" s="81">
        <v>11323000</v>
      </c>
      <c r="CN51" s="82">
        <v>10719000</v>
      </c>
      <c r="CO51" s="81">
        <v>12270000</v>
      </c>
      <c r="CP51" s="82">
        <v>11666000</v>
      </c>
      <c r="CQ51" s="81">
        <v>11432000</v>
      </c>
      <c r="CR51" s="82">
        <v>10828000</v>
      </c>
      <c r="CS51" s="81">
        <v>12839000</v>
      </c>
      <c r="CT51" s="82">
        <v>12235000</v>
      </c>
      <c r="CU51" s="81">
        <v>12790000</v>
      </c>
      <c r="CV51" s="82">
        <v>12186000</v>
      </c>
      <c r="CW51" s="81">
        <v>11650000</v>
      </c>
      <c r="CX51" s="82">
        <v>11046000</v>
      </c>
      <c r="CY51" s="81">
        <v>11922000</v>
      </c>
      <c r="CZ51" s="82">
        <v>11318000</v>
      </c>
      <c r="DA51" s="81">
        <v>13487000</v>
      </c>
      <c r="DB51" s="82">
        <v>12883000</v>
      </c>
      <c r="DC51" s="81">
        <v>13784000</v>
      </c>
      <c r="DD51" s="82">
        <v>13180000</v>
      </c>
      <c r="DE51" s="81">
        <v>12101000</v>
      </c>
      <c r="DF51" s="82">
        <v>11497000</v>
      </c>
      <c r="DG51" s="81">
        <v>11900000</v>
      </c>
      <c r="DH51" s="82">
        <v>11296000</v>
      </c>
      <c r="DI51" s="81">
        <v>11900000</v>
      </c>
      <c r="DJ51" s="82">
        <v>11296000</v>
      </c>
      <c r="DK51" s="81">
        <v>13536000</v>
      </c>
      <c r="DL51" s="82">
        <v>12932000</v>
      </c>
      <c r="DM51" s="81">
        <v>14042000</v>
      </c>
      <c r="DN51" s="82">
        <v>13438000</v>
      </c>
    </row>
    <row r="52" spans="1:118" x14ac:dyDescent="0.25">
      <c r="A52" s="83">
        <v>2</v>
      </c>
      <c r="B52" s="84" t="s">
        <v>490</v>
      </c>
      <c r="C52" s="100">
        <v>3</v>
      </c>
      <c r="D52" s="81">
        <v>6584000</v>
      </c>
      <c r="E52" s="82">
        <v>5923000</v>
      </c>
      <c r="F52" s="81">
        <v>7720000</v>
      </c>
      <c r="G52" s="82">
        <v>7059000</v>
      </c>
      <c r="H52" s="81">
        <v>6715000</v>
      </c>
      <c r="I52" s="82">
        <v>6054000</v>
      </c>
      <c r="J52" s="81">
        <v>8403000</v>
      </c>
      <c r="K52" s="82">
        <v>7742000</v>
      </c>
      <c r="L52" s="81">
        <v>8344000</v>
      </c>
      <c r="M52" s="82">
        <v>7683000</v>
      </c>
      <c r="N52" s="81">
        <v>6976000</v>
      </c>
      <c r="O52" s="82">
        <v>6315000</v>
      </c>
      <c r="P52" s="81">
        <v>7302000</v>
      </c>
      <c r="Q52" s="82">
        <v>6641000</v>
      </c>
      <c r="R52" s="81">
        <v>9180000</v>
      </c>
      <c r="S52" s="82">
        <v>8519000</v>
      </c>
      <c r="T52" s="81">
        <v>9537000</v>
      </c>
      <c r="U52" s="82">
        <v>8876000</v>
      </c>
      <c r="V52" s="81">
        <v>7518000</v>
      </c>
      <c r="W52" s="82">
        <v>6857000</v>
      </c>
      <c r="X52" s="81">
        <v>7276000</v>
      </c>
      <c r="Y52" s="82">
        <v>6615000</v>
      </c>
      <c r="Z52" s="81">
        <v>7276000</v>
      </c>
      <c r="AA52" s="82">
        <v>6615000</v>
      </c>
      <c r="AB52" s="81">
        <v>9239000</v>
      </c>
      <c r="AC52" s="82">
        <v>8578000</v>
      </c>
      <c r="AD52" s="81">
        <v>9846000</v>
      </c>
      <c r="AE52" s="82">
        <v>9185000</v>
      </c>
      <c r="AF52" s="100">
        <v>3</v>
      </c>
      <c r="AG52" s="81">
        <v>6261000</v>
      </c>
      <c r="AH52" s="82">
        <v>5600000</v>
      </c>
      <c r="AI52" s="81">
        <v>7397000</v>
      </c>
      <c r="AJ52" s="82">
        <v>6736000</v>
      </c>
      <c r="AK52" s="81">
        <v>6391000</v>
      </c>
      <c r="AL52" s="82">
        <v>5730000</v>
      </c>
      <c r="AM52" s="81">
        <v>8080000</v>
      </c>
      <c r="AN52" s="82">
        <v>7419000</v>
      </c>
      <c r="AO52" s="81">
        <v>8021000</v>
      </c>
      <c r="AP52" s="82">
        <v>7360000</v>
      </c>
      <c r="AQ52" s="81">
        <v>6653000</v>
      </c>
      <c r="AR52" s="82">
        <v>5992000</v>
      </c>
      <c r="AS52" s="81">
        <v>6979000</v>
      </c>
      <c r="AT52" s="82">
        <v>6318000</v>
      </c>
      <c r="AU52" s="81">
        <v>8857000</v>
      </c>
      <c r="AV52" s="82">
        <v>8196000</v>
      </c>
      <c r="AW52" s="81">
        <v>9214000</v>
      </c>
      <c r="AX52" s="82">
        <v>8553000</v>
      </c>
      <c r="AY52" s="81">
        <v>7194000</v>
      </c>
      <c r="AZ52" s="82">
        <v>6533000</v>
      </c>
      <c r="BA52" s="81">
        <v>6953000</v>
      </c>
      <c r="BB52" s="82">
        <v>6292000</v>
      </c>
      <c r="BC52" s="81">
        <v>6953000</v>
      </c>
      <c r="BD52" s="82">
        <v>6292000</v>
      </c>
      <c r="BE52" s="81">
        <v>8916000</v>
      </c>
      <c r="BF52" s="82">
        <v>8255000</v>
      </c>
      <c r="BG52" s="81">
        <v>9523000</v>
      </c>
      <c r="BH52" s="82">
        <v>8862000</v>
      </c>
      <c r="BI52" s="100">
        <v>1</v>
      </c>
      <c r="BJ52" s="81">
        <v>7151000</v>
      </c>
      <c r="BK52" s="82">
        <v>6490000</v>
      </c>
      <c r="BL52" s="81">
        <v>8287000</v>
      </c>
      <c r="BM52" s="82">
        <v>7626000</v>
      </c>
      <c r="BN52" s="81">
        <v>7281000</v>
      </c>
      <c r="BO52" s="82">
        <v>6620000</v>
      </c>
      <c r="BP52" s="81">
        <v>8970000</v>
      </c>
      <c r="BQ52" s="82">
        <v>8309000</v>
      </c>
      <c r="BR52" s="81">
        <v>8910000</v>
      </c>
      <c r="BS52" s="82">
        <v>8249000</v>
      </c>
      <c r="BT52" s="81">
        <v>7542000</v>
      </c>
      <c r="BU52" s="82">
        <v>6881000</v>
      </c>
      <c r="BV52" s="81">
        <v>7869000</v>
      </c>
      <c r="BW52" s="82">
        <v>7208000</v>
      </c>
      <c r="BX52" s="81">
        <v>9747000</v>
      </c>
      <c r="BY52" s="82">
        <v>9086000</v>
      </c>
      <c r="BZ52" s="81">
        <v>10104000</v>
      </c>
      <c r="CA52" s="82">
        <v>9443000</v>
      </c>
      <c r="CB52" s="81">
        <v>8084000</v>
      </c>
      <c r="CC52" s="82">
        <v>7423000</v>
      </c>
      <c r="CD52" s="81">
        <v>7843000</v>
      </c>
      <c r="CE52" s="82">
        <v>7182000</v>
      </c>
      <c r="CF52" s="81">
        <v>7843000</v>
      </c>
      <c r="CG52" s="82">
        <v>7182000</v>
      </c>
      <c r="CH52" s="81">
        <v>9806000</v>
      </c>
      <c r="CI52" s="82">
        <v>9145000</v>
      </c>
      <c r="CJ52" s="81">
        <v>10413000</v>
      </c>
      <c r="CK52" s="82">
        <v>9752000</v>
      </c>
      <c r="CL52" s="100">
        <v>1</v>
      </c>
      <c r="CM52" s="81">
        <v>11866000</v>
      </c>
      <c r="CN52" s="82">
        <v>11205000</v>
      </c>
      <c r="CO52" s="81">
        <v>13002000</v>
      </c>
      <c r="CP52" s="82">
        <v>12341000</v>
      </c>
      <c r="CQ52" s="81">
        <v>11996000</v>
      </c>
      <c r="CR52" s="82">
        <v>11335000</v>
      </c>
      <c r="CS52" s="81">
        <v>13685000</v>
      </c>
      <c r="CT52" s="82">
        <v>13024000</v>
      </c>
      <c r="CU52" s="81">
        <v>13626000</v>
      </c>
      <c r="CV52" s="82">
        <v>12965000</v>
      </c>
      <c r="CW52" s="81">
        <v>12258000</v>
      </c>
      <c r="CX52" s="82">
        <v>11597000</v>
      </c>
      <c r="CY52" s="81">
        <v>12584000</v>
      </c>
      <c r="CZ52" s="82">
        <v>11923000</v>
      </c>
      <c r="DA52" s="81">
        <v>14462000</v>
      </c>
      <c r="DB52" s="82">
        <v>13801000</v>
      </c>
      <c r="DC52" s="81">
        <v>14819000</v>
      </c>
      <c r="DD52" s="82">
        <v>14158000</v>
      </c>
      <c r="DE52" s="81">
        <v>12800000</v>
      </c>
      <c r="DF52" s="82">
        <v>12139000</v>
      </c>
      <c r="DG52" s="81">
        <v>12558000</v>
      </c>
      <c r="DH52" s="82">
        <v>11897000</v>
      </c>
      <c r="DI52" s="81">
        <v>12558000</v>
      </c>
      <c r="DJ52" s="82">
        <v>11897000</v>
      </c>
      <c r="DK52" s="81">
        <v>14521000</v>
      </c>
      <c r="DL52" s="82">
        <v>13860000</v>
      </c>
      <c r="DM52" s="81">
        <v>15128000</v>
      </c>
      <c r="DN52" s="82">
        <v>14467000</v>
      </c>
    </row>
    <row r="53" spans="1:118" x14ac:dyDescent="0.25">
      <c r="A53" s="83">
        <v>3</v>
      </c>
      <c r="B53" s="84" t="s">
        <v>491</v>
      </c>
      <c r="C53" s="100">
        <v>3</v>
      </c>
      <c r="D53" s="81">
        <v>6696000</v>
      </c>
      <c r="E53" s="82">
        <v>6021000</v>
      </c>
      <c r="F53" s="81">
        <v>7879000</v>
      </c>
      <c r="G53" s="82">
        <v>7204000</v>
      </c>
      <c r="H53" s="81">
        <v>6832000</v>
      </c>
      <c r="I53" s="82">
        <v>6157000</v>
      </c>
      <c r="J53" s="81">
        <v>8591000</v>
      </c>
      <c r="K53" s="82">
        <v>7916000</v>
      </c>
      <c r="L53" s="81">
        <v>8529000</v>
      </c>
      <c r="M53" s="82">
        <v>7854000</v>
      </c>
      <c r="N53" s="81">
        <v>7104000</v>
      </c>
      <c r="O53" s="82">
        <v>6429000</v>
      </c>
      <c r="P53" s="81">
        <v>7444000</v>
      </c>
      <c r="Q53" s="82">
        <v>6769000</v>
      </c>
      <c r="R53" s="81">
        <v>9400000</v>
      </c>
      <c r="S53" s="82">
        <v>8725000</v>
      </c>
      <c r="T53" s="81">
        <v>9772000</v>
      </c>
      <c r="U53" s="82">
        <v>9097000</v>
      </c>
      <c r="V53" s="81">
        <v>7668000</v>
      </c>
      <c r="W53" s="82">
        <v>6993000</v>
      </c>
      <c r="X53" s="81">
        <v>7417000</v>
      </c>
      <c r="Y53" s="82">
        <v>6742000</v>
      </c>
      <c r="Z53" s="81">
        <v>7417000</v>
      </c>
      <c r="AA53" s="82">
        <v>6742000</v>
      </c>
      <c r="AB53" s="81">
        <v>9461000</v>
      </c>
      <c r="AC53" s="82">
        <v>8786000</v>
      </c>
      <c r="AD53" s="81">
        <v>10094000</v>
      </c>
      <c r="AE53" s="82">
        <v>9419000</v>
      </c>
      <c r="AF53" s="100">
        <v>3</v>
      </c>
      <c r="AG53" s="81">
        <v>6369000</v>
      </c>
      <c r="AH53" s="82">
        <v>5694000</v>
      </c>
      <c r="AI53" s="81">
        <v>7553000</v>
      </c>
      <c r="AJ53" s="82">
        <v>6878000</v>
      </c>
      <c r="AK53" s="81">
        <v>6505000</v>
      </c>
      <c r="AL53" s="82">
        <v>5830000</v>
      </c>
      <c r="AM53" s="81">
        <v>8264000</v>
      </c>
      <c r="AN53" s="82">
        <v>7589000</v>
      </c>
      <c r="AO53" s="81">
        <v>8202000</v>
      </c>
      <c r="AP53" s="82">
        <v>7527000</v>
      </c>
      <c r="AQ53" s="81">
        <v>6777000</v>
      </c>
      <c r="AR53" s="82">
        <v>6102000</v>
      </c>
      <c r="AS53" s="81">
        <v>7117000</v>
      </c>
      <c r="AT53" s="82">
        <v>6442000</v>
      </c>
      <c r="AU53" s="81">
        <v>9073000</v>
      </c>
      <c r="AV53" s="82">
        <v>8398000</v>
      </c>
      <c r="AW53" s="81">
        <v>9445000</v>
      </c>
      <c r="AX53" s="82">
        <v>8770000</v>
      </c>
      <c r="AY53" s="81">
        <v>7342000</v>
      </c>
      <c r="AZ53" s="82">
        <v>6667000</v>
      </c>
      <c r="BA53" s="81">
        <v>7090000</v>
      </c>
      <c r="BB53" s="82">
        <v>6415000</v>
      </c>
      <c r="BC53" s="81">
        <v>7090000</v>
      </c>
      <c r="BD53" s="82">
        <v>6415000</v>
      </c>
      <c r="BE53" s="81">
        <v>9135000</v>
      </c>
      <c r="BF53" s="82">
        <v>8460000</v>
      </c>
      <c r="BG53" s="81">
        <v>9768000</v>
      </c>
      <c r="BH53" s="82">
        <v>9093000</v>
      </c>
      <c r="BI53" s="100">
        <v>1</v>
      </c>
      <c r="BJ53" s="81">
        <v>7260000</v>
      </c>
      <c r="BK53" s="82">
        <v>6585000</v>
      </c>
      <c r="BL53" s="81">
        <v>8443000</v>
      </c>
      <c r="BM53" s="82">
        <v>7768000</v>
      </c>
      <c r="BN53" s="81">
        <v>7396000</v>
      </c>
      <c r="BO53" s="82">
        <v>6721000</v>
      </c>
      <c r="BP53" s="81">
        <v>9155000</v>
      </c>
      <c r="BQ53" s="82">
        <v>8480000</v>
      </c>
      <c r="BR53" s="81">
        <v>9093000</v>
      </c>
      <c r="BS53" s="82">
        <v>8418000</v>
      </c>
      <c r="BT53" s="81">
        <v>7668000</v>
      </c>
      <c r="BU53" s="82">
        <v>6993000</v>
      </c>
      <c r="BV53" s="81">
        <v>8008000</v>
      </c>
      <c r="BW53" s="82">
        <v>7333000</v>
      </c>
      <c r="BX53" s="81">
        <v>9964000</v>
      </c>
      <c r="BY53" s="82">
        <v>9289000</v>
      </c>
      <c r="BZ53" s="81">
        <v>10336000</v>
      </c>
      <c r="CA53" s="82">
        <v>9661000</v>
      </c>
      <c r="CB53" s="81">
        <v>8232000</v>
      </c>
      <c r="CC53" s="82">
        <v>7557000</v>
      </c>
      <c r="CD53" s="81">
        <v>7981000</v>
      </c>
      <c r="CE53" s="82">
        <v>7306000</v>
      </c>
      <c r="CF53" s="81">
        <v>7981000</v>
      </c>
      <c r="CG53" s="82">
        <v>7306000</v>
      </c>
      <c r="CH53" s="81">
        <v>10025000</v>
      </c>
      <c r="CI53" s="82">
        <v>9350000</v>
      </c>
      <c r="CJ53" s="81">
        <v>10658000</v>
      </c>
      <c r="CK53" s="82">
        <v>9983000</v>
      </c>
      <c r="CL53" s="100">
        <v>1</v>
      </c>
      <c r="CM53" s="81">
        <v>12002000</v>
      </c>
      <c r="CN53" s="82">
        <v>11327000</v>
      </c>
      <c r="CO53" s="81">
        <v>13185000</v>
      </c>
      <c r="CP53" s="82">
        <v>12510000</v>
      </c>
      <c r="CQ53" s="81">
        <v>12138000</v>
      </c>
      <c r="CR53" s="82">
        <v>11463000</v>
      </c>
      <c r="CS53" s="81">
        <v>13897000</v>
      </c>
      <c r="CT53" s="82">
        <v>13222000</v>
      </c>
      <c r="CU53" s="81">
        <v>13835000</v>
      </c>
      <c r="CV53" s="82">
        <v>13160000</v>
      </c>
      <c r="CW53" s="81">
        <v>12410000</v>
      </c>
      <c r="CX53" s="82">
        <v>11735000</v>
      </c>
      <c r="CY53" s="81">
        <v>12750000</v>
      </c>
      <c r="CZ53" s="82">
        <v>12075000</v>
      </c>
      <c r="DA53" s="81">
        <v>14706000</v>
      </c>
      <c r="DB53" s="82">
        <v>14031000</v>
      </c>
      <c r="DC53" s="81">
        <v>15078000</v>
      </c>
      <c r="DD53" s="82">
        <v>14403000</v>
      </c>
      <c r="DE53" s="81">
        <v>12974000</v>
      </c>
      <c r="DF53" s="82">
        <v>12299000</v>
      </c>
      <c r="DG53" s="81">
        <v>12723000</v>
      </c>
      <c r="DH53" s="82">
        <v>12048000</v>
      </c>
      <c r="DI53" s="81">
        <v>12723000</v>
      </c>
      <c r="DJ53" s="82">
        <v>12048000</v>
      </c>
      <c r="DK53" s="81">
        <v>14767000</v>
      </c>
      <c r="DL53" s="82">
        <v>14092000</v>
      </c>
      <c r="DM53" s="81">
        <v>15400000</v>
      </c>
      <c r="DN53" s="82">
        <v>14725000</v>
      </c>
    </row>
    <row r="54" spans="1:118" x14ac:dyDescent="0.25">
      <c r="A54" s="83">
        <v>4</v>
      </c>
      <c r="B54" s="84" t="s">
        <v>492</v>
      </c>
      <c r="C54" s="100">
        <v>3</v>
      </c>
      <c r="D54" s="81">
        <v>6974000</v>
      </c>
      <c r="E54" s="82">
        <v>6263000</v>
      </c>
      <c r="F54" s="81">
        <v>8276000</v>
      </c>
      <c r="G54" s="82">
        <v>7565000</v>
      </c>
      <c r="H54" s="81">
        <v>7124000</v>
      </c>
      <c r="I54" s="82">
        <v>6413000</v>
      </c>
      <c r="J54" s="81">
        <v>9058000</v>
      </c>
      <c r="K54" s="82">
        <v>8347000</v>
      </c>
      <c r="L54" s="81">
        <v>8990000</v>
      </c>
      <c r="M54" s="82">
        <v>8279000</v>
      </c>
      <c r="N54" s="81">
        <v>7423000</v>
      </c>
      <c r="O54" s="82">
        <v>6712000</v>
      </c>
      <c r="P54" s="81">
        <v>7797000</v>
      </c>
      <c r="Q54" s="82">
        <v>7086000</v>
      </c>
      <c r="R54" s="81">
        <v>9948000</v>
      </c>
      <c r="S54" s="82">
        <v>9237000</v>
      </c>
      <c r="T54" s="81">
        <v>10358000</v>
      </c>
      <c r="U54" s="82">
        <v>9647000</v>
      </c>
      <c r="V54" s="81">
        <v>8044000</v>
      </c>
      <c r="W54" s="82">
        <v>7333000</v>
      </c>
      <c r="X54" s="81">
        <v>7767000</v>
      </c>
      <c r="Y54" s="82">
        <v>7056000</v>
      </c>
      <c r="Z54" s="81">
        <v>7767000</v>
      </c>
      <c r="AA54" s="82">
        <v>7056000</v>
      </c>
      <c r="AB54" s="81">
        <v>10016000</v>
      </c>
      <c r="AC54" s="82">
        <v>9305000</v>
      </c>
      <c r="AD54" s="81">
        <v>10712000</v>
      </c>
      <c r="AE54" s="82">
        <v>10001000</v>
      </c>
      <c r="AF54" s="100">
        <v>3</v>
      </c>
      <c r="AG54" s="81">
        <v>6640000</v>
      </c>
      <c r="AH54" s="82">
        <v>5929000</v>
      </c>
      <c r="AI54" s="81">
        <v>7942000</v>
      </c>
      <c r="AJ54" s="82">
        <v>7231000</v>
      </c>
      <c r="AK54" s="81">
        <v>6789000</v>
      </c>
      <c r="AL54" s="82">
        <v>6078000</v>
      </c>
      <c r="AM54" s="81">
        <v>8724000</v>
      </c>
      <c r="AN54" s="82">
        <v>8013000</v>
      </c>
      <c r="AO54" s="81">
        <v>8656000</v>
      </c>
      <c r="AP54" s="82">
        <v>7945000</v>
      </c>
      <c r="AQ54" s="81">
        <v>7089000</v>
      </c>
      <c r="AR54" s="82">
        <v>6378000</v>
      </c>
      <c r="AS54" s="81">
        <v>7463000</v>
      </c>
      <c r="AT54" s="82">
        <v>6752000</v>
      </c>
      <c r="AU54" s="81">
        <v>9614000</v>
      </c>
      <c r="AV54" s="82">
        <v>8903000</v>
      </c>
      <c r="AW54" s="81">
        <v>10023000</v>
      </c>
      <c r="AX54" s="82">
        <v>9312000</v>
      </c>
      <c r="AY54" s="81">
        <v>7710000</v>
      </c>
      <c r="AZ54" s="82">
        <v>6999000</v>
      </c>
      <c r="BA54" s="81">
        <v>7433000</v>
      </c>
      <c r="BB54" s="82">
        <v>6722000</v>
      </c>
      <c r="BC54" s="81">
        <v>7433000</v>
      </c>
      <c r="BD54" s="82">
        <v>6722000</v>
      </c>
      <c r="BE54" s="81">
        <v>9682000</v>
      </c>
      <c r="BF54" s="82">
        <v>8971000</v>
      </c>
      <c r="BG54" s="81">
        <v>10378000</v>
      </c>
      <c r="BH54" s="82">
        <v>9667000</v>
      </c>
      <c r="BI54" s="100">
        <v>1</v>
      </c>
      <c r="BJ54" s="81">
        <v>7532000</v>
      </c>
      <c r="BK54" s="82">
        <v>6821000</v>
      </c>
      <c r="BL54" s="81">
        <v>8834000</v>
      </c>
      <c r="BM54" s="82">
        <v>8123000</v>
      </c>
      <c r="BN54" s="81">
        <v>7681000</v>
      </c>
      <c r="BO54" s="82">
        <v>6970000</v>
      </c>
      <c r="BP54" s="81">
        <v>9616000</v>
      </c>
      <c r="BQ54" s="82">
        <v>8905000</v>
      </c>
      <c r="BR54" s="81">
        <v>9548000</v>
      </c>
      <c r="BS54" s="82">
        <v>8837000</v>
      </c>
      <c r="BT54" s="81">
        <v>7981000</v>
      </c>
      <c r="BU54" s="82">
        <v>7270000</v>
      </c>
      <c r="BV54" s="81">
        <v>8355000</v>
      </c>
      <c r="BW54" s="82">
        <v>7644000</v>
      </c>
      <c r="BX54" s="81">
        <v>10506000</v>
      </c>
      <c r="BY54" s="82">
        <v>9795000</v>
      </c>
      <c r="BZ54" s="81">
        <v>10915000</v>
      </c>
      <c r="CA54" s="82">
        <v>10204000</v>
      </c>
      <c r="CB54" s="81">
        <v>8602000</v>
      </c>
      <c r="CC54" s="82">
        <v>7891000</v>
      </c>
      <c r="CD54" s="81">
        <v>8325000</v>
      </c>
      <c r="CE54" s="82">
        <v>7614000</v>
      </c>
      <c r="CF54" s="81">
        <v>8325000</v>
      </c>
      <c r="CG54" s="82">
        <v>7614000</v>
      </c>
      <c r="CH54" s="81">
        <v>10574000</v>
      </c>
      <c r="CI54" s="82">
        <v>9863000</v>
      </c>
      <c r="CJ54" s="81">
        <v>11270000</v>
      </c>
      <c r="CK54" s="82">
        <v>10559000</v>
      </c>
      <c r="CL54" s="100">
        <v>1</v>
      </c>
      <c r="CM54" s="81">
        <v>12341000</v>
      </c>
      <c r="CN54" s="82">
        <v>11630000</v>
      </c>
      <c r="CO54" s="81">
        <v>13643000</v>
      </c>
      <c r="CP54" s="82">
        <v>12932000</v>
      </c>
      <c r="CQ54" s="81">
        <v>12491000</v>
      </c>
      <c r="CR54" s="82">
        <v>11780000</v>
      </c>
      <c r="CS54" s="81">
        <v>14425000</v>
      </c>
      <c r="CT54" s="82">
        <v>13714000</v>
      </c>
      <c r="CU54" s="81">
        <v>14357000</v>
      </c>
      <c r="CV54" s="82">
        <v>13646000</v>
      </c>
      <c r="CW54" s="81">
        <v>12790000</v>
      </c>
      <c r="CX54" s="82">
        <v>12079000</v>
      </c>
      <c r="CY54" s="81">
        <v>13164000</v>
      </c>
      <c r="CZ54" s="82">
        <v>12453000</v>
      </c>
      <c r="DA54" s="81">
        <v>15315000</v>
      </c>
      <c r="DB54" s="82">
        <v>14604000</v>
      </c>
      <c r="DC54" s="81">
        <v>15725000</v>
      </c>
      <c r="DD54" s="82">
        <v>15014000</v>
      </c>
      <c r="DE54" s="81">
        <v>13411000</v>
      </c>
      <c r="DF54" s="82">
        <v>12700000</v>
      </c>
      <c r="DG54" s="81">
        <v>13134000</v>
      </c>
      <c r="DH54" s="82">
        <v>12423000</v>
      </c>
      <c r="DI54" s="81">
        <v>13134000</v>
      </c>
      <c r="DJ54" s="82">
        <v>12423000</v>
      </c>
      <c r="DK54" s="81">
        <v>15383000</v>
      </c>
      <c r="DL54" s="82">
        <v>14672000</v>
      </c>
      <c r="DM54" s="81">
        <v>16079000</v>
      </c>
      <c r="DN54" s="82">
        <v>15368000</v>
      </c>
    </row>
    <row r="55" spans="1:118" x14ac:dyDescent="0.25">
      <c r="A55" s="83">
        <v>5</v>
      </c>
      <c r="B55" s="84" t="s">
        <v>493</v>
      </c>
      <c r="C55" s="100">
        <v>3</v>
      </c>
      <c r="D55" s="81">
        <v>7251000</v>
      </c>
      <c r="E55" s="82">
        <v>6505000</v>
      </c>
      <c r="F55" s="81">
        <v>8672000</v>
      </c>
      <c r="G55" s="82">
        <v>7926000</v>
      </c>
      <c r="H55" s="81">
        <v>7415000</v>
      </c>
      <c r="I55" s="82">
        <v>6669000</v>
      </c>
      <c r="J55" s="81">
        <v>9525000</v>
      </c>
      <c r="K55" s="82">
        <v>8779000</v>
      </c>
      <c r="L55" s="81">
        <v>9451000</v>
      </c>
      <c r="M55" s="82">
        <v>8705000</v>
      </c>
      <c r="N55" s="81">
        <v>7741000</v>
      </c>
      <c r="O55" s="82">
        <v>6995000</v>
      </c>
      <c r="P55" s="81">
        <v>8149000</v>
      </c>
      <c r="Q55" s="82">
        <v>7403000</v>
      </c>
      <c r="R55" s="81">
        <v>10496000</v>
      </c>
      <c r="S55" s="82">
        <v>9750000</v>
      </c>
      <c r="T55" s="81">
        <v>10943000</v>
      </c>
      <c r="U55" s="82">
        <v>10197000</v>
      </c>
      <c r="V55" s="81">
        <v>8419000</v>
      </c>
      <c r="W55" s="82">
        <v>7673000</v>
      </c>
      <c r="X55" s="81">
        <v>8117000</v>
      </c>
      <c r="Y55" s="82">
        <v>7371000</v>
      </c>
      <c r="Z55" s="81">
        <v>8117000</v>
      </c>
      <c r="AA55" s="82">
        <v>7371000</v>
      </c>
      <c r="AB55" s="81">
        <v>10570000</v>
      </c>
      <c r="AC55" s="82">
        <v>9824000</v>
      </c>
      <c r="AD55" s="81">
        <v>11329000</v>
      </c>
      <c r="AE55" s="82">
        <v>10583000</v>
      </c>
      <c r="AF55" s="100">
        <v>3</v>
      </c>
      <c r="AG55" s="81">
        <v>6909000</v>
      </c>
      <c r="AH55" s="82">
        <v>6163000</v>
      </c>
      <c r="AI55" s="81">
        <v>8330000</v>
      </c>
      <c r="AJ55" s="82">
        <v>7584000</v>
      </c>
      <c r="AK55" s="81">
        <v>7072000</v>
      </c>
      <c r="AL55" s="82">
        <v>6326000</v>
      </c>
      <c r="AM55" s="81">
        <v>9183000</v>
      </c>
      <c r="AN55" s="82">
        <v>8437000</v>
      </c>
      <c r="AO55" s="81">
        <v>9109000</v>
      </c>
      <c r="AP55" s="82">
        <v>8363000</v>
      </c>
      <c r="AQ55" s="81">
        <v>7399000</v>
      </c>
      <c r="AR55" s="82">
        <v>6653000</v>
      </c>
      <c r="AS55" s="81">
        <v>7807000</v>
      </c>
      <c r="AT55" s="82">
        <v>7061000</v>
      </c>
      <c r="AU55" s="81">
        <v>10154000</v>
      </c>
      <c r="AV55" s="82">
        <v>9408000</v>
      </c>
      <c r="AW55" s="81">
        <v>10601000</v>
      </c>
      <c r="AX55" s="82">
        <v>9855000</v>
      </c>
      <c r="AY55" s="81">
        <v>8076000</v>
      </c>
      <c r="AZ55" s="82">
        <v>7330000</v>
      </c>
      <c r="BA55" s="81">
        <v>7774000</v>
      </c>
      <c r="BB55" s="82">
        <v>7028000</v>
      </c>
      <c r="BC55" s="81">
        <v>7774000</v>
      </c>
      <c r="BD55" s="82">
        <v>7028000</v>
      </c>
      <c r="BE55" s="81">
        <v>10228000</v>
      </c>
      <c r="BF55" s="82">
        <v>9482000</v>
      </c>
      <c r="BG55" s="81">
        <v>10987000</v>
      </c>
      <c r="BH55" s="82">
        <v>10241000</v>
      </c>
      <c r="BI55" s="100">
        <v>1</v>
      </c>
      <c r="BJ55" s="81">
        <v>7803000</v>
      </c>
      <c r="BK55" s="82">
        <v>7057000</v>
      </c>
      <c r="BL55" s="81">
        <v>9223000</v>
      </c>
      <c r="BM55" s="82">
        <v>8477000</v>
      </c>
      <c r="BN55" s="81">
        <v>7966000</v>
      </c>
      <c r="BO55" s="82">
        <v>7220000</v>
      </c>
      <c r="BP55" s="81">
        <v>10077000</v>
      </c>
      <c r="BQ55" s="82">
        <v>9331000</v>
      </c>
      <c r="BR55" s="81">
        <v>10003000</v>
      </c>
      <c r="BS55" s="82">
        <v>9257000</v>
      </c>
      <c r="BT55" s="81">
        <v>8293000</v>
      </c>
      <c r="BU55" s="82">
        <v>7547000</v>
      </c>
      <c r="BV55" s="81">
        <v>8701000</v>
      </c>
      <c r="BW55" s="82">
        <v>7955000</v>
      </c>
      <c r="BX55" s="81">
        <v>11048000</v>
      </c>
      <c r="BY55" s="82">
        <v>10302000</v>
      </c>
      <c r="BZ55" s="81">
        <v>11494000</v>
      </c>
      <c r="CA55" s="82">
        <v>10748000</v>
      </c>
      <c r="CB55" s="81">
        <v>8970000</v>
      </c>
      <c r="CC55" s="82">
        <v>8224000</v>
      </c>
      <c r="CD55" s="81">
        <v>8668000</v>
      </c>
      <c r="CE55" s="82">
        <v>7922000</v>
      </c>
      <c r="CF55" s="81">
        <v>8668000</v>
      </c>
      <c r="CG55" s="82">
        <v>7922000</v>
      </c>
      <c r="CH55" s="81">
        <v>11122000</v>
      </c>
      <c r="CI55" s="82">
        <v>10376000</v>
      </c>
      <c r="CJ55" s="81">
        <v>11881000</v>
      </c>
      <c r="CK55" s="82">
        <v>11135000</v>
      </c>
      <c r="CL55" s="100">
        <v>1</v>
      </c>
      <c r="CM55" s="81">
        <v>12679000</v>
      </c>
      <c r="CN55" s="82">
        <v>11933000</v>
      </c>
      <c r="CO55" s="81">
        <v>14099000</v>
      </c>
      <c r="CP55" s="82">
        <v>13353000</v>
      </c>
      <c r="CQ55" s="81">
        <v>12842000</v>
      </c>
      <c r="CR55" s="82">
        <v>12096000</v>
      </c>
      <c r="CS55" s="81">
        <v>14953000</v>
      </c>
      <c r="CT55" s="82">
        <v>14207000</v>
      </c>
      <c r="CU55" s="81">
        <v>14879000</v>
      </c>
      <c r="CV55" s="82">
        <v>14133000</v>
      </c>
      <c r="CW55" s="81">
        <v>13169000</v>
      </c>
      <c r="CX55" s="82">
        <v>12423000</v>
      </c>
      <c r="CY55" s="81">
        <v>13577000</v>
      </c>
      <c r="CZ55" s="82">
        <v>12831000</v>
      </c>
      <c r="DA55" s="81">
        <v>15924000</v>
      </c>
      <c r="DB55" s="82">
        <v>15178000</v>
      </c>
      <c r="DC55" s="81">
        <v>16370000</v>
      </c>
      <c r="DD55" s="82">
        <v>15624000</v>
      </c>
      <c r="DE55" s="81">
        <v>13846000</v>
      </c>
      <c r="DF55" s="82">
        <v>13100000</v>
      </c>
      <c r="DG55" s="81">
        <v>13544000</v>
      </c>
      <c r="DH55" s="82">
        <v>12798000</v>
      </c>
      <c r="DI55" s="81">
        <v>13544000</v>
      </c>
      <c r="DJ55" s="82">
        <v>12798000</v>
      </c>
      <c r="DK55" s="81">
        <v>15998000</v>
      </c>
      <c r="DL55" s="82">
        <v>15252000</v>
      </c>
      <c r="DM55" s="81">
        <v>16757000</v>
      </c>
      <c r="DN55" s="82">
        <v>16011000</v>
      </c>
    </row>
    <row r="56" spans="1:118" x14ac:dyDescent="0.25">
      <c r="A56" s="83">
        <v>6</v>
      </c>
      <c r="B56" s="84" t="s">
        <v>494</v>
      </c>
      <c r="C56" s="100">
        <v>6</v>
      </c>
      <c r="D56" s="81">
        <v>10694000</v>
      </c>
      <c r="E56" s="82">
        <v>9806000</v>
      </c>
      <c r="F56" s="81">
        <v>12588000</v>
      </c>
      <c r="G56" s="82">
        <v>11700000</v>
      </c>
      <c r="H56" s="81">
        <v>10912000</v>
      </c>
      <c r="I56" s="82">
        <v>10024000</v>
      </c>
      <c r="J56" s="81">
        <v>13726000</v>
      </c>
      <c r="K56" s="82">
        <v>12838000</v>
      </c>
      <c r="L56" s="81">
        <v>13627000</v>
      </c>
      <c r="M56" s="82">
        <v>12739000</v>
      </c>
      <c r="N56" s="81">
        <v>11347000</v>
      </c>
      <c r="O56" s="82">
        <v>10459000</v>
      </c>
      <c r="P56" s="81">
        <v>11891000</v>
      </c>
      <c r="Q56" s="82">
        <v>11003000</v>
      </c>
      <c r="R56" s="81">
        <v>15021000</v>
      </c>
      <c r="S56" s="82">
        <v>14133000</v>
      </c>
      <c r="T56" s="81">
        <v>15616000</v>
      </c>
      <c r="U56" s="82">
        <v>14728000</v>
      </c>
      <c r="V56" s="81">
        <v>12250000</v>
      </c>
      <c r="W56" s="82">
        <v>11362000</v>
      </c>
      <c r="X56" s="81">
        <v>11848000</v>
      </c>
      <c r="Y56" s="82">
        <v>10960000</v>
      </c>
      <c r="Z56" s="81">
        <v>11848000</v>
      </c>
      <c r="AA56" s="82">
        <v>10960000</v>
      </c>
      <c r="AB56" s="81">
        <v>15119000</v>
      </c>
      <c r="AC56" s="82">
        <v>14231000</v>
      </c>
      <c r="AD56" s="81">
        <v>16132000</v>
      </c>
      <c r="AE56" s="82">
        <v>15244000</v>
      </c>
      <c r="AF56" s="100">
        <v>6</v>
      </c>
      <c r="AG56" s="81">
        <v>10073000</v>
      </c>
      <c r="AH56" s="82">
        <v>9185000</v>
      </c>
      <c r="AI56" s="81">
        <v>11966000</v>
      </c>
      <c r="AJ56" s="82">
        <v>11078000</v>
      </c>
      <c r="AK56" s="81">
        <v>10290000</v>
      </c>
      <c r="AL56" s="82">
        <v>9402000</v>
      </c>
      <c r="AM56" s="81">
        <v>13105000</v>
      </c>
      <c r="AN56" s="82">
        <v>12217000</v>
      </c>
      <c r="AO56" s="81">
        <v>13006000</v>
      </c>
      <c r="AP56" s="82">
        <v>12118000</v>
      </c>
      <c r="AQ56" s="81">
        <v>10726000</v>
      </c>
      <c r="AR56" s="82">
        <v>9838000</v>
      </c>
      <c r="AS56" s="81">
        <v>11270000</v>
      </c>
      <c r="AT56" s="82">
        <v>10382000</v>
      </c>
      <c r="AU56" s="81">
        <v>14399000</v>
      </c>
      <c r="AV56" s="82">
        <v>13511000</v>
      </c>
      <c r="AW56" s="81">
        <v>14994000</v>
      </c>
      <c r="AX56" s="82">
        <v>14106000</v>
      </c>
      <c r="AY56" s="81">
        <v>11629000</v>
      </c>
      <c r="AZ56" s="82">
        <v>10741000</v>
      </c>
      <c r="BA56" s="81">
        <v>11226000</v>
      </c>
      <c r="BB56" s="82">
        <v>10338000</v>
      </c>
      <c r="BC56" s="81">
        <v>11226000</v>
      </c>
      <c r="BD56" s="82">
        <v>10338000</v>
      </c>
      <c r="BE56" s="81">
        <v>14498000</v>
      </c>
      <c r="BF56" s="82">
        <v>13610000</v>
      </c>
      <c r="BG56" s="81">
        <v>15510000</v>
      </c>
      <c r="BH56" s="82">
        <v>14622000</v>
      </c>
      <c r="BI56" s="100">
        <v>2</v>
      </c>
      <c r="BJ56" s="81">
        <v>11847000</v>
      </c>
      <c r="BK56" s="82">
        <v>10959000</v>
      </c>
      <c r="BL56" s="81">
        <v>13741000</v>
      </c>
      <c r="BM56" s="82">
        <v>12853000</v>
      </c>
      <c r="BN56" s="81">
        <v>12065000</v>
      </c>
      <c r="BO56" s="82">
        <v>11177000</v>
      </c>
      <c r="BP56" s="81">
        <v>14879000</v>
      </c>
      <c r="BQ56" s="82">
        <v>13991000</v>
      </c>
      <c r="BR56" s="81">
        <v>14780000</v>
      </c>
      <c r="BS56" s="82">
        <v>13892000</v>
      </c>
      <c r="BT56" s="81">
        <v>12500000</v>
      </c>
      <c r="BU56" s="82">
        <v>11612000</v>
      </c>
      <c r="BV56" s="81">
        <v>13044000</v>
      </c>
      <c r="BW56" s="82">
        <v>12156000</v>
      </c>
      <c r="BX56" s="81">
        <v>16174000</v>
      </c>
      <c r="BY56" s="82">
        <v>15286000</v>
      </c>
      <c r="BZ56" s="81">
        <v>16769000</v>
      </c>
      <c r="CA56" s="82">
        <v>15881000</v>
      </c>
      <c r="CB56" s="81">
        <v>13404000</v>
      </c>
      <c r="CC56" s="82">
        <v>12516000</v>
      </c>
      <c r="CD56" s="81">
        <v>13001000</v>
      </c>
      <c r="CE56" s="82">
        <v>12113000</v>
      </c>
      <c r="CF56" s="81">
        <v>13001000</v>
      </c>
      <c r="CG56" s="82">
        <v>12113000</v>
      </c>
      <c r="CH56" s="81">
        <v>16273000</v>
      </c>
      <c r="CI56" s="82">
        <v>15385000</v>
      </c>
      <c r="CJ56" s="81">
        <v>17285000</v>
      </c>
      <c r="CK56" s="82">
        <v>16397000</v>
      </c>
      <c r="CL56" s="100">
        <v>2</v>
      </c>
      <c r="CM56" s="81">
        <v>21063000</v>
      </c>
      <c r="CN56" s="82">
        <v>20175000</v>
      </c>
      <c r="CO56" s="81">
        <v>22957000</v>
      </c>
      <c r="CP56" s="82">
        <v>22069000</v>
      </c>
      <c r="CQ56" s="81">
        <v>21281000</v>
      </c>
      <c r="CR56" s="82">
        <v>20393000</v>
      </c>
      <c r="CS56" s="81">
        <v>24095000</v>
      </c>
      <c r="CT56" s="82">
        <v>23207000</v>
      </c>
      <c r="CU56" s="81">
        <v>23996000</v>
      </c>
      <c r="CV56" s="82">
        <v>23108000</v>
      </c>
      <c r="CW56" s="81">
        <v>21716000</v>
      </c>
      <c r="CX56" s="82">
        <v>20828000</v>
      </c>
      <c r="CY56" s="81">
        <v>22260000</v>
      </c>
      <c r="CZ56" s="82">
        <v>21372000</v>
      </c>
      <c r="DA56" s="81">
        <v>25390000</v>
      </c>
      <c r="DB56" s="82">
        <v>24502000</v>
      </c>
      <c r="DC56" s="81">
        <v>25985000</v>
      </c>
      <c r="DD56" s="82">
        <v>25097000</v>
      </c>
      <c r="DE56" s="81">
        <v>22619000</v>
      </c>
      <c r="DF56" s="82">
        <v>21731000</v>
      </c>
      <c r="DG56" s="81">
        <v>22217000</v>
      </c>
      <c r="DH56" s="82">
        <v>21329000</v>
      </c>
      <c r="DI56" s="81">
        <v>22217000</v>
      </c>
      <c r="DJ56" s="82">
        <v>21329000</v>
      </c>
      <c r="DK56" s="81">
        <v>25488000</v>
      </c>
      <c r="DL56" s="82">
        <v>24600000</v>
      </c>
      <c r="DM56" s="81">
        <v>26500000</v>
      </c>
      <c r="DN56" s="82">
        <v>25612000</v>
      </c>
    </row>
    <row r="57" spans="1:118" x14ac:dyDescent="0.25">
      <c r="A57" s="83">
        <v>7</v>
      </c>
      <c r="B57" s="84" t="s">
        <v>495</v>
      </c>
      <c r="C57" s="100">
        <v>6</v>
      </c>
      <c r="D57" s="81">
        <v>11585000</v>
      </c>
      <c r="E57" s="82">
        <v>10583000</v>
      </c>
      <c r="F57" s="81">
        <v>13857000</v>
      </c>
      <c r="G57" s="82">
        <v>12855000</v>
      </c>
      <c r="H57" s="81">
        <v>11846000</v>
      </c>
      <c r="I57" s="82">
        <v>10844000</v>
      </c>
      <c r="J57" s="81">
        <v>15223000</v>
      </c>
      <c r="K57" s="82">
        <v>14221000</v>
      </c>
      <c r="L57" s="81">
        <v>15104000</v>
      </c>
      <c r="M57" s="82">
        <v>14102000</v>
      </c>
      <c r="N57" s="81">
        <v>12368000</v>
      </c>
      <c r="O57" s="82">
        <v>11366000</v>
      </c>
      <c r="P57" s="81">
        <v>13021000</v>
      </c>
      <c r="Q57" s="82">
        <v>12019000</v>
      </c>
      <c r="R57" s="81">
        <v>16776000</v>
      </c>
      <c r="S57" s="82">
        <v>15774000</v>
      </c>
      <c r="T57" s="81">
        <v>17491000</v>
      </c>
      <c r="U57" s="82">
        <v>16489000</v>
      </c>
      <c r="V57" s="81">
        <v>13452000</v>
      </c>
      <c r="W57" s="82">
        <v>12450000</v>
      </c>
      <c r="X57" s="81">
        <v>12969000</v>
      </c>
      <c r="Y57" s="82">
        <v>11967000</v>
      </c>
      <c r="Z57" s="81">
        <v>12969000</v>
      </c>
      <c r="AA57" s="82">
        <v>11967000</v>
      </c>
      <c r="AB57" s="81">
        <v>16895000</v>
      </c>
      <c r="AC57" s="82">
        <v>15893000</v>
      </c>
      <c r="AD57" s="81">
        <v>18109000</v>
      </c>
      <c r="AE57" s="82">
        <v>17107000</v>
      </c>
      <c r="AF57" s="100">
        <v>6</v>
      </c>
      <c r="AG57" s="81">
        <v>10938000</v>
      </c>
      <c r="AH57" s="82">
        <v>9936000</v>
      </c>
      <c r="AI57" s="81">
        <v>13210000</v>
      </c>
      <c r="AJ57" s="82">
        <v>12208000</v>
      </c>
      <c r="AK57" s="81">
        <v>11199000</v>
      </c>
      <c r="AL57" s="82">
        <v>10197000</v>
      </c>
      <c r="AM57" s="81">
        <v>14576000</v>
      </c>
      <c r="AN57" s="82">
        <v>13574000</v>
      </c>
      <c r="AO57" s="81">
        <v>14458000</v>
      </c>
      <c r="AP57" s="82">
        <v>13456000</v>
      </c>
      <c r="AQ57" s="81">
        <v>11722000</v>
      </c>
      <c r="AR57" s="82">
        <v>10720000</v>
      </c>
      <c r="AS57" s="81">
        <v>12375000</v>
      </c>
      <c r="AT57" s="82">
        <v>11373000</v>
      </c>
      <c r="AU57" s="81">
        <v>16130000</v>
      </c>
      <c r="AV57" s="82">
        <v>15128000</v>
      </c>
      <c r="AW57" s="81">
        <v>16844000</v>
      </c>
      <c r="AX57" s="82">
        <v>15842000</v>
      </c>
      <c r="AY57" s="81">
        <v>12805000</v>
      </c>
      <c r="AZ57" s="82">
        <v>11803000</v>
      </c>
      <c r="BA57" s="81">
        <v>12322000</v>
      </c>
      <c r="BB57" s="82">
        <v>11320000</v>
      </c>
      <c r="BC57" s="81">
        <v>12322000</v>
      </c>
      <c r="BD57" s="82">
        <v>11320000</v>
      </c>
      <c r="BE57" s="81">
        <v>16248000</v>
      </c>
      <c r="BF57" s="82">
        <v>15246000</v>
      </c>
      <c r="BG57" s="81">
        <v>17463000</v>
      </c>
      <c r="BH57" s="82">
        <v>16461000</v>
      </c>
      <c r="BI57" s="100">
        <v>2</v>
      </c>
      <c r="BJ57" s="81">
        <v>12718000</v>
      </c>
      <c r="BK57" s="82">
        <v>11716000</v>
      </c>
      <c r="BL57" s="81">
        <v>14990000</v>
      </c>
      <c r="BM57" s="82">
        <v>13988000</v>
      </c>
      <c r="BN57" s="81">
        <v>12979000</v>
      </c>
      <c r="BO57" s="82">
        <v>11977000</v>
      </c>
      <c r="BP57" s="81">
        <v>16356000</v>
      </c>
      <c r="BQ57" s="82">
        <v>15354000</v>
      </c>
      <c r="BR57" s="81">
        <v>16237000</v>
      </c>
      <c r="BS57" s="82">
        <v>15235000</v>
      </c>
      <c r="BT57" s="81">
        <v>13501000</v>
      </c>
      <c r="BU57" s="82">
        <v>12499000</v>
      </c>
      <c r="BV57" s="81">
        <v>14154000</v>
      </c>
      <c r="BW57" s="82">
        <v>13152000</v>
      </c>
      <c r="BX57" s="81">
        <v>17910000</v>
      </c>
      <c r="BY57" s="82">
        <v>16908000</v>
      </c>
      <c r="BZ57" s="81">
        <v>18624000</v>
      </c>
      <c r="CA57" s="82">
        <v>17622000</v>
      </c>
      <c r="CB57" s="81">
        <v>14585000</v>
      </c>
      <c r="CC57" s="82">
        <v>13583000</v>
      </c>
      <c r="CD57" s="81">
        <v>14102000</v>
      </c>
      <c r="CE57" s="82">
        <v>13100000</v>
      </c>
      <c r="CF57" s="81">
        <v>14102000</v>
      </c>
      <c r="CG57" s="82">
        <v>13100000</v>
      </c>
      <c r="CH57" s="81">
        <v>18028000</v>
      </c>
      <c r="CI57" s="82">
        <v>17026000</v>
      </c>
      <c r="CJ57" s="81">
        <v>19243000</v>
      </c>
      <c r="CK57" s="82">
        <v>18241000</v>
      </c>
      <c r="CL57" s="100">
        <v>2</v>
      </c>
      <c r="CM57" s="81">
        <v>22148000</v>
      </c>
      <c r="CN57" s="82">
        <v>21146000</v>
      </c>
      <c r="CO57" s="81">
        <v>24421000</v>
      </c>
      <c r="CP57" s="82">
        <v>23419000</v>
      </c>
      <c r="CQ57" s="81">
        <v>22409000</v>
      </c>
      <c r="CR57" s="82">
        <v>21407000</v>
      </c>
      <c r="CS57" s="81">
        <v>25786000</v>
      </c>
      <c r="CT57" s="82">
        <v>24784000</v>
      </c>
      <c r="CU57" s="81">
        <v>25668000</v>
      </c>
      <c r="CV57" s="82">
        <v>24666000</v>
      </c>
      <c r="CW57" s="81">
        <v>22932000</v>
      </c>
      <c r="CX57" s="82">
        <v>21930000</v>
      </c>
      <c r="CY57" s="81">
        <v>23585000</v>
      </c>
      <c r="CZ57" s="82">
        <v>22583000</v>
      </c>
      <c r="DA57" s="81">
        <v>27340000</v>
      </c>
      <c r="DB57" s="82">
        <v>26338000</v>
      </c>
      <c r="DC57" s="81">
        <v>28054000</v>
      </c>
      <c r="DD57" s="82">
        <v>27052000</v>
      </c>
      <c r="DE57" s="81">
        <v>24016000</v>
      </c>
      <c r="DF57" s="82">
        <v>23014000</v>
      </c>
      <c r="DG57" s="81">
        <v>23532000</v>
      </c>
      <c r="DH57" s="82">
        <v>22530000</v>
      </c>
      <c r="DI57" s="81">
        <v>23532000</v>
      </c>
      <c r="DJ57" s="82">
        <v>22530000</v>
      </c>
      <c r="DK57" s="81">
        <v>27458000</v>
      </c>
      <c r="DL57" s="82">
        <v>26456000</v>
      </c>
      <c r="DM57" s="81">
        <v>28673000</v>
      </c>
      <c r="DN57" s="82">
        <v>27671000</v>
      </c>
    </row>
    <row r="58" spans="1:118" x14ac:dyDescent="0.25">
      <c r="A58" s="83">
        <v>8</v>
      </c>
      <c r="B58" s="84" t="s">
        <v>496</v>
      </c>
      <c r="C58" s="100">
        <v>6</v>
      </c>
      <c r="D58" s="81">
        <v>11807000</v>
      </c>
      <c r="E58" s="82">
        <v>10777000</v>
      </c>
      <c r="F58" s="81">
        <v>14174000</v>
      </c>
      <c r="G58" s="82">
        <v>13144000</v>
      </c>
      <c r="H58" s="81">
        <v>12079000</v>
      </c>
      <c r="I58" s="82">
        <v>11049000</v>
      </c>
      <c r="J58" s="81">
        <v>15597000</v>
      </c>
      <c r="K58" s="82">
        <v>14567000</v>
      </c>
      <c r="L58" s="81">
        <v>15473000</v>
      </c>
      <c r="M58" s="82">
        <v>14443000</v>
      </c>
      <c r="N58" s="81">
        <v>12623000</v>
      </c>
      <c r="O58" s="82">
        <v>11593000</v>
      </c>
      <c r="P58" s="81">
        <v>13303000</v>
      </c>
      <c r="Q58" s="82">
        <v>12273000</v>
      </c>
      <c r="R58" s="81">
        <v>17215000</v>
      </c>
      <c r="S58" s="82">
        <v>16185000</v>
      </c>
      <c r="T58" s="81">
        <v>17959000</v>
      </c>
      <c r="U58" s="82">
        <v>16929000</v>
      </c>
      <c r="V58" s="81">
        <v>13752000</v>
      </c>
      <c r="W58" s="82">
        <v>12722000</v>
      </c>
      <c r="X58" s="81">
        <v>13249000</v>
      </c>
      <c r="Y58" s="82">
        <v>12219000</v>
      </c>
      <c r="Z58" s="81">
        <v>13249000</v>
      </c>
      <c r="AA58" s="82">
        <v>12219000</v>
      </c>
      <c r="AB58" s="81">
        <v>17338000</v>
      </c>
      <c r="AC58" s="82">
        <v>16308000</v>
      </c>
      <c r="AD58" s="81">
        <v>18603000</v>
      </c>
      <c r="AE58" s="82">
        <v>17573000</v>
      </c>
      <c r="AF58" s="100">
        <v>6</v>
      </c>
      <c r="AG58" s="81">
        <v>11154000</v>
      </c>
      <c r="AH58" s="82">
        <v>10124000</v>
      </c>
      <c r="AI58" s="81">
        <v>13521000</v>
      </c>
      <c r="AJ58" s="82">
        <v>12491000</v>
      </c>
      <c r="AK58" s="81">
        <v>11426000</v>
      </c>
      <c r="AL58" s="82">
        <v>10396000</v>
      </c>
      <c r="AM58" s="81">
        <v>14944000</v>
      </c>
      <c r="AN58" s="82">
        <v>13914000</v>
      </c>
      <c r="AO58" s="81">
        <v>14820000</v>
      </c>
      <c r="AP58" s="82">
        <v>13790000</v>
      </c>
      <c r="AQ58" s="81">
        <v>11970000</v>
      </c>
      <c r="AR58" s="82">
        <v>10940000</v>
      </c>
      <c r="AS58" s="81">
        <v>12650000</v>
      </c>
      <c r="AT58" s="82">
        <v>11620000</v>
      </c>
      <c r="AU58" s="81">
        <v>16562000</v>
      </c>
      <c r="AV58" s="82">
        <v>15532000</v>
      </c>
      <c r="AW58" s="81">
        <v>17306000</v>
      </c>
      <c r="AX58" s="82">
        <v>16276000</v>
      </c>
      <c r="AY58" s="81">
        <v>13099000</v>
      </c>
      <c r="AZ58" s="82">
        <v>12069000</v>
      </c>
      <c r="BA58" s="81">
        <v>12596000</v>
      </c>
      <c r="BB58" s="82">
        <v>11566000</v>
      </c>
      <c r="BC58" s="81">
        <v>12596000</v>
      </c>
      <c r="BD58" s="82">
        <v>11566000</v>
      </c>
      <c r="BE58" s="81">
        <v>16685000</v>
      </c>
      <c r="BF58" s="82">
        <v>15655000</v>
      </c>
      <c r="BG58" s="81">
        <v>17951000</v>
      </c>
      <c r="BH58" s="82">
        <v>16921000</v>
      </c>
      <c r="BI58" s="100">
        <v>2</v>
      </c>
      <c r="BJ58" s="81">
        <v>12935000</v>
      </c>
      <c r="BK58" s="82">
        <v>11905000</v>
      </c>
      <c r="BL58" s="81">
        <v>15302000</v>
      </c>
      <c r="BM58" s="82">
        <v>14272000</v>
      </c>
      <c r="BN58" s="81">
        <v>13207000</v>
      </c>
      <c r="BO58" s="82">
        <v>12177000</v>
      </c>
      <c r="BP58" s="81">
        <v>16725000</v>
      </c>
      <c r="BQ58" s="82">
        <v>15695000</v>
      </c>
      <c r="BR58" s="81">
        <v>16601000</v>
      </c>
      <c r="BS58" s="82">
        <v>15571000</v>
      </c>
      <c r="BT58" s="81">
        <v>13751000</v>
      </c>
      <c r="BU58" s="82">
        <v>12721000</v>
      </c>
      <c r="BV58" s="81">
        <v>14431000</v>
      </c>
      <c r="BW58" s="82">
        <v>13401000</v>
      </c>
      <c r="BX58" s="81">
        <v>18343000</v>
      </c>
      <c r="BY58" s="82">
        <v>17313000</v>
      </c>
      <c r="BZ58" s="81">
        <v>19087000</v>
      </c>
      <c r="CA58" s="82">
        <v>18057000</v>
      </c>
      <c r="CB58" s="81">
        <v>14880000</v>
      </c>
      <c r="CC58" s="82">
        <v>13850000</v>
      </c>
      <c r="CD58" s="81">
        <v>14377000</v>
      </c>
      <c r="CE58" s="82">
        <v>13347000</v>
      </c>
      <c r="CF58" s="81">
        <v>14377000</v>
      </c>
      <c r="CG58" s="82">
        <v>13347000</v>
      </c>
      <c r="CH58" s="81">
        <v>18466000</v>
      </c>
      <c r="CI58" s="82">
        <v>17436000</v>
      </c>
      <c r="CJ58" s="81">
        <v>19732000</v>
      </c>
      <c r="CK58" s="82">
        <v>18702000</v>
      </c>
      <c r="CL58" s="100">
        <v>2</v>
      </c>
      <c r="CM58" s="81">
        <v>22419000</v>
      </c>
      <c r="CN58" s="82">
        <v>21389000</v>
      </c>
      <c r="CO58" s="81">
        <v>24786000</v>
      </c>
      <c r="CP58" s="82">
        <v>23756000</v>
      </c>
      <c r="CQ58" s="81">
        <v>22691000</v>
      </c>
      <c r="CR58" s="82">
        <v>21661000</v>
      </c>
      <c r="CS58" s="81">
        <v>26209000</v>
      </c>
      <c r="CT58" s="82">
        <v>25179000</v>
      </c>
      <c r="CU58" s="81">
        <v>26085000</v>
      </c>
      <c r="CV58" s="82">
        <v>25055000</v>
      </c>
      <c r="CW58" s="81">
        <v>23235000</v>
      </c>
      <c r="CX58" s="82">
        <v>22205000</v>
      </c>
      <c r="CY58" s="81">
        <v>23915000</v>
      </c>
      <c r="CZ58" s="82">
        <v>22885000</v>
      </c>
      <c r="DA58" s="81">
        <v>27827000</v>
      </c>
      <c r="DB58" s="82">
        <v>26797000</v>
      </c>
      <c r="DC58" s="81">
        <v>28571000</v>
      </c>
      <c r="DD58" s="82">
        <v>27541000</v>
      </c>
      <c r="DE58" s="81">
        <v>24364000</v>
      </c>
      <c r="DF58" s="82">
        <v>23334000</v>
      </c>
      <c r="DG58" s="81">
        <v>23861000</v>
      </c>
      <c r="DH58" s="82">
        <v>22831000</v>
      </c>
      <c r="DI58" s="81">
        <v>23861000</v>
      </c>
      <c r="DJ58" s="82">
        <v>22831000</v>
      </c>
      <c r="DK58" s="81">
        <v>27950000</v>
      </c>
      <c r="DL58" s="82">
        <v>26920000</v>
      </c>
      <c r="DM58" s="81">
        <v>29216000</v>
      </c>
      <c r="DN58" s="82">
        <v>28186000</v>
      </c>
    </row>
    <row r="59" spans="1:118" x14ac:dyDescent="0.25">
      <c r="A59" s="83">
        <v>9</v>
      </c>
      <c r="B59" s="84" t="s">
        <v>497</v>
      </c>
      <c r="C59" s="100">
        <v>6</v>
      </c>
      <c r="D59" s="81">
        <v>12362000</v>
      </c>
      <c r="E59" s="82">
        <v>11262000</v>
      </c>
      <c r="F59" s="81">
        <v>14966000</v>
      </c>
      <c r="G59" s="82">
        <v>13866000</v>
      </c>
      <c r="H59" s="81">
        <v>12662000</v>
      </c>
      <c r="I59" s="82">
        <v>11562000</v>
      </c>
      <c r="J59" s="81">
        <v>16531000</v>
      </c>
      <c r="K59" s="82">
        <v>15431000</v>
      </c>
      <c r="L59" s="81">
        <v>16395000</v>
      </c>
      <c r="M59" s="82">
        <v>15295000</v>
      </c>
      <c r="N59" s="81">
        <v>13260000</v>
      </c>
      <c r="O59" s="82">
        <v>12160000</v>
      </c>
      <c r="P59" s="81">
        <v>14009000</v>
      </c>
      <c r="Q59" s="82">
        <v>12909000</v>
      </c>
      <c r="R59" s="81">
        <v>18311000</v>
      </c>
      <c r="S59" s="82">
        <v>17211000</v>
      </c>
      <c r="T59" s="81">
        <v>19130000</v>
      </c>
      <c r="U59" s="82">
        <v>18030000</v>
      </c>
      <c r="V59" s="81">
        <v>14502000</v>
      </c>
      <c r="W59" s="82">
        <v>13402000</v>
      </c>
      <c r="X59" s="81">
        <v>13949000</v>
      </c>
      <c r="Y59" s="82">
        <v>12849000</v>
      </c>
      <c r="Z59" s="81">
        <v>13949000</v>
      </c>
      <c r="AA59" s="82">
        <v>12849000</v>
      </c>
      <c r="AB59" s="81">
        <v>18447000</v>
      </c>
      <c r="AC59" s="82">
        <v>17347000</v>
      </c>
      <c r="AD59" s="81">
        <v>19839000</v>
      </c>
      <c r="AE59" s="82">
        <v>18739000</v>
      </c>
      <c r="AF59" s="100">
        <v>6</v>
      </c>
      <c r="AG59" s="81">
        <v>11694000</v>
      </c>
      <c r="AH59" s="82">
        <v>10594000</v>
      </c>
      <c r="AI59" s="81">
        <v>14298000</v>
      </c>
      <c r="AJ59" s="82">
        <v>13198000</v>
      </c>
      <c r="AK59" s="81">
        <v>11993000</v>
      </c>
      <c r="AL59" s="82">
        <v>10893000</v>
      </c>
      <c r="AM59" s="81">
        <v>15863000</v>
      </c>
      <c r="AN59" s="82">
        <v>14763000</v>
      </c>
      <c r="AO59" s="81">
        <v>15727000</v>
      </c>
      <c r="AP59" s="82">
        <v>14627000</v>
      </c>
      <c r="AQ59" s="81">
        <v>12592000</v>
      </c>
      <c r="AR59" s="82">
        <v>11492000</v>
      </c>
      <c r="AS59" s="81">
        <v>13340000</v>
      </c>
      <c r="AT59" s="82">
        <v>12240000</v>
      </c>
      <c r="AU59" s="81">
        <v>17643000</v>
      </c>
      <c r="AV59" s="82">
        <v>16543000</v>
      </c>
      <c r="AW59" s="81">
        <v>18461000</v>
      </c>
      <c r="AX59" s="82">
        <v>17361000</v>
      </c>
      <c r="AY59" s="81">
        <v>13834000</v>
      </c>
      <c r="AZ59" s="82">
        <v>12734000</v>
      </c>
      <c r="BA59" s="81">
        <v>13280000</v>
      </c>
      <c r="BB59" s="82">
        <v>12180000</v>
      </c>
      <c r="BC59" s="81">
        <v>13280000</v>
      </c>
      <c r="BD59" s="82">
        <v>12180000</v>
      </c>
      <c r="BE59" s="81">
        <v>17779000</v>
      </c>
      <c r="BF59" s="82">
        <v>16679000</v>
      </c>
      <c r="BG59" s="81">
        <v>19170000</v>
      </c>
      <c r="BH59" s="82">
        <v>18070000</v>
      </c>
      <c r="BI59" s="100">
        <v>2</v>
      </c>
      <c r="BJ59" s="81">
        <v>13478000</v>
      </c>
      <c r="BK59" s="82">
        <v>12378000</v>
      </c>
      <c r="BL59" s="81">
        <v>16082000</v>
      </c>
      <c r="BM59" s="82">
        <v>14982000</v>
      </c>
      <c r="BN59" s="81">
        <v>13777000</v>
      </c>
      <c r="BO59" s="82">
        <v>12677000</v>
      </c>
      <c r="BP59" s="81">
        <v>17647000</v>
      </c>
      <c r="BQ59" s="82">
        <v>16547000</v>
      </c>
      <c r="BR59" s="81">
        <v>17511000</v>
      </c>
      <c r="BS59" s="82">
        <v>16411000</v>
      </c>
      <c r="BT59" s="81">
        <v>14376000</v>
      </c>
      <c r="BU59" s="82">
        <v>13276000</v>
      </c>
      <c r="BV59" s="81">
        <v>15124000</v>
      </c>
      <c r="BW59" s="82">
        <v>14024000</v>
      </c>
      <c r="BX59" s="81">
        <v>19427000</v>
      </c>
      <c r="BY59" s="82">
        <v>18327000</v>
      </c>
      <c r="BZ59" s="81">
        <v>20245000</v>
      </c>
      <c r="CA59" s="82">
        <v>19145000</v>
      </c>
      <c r="CB59" s="81">
        <v>15618000</v>
      </c>
      <c r="CC59" s="82">
        <v>14518000</v>
      </c>
      <c r="CD59" s="81">
        <v>15064000</v>
      </c>
      <c r="CE59" s="82">
        <v>13964000</v>
      </c>
      <c r="CF59" s="81">
        <v>15064000</v>
      </c>
      <c r="CG59" s="82">
        <v>13964000</v>
      </c>
      <c r="CH59" s="81">
        <v>19563000</v>
      </c>
      <c r="CI59" s="82">
        <v>18463000</v>
      </c>
      <c r="CJ59" s="81">
        <v>20955000</v>
      </c>
      <c r="CK59" s="82">
        <v>19855000</v>
      </c>
      <c r="CL59" s="100">
        <v>2</v>
      </c>
      <c r="CM59" s="81">
        <v>23096000</v>
      </c>
      <c r="CN59" s="82">
        <v>21996000</v>
      </c>
      <c r="CO59" s="81">
        <v>25700000</v>
      </c>
      <c r="CP59" s="82">
        <v>24600000</v>
      </c>
      <c r="CQ59" s="81">
        <v>23396000</v>
      </c>
      <c r="CR59" s="82">
        <v>22296000</v>
      </c>
      <c r="CS59" s="81">
        <v>27265000</v>
      </c>
      <c r="CT59" s="82">
        <v>26165000</v>
      </c>
      <c r="CU59" s="81">
        <v>27129000</v>
      </c>
      <c r="CV59" s="82">
        <v>26029000</v>
      </c>
      <c r="CW59" s="81">
        <v>23994000</v>
      </c>
      <c r="CX59" s="82">
        <v>22894000</v>
      </c>
      <c r="CY59" s="81">
        <v>24742000</v>
      </c>
      <c r="CZ59" s="82">
        <v>23642000</v>
      </c>
      <c r="DA59" s="81">
        <v>29045000</v>
      </c>
      <c r="DB59" s="82">
        <v>27945000</v>
      </c>
      <c r="DC59" s="81">
        <v>29864000</v>
      </c>
      <c r="DD59" s="82">
        <v>28764000</v>
      </c>
      <c r="DE59" s="81">
        <v>25236000</v>
      </c>
      <c r="DF59" s="82">
        <v>24136000</v>
      </c>
      <c r="DG59" s="81">
        <v>24682000</v>
      </c>
      <c r="DH59" s="82">
        <v>23582000</v>
      </c>
      <c r="DI59" s="81">
        <v>24682000</v>
      </c>
      <c r="DJ59" s="82">
        <v>23582000</v>
      </c>
      <c r="DK59" s="81">
        <v>29181000</v>
      </c>
      <c r="DL59" s="82">
        <v>28081000</v>
      </c>
      <c r="DM59" s="81">
        <v>30573000</v>
      </c>
      <c r="DN59" s="82">
        <v>29473000</v>
      </c>
    </row>
    <row r="60" spans="1:118" x14ac:dyDescent="0.25">
      <c r="A60" s="83">
        <v>10</v>
      </c>
      <c r="B60" s="84" t="s">
        <v>498</v>
      </c>
      <c r="C60" s="100">
        <v>6</v>
      </c>
      <c r="D60" s="81">
        <v>12919000</v>
      </c>
      <c r="E60" s="101">
        <v>11747000</v>
      </c>
      <c r="F60" s="102">
        <v>15760000</v>
      </c>
      <c r="G60" s="101">
        <v>14588000</v>
      </c>
      <c r="H60" s="102">
        <v>13246000</v>
      </c>
      <c r="I60" s="101">
        <v>12074000</v>
      </c>
      <c r="J60" s="102">
        <v>17467000</v>
      </c>
      <c r="K60" s="101">
        <v>16295000</v>
      </c>
      <c r="L60" s="102">
        <v>17319000</v>
      </c>
      <c r="M60" s="101">
        <v>16147000</v>
      </c>
      <c r="N60" s="102">
        <v>13899000</v>
      </c>
      <c r="O60" s="101">
        <v>12727000</v>
      </c>
      <c r="P60" s="102">
        <v>14715000</v>
      </c>
      <c r="Q60" s="101">
        <v>13543000</v>
      </c>
      <c r="R60" s="102">
        <v>19409000</v>
      </c>
      <c r="S60" s="101">
        <v>18237000</v>
      </c>
      <c r="T60" s="102">
        <v>20302000</v>
      </c>
      <c r="U60" s="101">
        <v>19130000</v>
      </c>
      <c r="V60" s="102">
        <v>15254000</v>
      </c>
      <c r="W60" s="101">
        <v>14082000</v>
      </c>
      <c r="X60" s="102">
        <v>14650000</v>
      </c>
      <c r="Y60" s="101">
        <v>13478000</v>
      </c>
      <c r="Z60" s="102">
        <v>14650000</v>
      </c>
      <c r="AA60" s="101">
        <v>13478000</v>
      </c>
      <c r="AB60" s="102">
        <v>19557000</v>
      </c>
      <c r="AC60" s="101">
        <v>18385000</v>
      </c>
      <c r="AD60" s="102">
        <v>21075000</v>
      </c>
      <c r="AE60" s="101">
        <v>19903000</v>
      </c>
      <c r="AF60" s="103">
        <v>6</v>
      </c>
      <c r="AG60" s="102">
        <v>12235000</v>
      </c>
      <c r="AH60" s="101">
        <v>11063000</v>
      </c>
      <c r="AI60" s="102">
        <v>15076000</v>
      </c>
      <c r="AJ60" s="101">
        <v>13904000</v>
      </c>
      <c r="AK60" s="102">
        <v>12561000</v>
      </c>
      <c r="AL60" s="101">
        <v>11389000</v>
      </c>
      <c r="AM60" s="102">
        <v>16783000</v>
      </c>
      <c r="AN60" s="101">
        <v>15611000</v>
      </c>
      <c r="AO60" s="102">
        <v>16635000</v>
      </c>
      <c r="AP60" s="101">
        <v>15463000</v>
      </c>
      <c r="AQ60" s="102">
        <v>13214000</v>
      </c>
      <c r="AR60" s="101">
        <v>12042000</v>
      </c>
      <c r="AS60" s="102">
        <v>14031000</v>
      </c>
      <c r="AT60" s="101">
        <v>12859000</v>
      </c>
      <c r="AU60" s="102">
        <v>18725000</v>
      </c>
      <c r="AV60" s="101">
        <v>17553000</v>
      </c>
      <c r="AW60" s="102">
        <v>19618000</v>
      </c>
      <c r="AX60" s="101">
        <v>18446000</v>
      </c>
      <c r="AY60" s="102">
        <v>14569000</v>
      </c>
      <c r="AZ60" s="101">
        <v>13397000</v>
      </c>
      <c r="BA60" s="102">
        <v>13965000</v>
      </c>
      <c r="BB60" s="101">
        <v>12793000</v>
      </c>
      <c r="BC60" s="102">
        <v>13965000</v>
      </c>
      <c r="BD60" s="101">
        <v>12793000</v>
      </c>
      <c r="BE60" s="102">
        <v>18873000</v>
      </c>
      <c r="BF60" s="101">
        <v>17701000</v>
      </c>
      <c r="BG60" s="102">
        <v>20391000</v>
      </c>
      <c r="BH60" s="101">
        <v>19219000</v>
      </c>
      <c r="BI60" s="103">
        <v>2</v>
      </c>
      <c r="BJ60" s="102">
        <v>14022000</v>
      </c>
      <c r="BK60" s="101">
        <v>12850000</v>
      </c>
      <c r="BL60" s="102">
        <v>16863000</v>
      </c>
      <c r="BM60" s="101">
        <v>15691000</v>
      </c>
      <c r="BN60" s="102">
        <v>14349000</v>
      </c>
      <c r="BO60" s="101">
        <v>13177000</v>
      </c>
      <c r="BP60" s="102">
        <v>18570000</v>
      </c>
      <c r="BQ60" s="101">
        <v>17398000</v>
      </c>
      <c r="BR60" s="102">
        <v>18422000</v>
      </c>
      <c r="BS60" s="101">
        <v>17250000</v>
      </c>
      <c r="BT60" s="102">
        <v>15002000</v>
      </c>
      <c r="BU60" s="101">
        <v>13830000</v>
      </c>
      <c r="BV60" s="102">
        <v>15818000</v>
      </c>
      <c r="BW60" s="101">
        <v>14646000</v>
      </c>
      <c r="BX60" s="102">
        <v>20512000</v>
      </c>
      <c r="BY60" s="101">
        <v>19340000</v>
      </c>
      <c r="BZ60" s="102">
        <v>21405000</v>
      </c>
      <c r="CA60" s="101">
        <v>20233000</v>
      </c>
      <c r="CB60" s="102">
        <v>16357000</v>
      </c>
      <c r="CC60" s="101">
        <v>15185000</v>
      </c>
      <c r="CD60" s="102">
        <v>15753000</v>
      </c>
      <c r="CE60" s="101">
        <v>14581000</v>
      </c>
      <c r="CF60" s="102">
        <v>15753000</v>
      </c>
      <c r="CG60" s="101">
        <v>14581000</v>
      </c>
      <c r="CH60" s="102">
        <v>20660000</v>
      </c>
      <c r="CI60" s="101">
        <v>19488000</v>
      </c>
      <c r="CJ60" s="102">
        <v>22178000</v>
      </c>
      <c r="CK60" s="101">
        <v>21006000</v>
      </c>
      <c r="CL60" s="103">
        <v>2</v>
      </c>
      <c r="CM60" s="102">
        <v>23775000</v>
      </c>
      <c r="CN60" s="101">
        <v>22603000</v>
      </c>
      <c r="CO60" s="102">
        <v>26615000</v>
      </c>
      <c r="CP60" s="101">
        <v>25443000</v>
      </c>
      <c r="CQ60" s="102">
        <v>24101000</v>
      </c>
      <c r="CR60" s="101">
        <v>22929000</v>
      </c>
      <c r="CS60" s="102">
        <v>28322000</v>
      </c>
      <c r="CT60" s="101">
        <v>27150000</v>
      </c>
      <c r="CU60" s="102">
        <v>28174000</v>
      </c>
      <c r="CV60" s="101">
        <v>27002000</v>
      </c>
      <c r="CW60" s="102">
        <v>24754000</v>
      </c>
      <c r="CX60" s="101">
        <v>23582000</v>
      </c>
      <c r="CY60" s="102">
        <v>25570000</v>
      </c>
      <c r="CZ60" s="101">
        <v>24398000</v>
      </c>
      <c r="DA60" s="102">
        <v>30264000</v>
      </c>
      <c r="DB60" s="101">
        <v>29092000</v>
      </c>
      <c r="DC60" s="102">
        <v>31157000</v>
      </c>
      <c r="DD60" s="101">
        <v>29985000</v>
      </c>
      <c r="DE60" s="102">
        <v>26109000</v>
      </c>
      <c r="DF60" s="101">
        <v>24937000</v>
      </c>
      <c r="DG60" s="102">
        <v>25505000</v>
      </c>
      <c r="DH60" s="101">
        <v>24333000</v>
      </c>
      <c r="DI60" s="102">
        <v>25505000</v>
      </c>
      <c r="DJ60" s="101">
        <v>24333000</v>
      </c>
      <c r="DK60" s="102">
        <v>30412000</v>
      </c>
      <c r="DL60" s="101">
        <v>29240000</v>
      </c>
      <c r="DM60" s="102">
        <v>31931000</v>
      </c>
      <c r="DN60" s="101">
        <v>30759000</v>
      </c>
    </row>
    <row r="61" spans="1:118" ht="51" x14ac:dyDescent="0.3">
      <c r="A61" s="104"/>
      <c r="B61" s="105" t="s">
        <v>499</v>
      </c>
      <c r="C61" s="106" t="s">
        <v>465</v>
      </c>
      <c r="D61" s="107" t="s">
        <v>500</v>
      </c>
      <c r="E61" s="108" t="s">
        <v>501</v>
      </c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10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  <c r="AW61" s="109"/>
      <c r="AX61" s="109"/>
      <c r="AY61" s="109"/>
      <c r="AZ61" s="109"/>
      <c r="BA61" s="109"/>
      <c r="BB61" s="109"/>
      <c r="BC61" s="109"/>
      <c r="BD61" s="109"/>
      <c r="BE61" s="109"/>
      <c r="BF61" s="109"/>
      <c r="BG61" s="110"/>
      <c r="BH61" s="109"/>
      <c r="BI61" s="109"/>
      <c r="BJ61" s="109"/>
      <c r="BK61" s="109"/>
      <c r="BL61" s="109"/>
      <c r="BM61" s="109"/>
      <c r="BN61" s="109"/>
      <c r="BO61" s="109"/>
      <c r="BP61" s="109"/>
      <c r="BQ61" s="109"/>
      <c r="BR61" s="109"/>
      <c r="BS61" s="109"/>
      <c r="BT61" s="109"/>
      <c r="BU61" s="109"/>
      <c r="BV61" s="109"/>
      <c r="BW61" s="109"/>
      <c r="BX61" s="109"/>
      <c r="BY61" s="109"/>
      <c r="BZ61" s="109"/>
      <c r="CA61" s="109"/>
      <c r="CB61" s="109"/>
      <c r="CC61" s="109"/>
      <c r="CD61" s="109"/>
      <c r="CE61" s="109"/>
      <c r="CF61" s="109"/>
      <c r="CG61" s="109"/>
      <c r="CH61" s="109"/>
      <c r="CI61" s="109"/>
      <c r="CJ61" s="110"/>
      <c r="CK61" s="109"/>
      <c r="CL61" s="109"/>
      <c r="CM61" s="109"/>
      <c r="CN61" s="109"/>
      <c r="CO61" s="109"/>
      <c r="CP61" s="109"/>
      <c r="CQ61" s="109"/>
      <c r="CR61" s="109"/>
      <c r="CS61" s="109"/>
      <c r="CT61" s="109"/>
      <c r="CU61" s="109"/>
      <c r="CV61" s="109"/>
      <c r="CW61" s="109"/>
      <c r="CX61" s="109"/>
      <c r="CY61" s="109"/>
      <c r="CZ61" s="109"/>
      <c r="DA61" s="109"/>
      <c r="DB61" s="109"/>
      <c r="DC61" s="109"/>
      <c r="DD61" s="109"/>
      <c r="DE61" s="109"/>
      <c r="DF61" s="109"/>
      <c r="DG61" s="109"/>
      <c r="DH61" s="109"/>
      <c r="DI61" s="109"/>
      <c r="DJ61" s="109"/>
      <c r="DK61" s="109"/>
      <c r="DL61" s="109"/>
      <c r="DM61" s="3"/>
    </row>
    <row r="62" spans="1:118" x14ac:dyDescent="0.25">
      <c r="A62" s="83">
        <v>1</v>
      </c>
      <c r="B62" s="84" t="s">
        <v>502</v>
      </c>
      <c r="C62" s="100">
        <v>3</v>
      </c>
      <c r="D62" s="82">
        <v>4314000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8" x14ac:dyDescent="0.25">
      <c r="A63" s="83">
        <v>2</v>
      </c>
      <c r="B63" s="84" t="s">
        <v>503</v>
      </c>
      <c r="C63" s="100">
        <v>4</v>
      </c>
      <c r="D63" s="82">
        <v>5409000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8" x14ac:dyDescent="0.25">
      <c r="A64" s="83">
        <v>3</v>
      </c>
      <c r="B64" s="84" t="s">
        <v>504</v>
      </c>
      <c r="C64" s="100">
        <v>5</v>
      </c>
      <c r="D64" s="82">
        <v>6874000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 x14ac:dyDescent="0.25">
      <c r="A65" s="83">
        <v>4</v>
      </c>
      <c r="B65" s="84" t="s">
        <v>505</v>
      </c>
      <c r="C65" s="100">
        <v>3</v>
      </c>
      <c r="D65" s="82">
        <v>5057000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 x14ac:dyDescent="0.25">
      <c r="A66" s="83">
        <v>5</v>
      </c>
      <c r="B66" s="84" t="s">
        <v>506</v>
      </c>
      <c r="C66" s="100">
        <v>4</v>
      </c>
      <c r="D66" s="82">
        <v>6329000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 x14ac:dyDescent="0.25">
      <c r="A67" s="83">
        <v>6</v>
      </c>
      <c r="B67" s="84" t="s">
        <v>507</v>
      </c>
      <c r="C67" s="100">
        <v>5</v>
      </c>
      <c r="D67" s="82">
        <v>8026000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 x14ac:dyDescent="0.25">
      <c r="A68" s="83">
        <v>7</v>
      </c>
      <c r="B68" s="84" t="s">
        <v>508</v>
      </c>
      <c r="C68" s="100">
        <v>3</v>
      </c>
      <c r="D68" s="82">
        <v>5799000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 x14ac:dyDescent="0.25">
      <c r="A69" s="83">
        <v>8</v>
      </c>
      <c r="B69" s="84" t="s">
        <v>509</v>
      </c>
      <c r="C69" s="100">
        <v>4</v>
      </c>
      <c r="D69" s="82">
        <v>7248000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 x14ac:dyDescent="0.25">
      <c r="A70" s="83">
        <v>9</v>
      </c>
      <c r="B70" s="84" t="s">
        <v>510</v>
      </c>
      <c r="C70" s="100">
        <v>5</v>
      </c>
      <c r="D70" s="82">
        <v>9179000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</sheetData>
  <mergeCells count="181">
    <mergeCell ref="DG3:DH3"/>
    <mergeCell ref="DI3:DJ3"/>
    <mergeCell ref="DK3:DL3"/>
    <mergeCell ref="AY3:AZ3"/>
    <mergeCell ref="BA3:BB3"/>
    <mergeCell ref="BC3:BD3"/>
    <mergeCell ref="BE3:BF3"/>
    <mergeCell ref="BG3:BH3"/>
    <mergeCell ref="CM3:CN3"/>
    <mergeCell ref="CO3:CP3"/>
    <mergeCell ref="CQ3:CR3"/>
    <mergeCell ref="CS3:CT3"/>
    <mergeCell ref="CH3:CI3"/>
    <mergeCell ref="CJ3:CK3"/>
    <mergeCell ref="P3:Q3"/>
    <mergeCell ref="R3:S3"/>
    <mergeCell ref="T3:U3"/>
    <mergeCell ref="V3:W3"/>
    <mergeCell ref="X3:Y3"/>
    <mergeCell ref="Z3:AA3"/>
    <mergeCell ref="AB3:AC3"/>
    <mergeCell ref="AD3:AE3"/>
    <mergeCell ref="DE3:DF3"/>
    <mergeCell ref="CY3:CZ3"/>
    <mergeCell ref="DA3:DB3"/>
    <mergeCell ref="DC3:DD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DM3:DN3"/>
    <mergeCell ref="A1:B1"/>
    <mergeCell ref="A2:B2"/>
    <mergeCell ref="C2:AE2"/>
    <mergeCell ref="AF2:BH2"/>
    <mergeCell ref="BI2:CK2"/>
    <mergeCell ref="CL2:DN2"/>
    <mergeCell ref="A3:B3"/>
    <mergeCell ref="BJ3:BK3"/>
    <mergeCell ref="BL3:BM3"/>
    <mergeCell ref="BN3:BO3"/>
    <mergeCell ref="BP3:BQ3"/>
    <mergeCell ref="BR3:BS3"/>
    <mergeCell ref="BT3:BU3"/>
    <mergeCell ref="BV3:BW3"/>
    <mergeCell ref="BX3:BY3"/>
    <mergeCell ref="BZ3:CA3"/>
    <mergeCell ref="CB3:CC3"/>
    <mergeCell ref="CD3:CE3"/>
    <mergeCell ref="CF3:CG3"/>
    <mergeCell ref="H3:I3"/>
    <mergeCell ref="J3:K3"/>
    <mergeCell ref="CU3:CV3"/>
    <mergeCell ref="CW3:CX3"/>
    <mergeCell ref="AB4:AB5"/>
    <mergeCell ref="T4:T5"/>
    <mergeCell ref="U4:U5"/>
    <mergeCell ref="V4:V5"/>
    <mergeCell ref="W4:W5"/>
    <mergeCell ref="X4:X5"/>
    <mergeCell ref="Y4:Y5"/>
    <mergeCell ref="Z4:Z5"/>
    <mergeCell ref="M4:M5"/>
    <mergeCell ref="N4:N5"/>
    <mergeCell ref="P4:P5"/>
    <mergeCell ref="Q4:Q5"/>
    <mergeCell ref="R4:R5"/>
    <mergeCell ref="S4:S5"/>
    <mergeCell ref="AA4:AA5"/>
    <mergeCell ref="D3:E3"/>
    <mergeCell ref="F3:G3"/>
    <mergeCell ref="A4:A5"/>
    <mergeCell ref="B4:B5"/>
    <mergeCell ref="C4:C5"/>
    <mergeCell ref="D4:D5"/>
    <mergeCell ref="E4:E5"/>
    <mergeCell ref="L3:M3"/>
    <mergeCell ref="N3:O3"/>
    <mergeCell ref="O4:O5"/>
    <mergeCell ref="F4:F5"/>
    <mergeCell ref="G4:G5"/>
    <mergeCell ref="H4:H5"/>
    <mergeCell ref="I4:I5"/>
    <mergeCell ref="J4:J5"/>
    <mergeCell ref="K4:K5"/>
    <mergeCell ref="L4:L5"/>
    <mergeCell ref="AC4:AC5"/>
    <mergeCell ref="AD4:AD5"/>
    <mergeCell ref="AE4:AE5"/>
    <mergeCell ref="AF4:AF5"/>
    <mergeCell ref="AG4:AG5"/>
    <mergeCell ref="CE4:CE5"/>
    <mergeCell ref="CF4:CF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DG4:DG5"/>
    <mergeCell ref="DH4:DH5"/>
    <mergeCell ref="DI4:DI5"/>
    <mergeCell ref="DJ4:DJ5"/>
    <mergeCell ref="DK4:DK5"/>
    <mergeCell ref="DL4:DL5"/>
    <mergeCell ref="DM4:DM5"/>
    <mergeCell ref="DN4:DN5"/>
    <mergeCell ref="CZ4:CZ5"/>
    <mergeCell ref="DA4:DA5"/>
    <mergeCell ref="DB4:DB5"/>
    <mergeCell ref="DC4:DC5"/>
    <mergeCell ref="DD4:DD5"/>
    <mergeCell ref="DE4:DE5"/>
    <mergeCell ref="DF4:DF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X4:BX5"/>
    <mergeCell ref="BY4:BY5"/>
    <mergeCell ref="BZ4:BZ5"/>
    <mergeCell ref="CA4:CA5"/>
    <mergeCell ref="CB4:CB5"/>
    <mergeCell ref="CC4:CC5"/>
    <mergeCell ref="CD4:CD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S94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ColWidth="12.5703125" defaultRowHeight="15.75" customHeight="1" x14ac:dyDescent="0.2"/>
  <cols>
    <col min="1" max="1" width="8.28515625" customWidth="1"/>
    <col min="2" max="2" width="52.140625" customWidth="1"/>
    <col min="3" max="5" width="7.5703125" customWidth="1"/>
    <col min="6" max="45" width="16.42578125" customWidth="1"/>
  </cols>
  <sheetData>
    <row r="1" spans="1:45" ht="23.25" x14ac:dyDescent="0.35">
      <c r="A1" s="319" t="s">
        <v>511</v>
      </c>
      <c r="B1" s="271"/>
      <c r="C1" s="271"/>
      <c r="D1" s="271"/>
      <c r="E1" s="27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ht="21.75" x14ac:dyDescent="0.3">
      <c r="A2" s="320" t="s">
        <v>512</v>
      </c>
      <c r="B2" s="271"/>
      <c r="C2" s="111"/>
      <c r="D2" s="111"/>
      <c r="E2" s="11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15" x14ac:dyDescent="0.2">
      <c r="A3" s="321" t="s">
        <v>513</v>
      </c>
      <c r="B3" s="27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24" customHeight="1" x14ac:dyDescent="0.25">
      <c r="A4" s="113"/>
      <c r="B4" s="114" t="s">
        <v>266</v>
      </c>
      <c r="C4" s="322" t="s">
        <v>514</v>
      </c>
      <c r="D4" s="311"/>
      <c r="E4" s="305"/>
      <c r="F4" s="272" t="s">
        <v>3</v>
      </c>
      <c r="G4" s="272" t="s">
        <v>4</v>
      </c>
      <c r="H4" s="272" t="s">
        <v>5</v>
      </c>
      <c r="I4" s="272" t="s">
        <v>6</v>
      </c>
      <c r="J4" s="272" t="s">
        <v>7</v>
      </c>
      <c r="K4" s="272" t="s">
        <v>8</v>
      </c>
      <c r="L4" s="272" t="s">
        <v>9</v>
      </c>
      <c r="M4" s="272" t="s">
        <v>10</v>
      </c>
      <c r="N4" s="272" t="s">
        <v>11</v>
      </c>
      <c r="O4" s="268" t="s">
        <v>12</v>
      </c>
      <c r="P4" s="268" t="s">
        <v>13</v>
      </c>
      <c r="Q4" s="268" t="s">
        <v>14</v>
      </c>
      <c r="R4" s="268" t="s">
        <v>15</v>
      </c>
      <c r="S4" s="268" t="s">
        <v>16</v>
      </c>
      <c r="T4" s="268" t="s">
        <v>17</v>
      </c>
      <c r="U4" s="268" t="s">
        <v>18</v>
      </c>
      <c r="V4" s="268" t="s">
        <v>19</v>
      </c>
      <c r="W4" s="268" t="s">
        <v>20</v>
      </c>
      <c r="X4" s="268" t="s">
        <v>21</v>
      </c>
      <c r="Y4" s="268" t="s">
        <v>22</v>
      </c>
      <c r="Z4" s="268" t="s">
        <v>23</v>
      </c>
      <c r="AA4" s="268" t="s">
        <v>24</v>
      </c>
      <c r="AB4" s="268" t="s">
        <v>25</v>
      </c>
      <c r="AC4" s="268" t="s">
        <v>26</v>
      </c>
      <c r="AD4" s="268" t="s">
        <v>27</v>
      </c>
      <c r="AE4" s="268" t="s">
        <v>28</v>
      </c>
      <c r="AF4" s="268" t="s">
        <v>29</v>
      </c>
      <c r="AG4" s="268" t="s">
        <v>30</v>
      </c>
      <c r="AH4" s="268" t="s">
        <v>31</v>
      </c>
      <c r="AI4" s="268" t="s">
        <v>32</v>
      </c>
      <c r="AJ4" s="268" t="s">
        <v>33</v>
      </c>
      <c r="AK4" s="268" t="s">
        <v>34</v>
      </c>
      <c r="AL4" s="268" t="s">
        <v>182</v>
      </c>
      <c r="AM4" s="268" t="s">
        <v>183</v>
      </c>
      <c r="AN4" s="268" t="s">
        <v>184</v>
      </c>
      <c r="AO4" s="268" t="s">
        <v>38</v>
      </c>
      <c r="AP4" s="268" t="s">
        <v>39</v>
      </c>
      <c r="AQ4" s="268" t="s">
        <v>40</v>
      </c>
      <c r="AR4" s="268" t="s">
        <v>41</v>
      </c>
      <c r="AS4" s="323" t="s">
        <v>42</v>
      </c>
    </row>
    <row r="5" spans="1:45" x14ac:dyDescent="0.25">
      <c r="A5" s="115" t="s">
        <v>515</v>
      </c>
      <c r="B5" s="116" t="s">
        <v>516</v>
      </c>
      <c r="C5" s="117" t="s">
        <v>517</v>
      </c>
      <c r="D5" s="117" t="s">
        <v>518</v>
      </c>
      <c r="E5" s="117" t="s">
        <v>519</v>
      </c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  <c r="AA5" s="269"/>
      <c r="AB5" s="269"/>
      <c r="AC5" s="269"/>
      <c r="AD5" s="269"/>
      <c r="AE5" s="269"/>
      <c r="AF5" s="269"/>
      <c r="AG5" s="269"/>
      <c r="AH5" s="269"/>
      <c r="AI5" s="269"/>
      <c r="AJ5" s="269"/>
      <c r="AK5" s="269"/>
      <c r="AL5" s="269"/>
      <c r="AM5" s="269"/>
      <c r="AN5" s="269"/>
      <c r="AO5" s="269"/>
      <c r="AP5" s="269"/>
      <c r="AQ5" s="269"/>
      <c r="AR5" s="269"/>
      <c r="AS5" s="269"/>
    </row>
    <row r="6" spans="1:45" ht="18" x14ac:dyDescent="0.25">
      <c r="A6" s="118"/>
      <c r="B6" s="119" t="s">
        <v>520</v>
      </c>
      <c r="C6" s="120"/>
      <c r="D6" s="120"/>
      <c r="E6" s="120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</row>
    <row r="7" spans="1:45" x14ac:dyDescent="0.25">
      <c r="A7" s="122"/>
      <c r="B7" s="123" t="s">
        <v>521</v>
      </c>
      <c r="C7" s="51"/>
      <c r="D7" s="51"/>
      <c r="E7" s="51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</row>
    <row r="8" spans="1:45" ht="15" x14ac:dyDescent="0.2">
      <c r="A8" s="122"/>
      <c r="B8" s="124" t="s">
        <v>522</v>
      </c>
      <c r="C8" s="99"/>
      <c r="D8" s="99"/>
      <c r="E8" s="99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</row>
    <row r="9" spans="1:45" x14ac:dyDescent="0.25">
      <c r="A9" s="122"/>
      <c r="B9" s="125" t="s">
        <v>523</v>
      </c>
      <c r="C9" s="126">
        <v>600</v>
      </c>
      <c r="D9" s="126">
        <v>760</v>
      </c>
      <c r="E9" s="126">
        <v>400</v>
      </c>
      <c r="F9" s="127">
        <v>4074000</v>
      </c>
      <c r="G9" s="127">
        <v>3433000</v>
      </c>
      <c r="H9" s="127">
        <v>4711000</v>
      </c>
      <c r="I9" s="127">
        <v>4133000</v>
      </c>
      <c r="J9" s="127">
        <v>5709000</v>
      </c>
      <c r="K9" s="127">
        <v>3343000</v>
      </c>
      <c r="L9" s="127">
        <v>5150000</v>
      </c>
      <c r="M9" s="127">
        <v>2824000</v>
      </c>
      <c r="N9" s="127">
        <v>2706000</v>
      </c>
      <c r="O9" s="127">
        <v>2971000</v>
      </c>
      <c r="P9" s="127">
        <v>3030000</v>
      </c>
      <c r="Q9" s="127">
        <v>3052000</v>
      </c>
      <c r="R9" s="127">
        <v>3159000</v>
      </c>
      <c r="S9" s="127">
        <v>3159000</v>
      </c>
      <c r="T9" s="127">
        <v>3025000</v>
      </c>
      <c r="U9" s="127">
        <v>3228000</v>
      </c>
      <c r="V9" s="127">
        <v>2836000</v>
      </c>
      <c r="W9" s="127">
        <v>3155000</v>
      </c>
      <c r="X9" s="127">
        <v>3236000</v>
      </c>
      <c r="Y9" s="127">
        <v>3155000</v>
      </c>
      <c r="Z9" s="127">
        <v>3182000</v>
      </c>
      <c r="AA9" s="127">
        <v>3161000</v>
      </c>
      <c r="AB9" s="127">
        <v>3208000</v>
      </c>
      <c r="AC9" s="127">
        <v>2908000</v>
      </c>
      <c r="AD9" s="127">
        <v>2908000</v>
      </c>
      <c r="AE9" s="127">
        <v>2908000</v>
      </c>
      <c r="AF9" s="127">
        <v>2908000</v>
      </c>
      <c r="AG9" s="127">
        <v>2903000</v>
      </c>
      <c r="AH9" s="127">
        <v>2938000</v>
      </c>
      <c r="AI9" s="127">
        <v>2938000</v>
      </c>
      <c r="AJ9" s="127">
        <v>2930000</v>
      </c>
      <c r="AK9" s="127">
        <v>2908000</v>
      </c>
      <c r="AL9" s="127">
        <v>2901000</v>
      </c>
      <c r="AM9" s="127">
        <v>2901000</v>
      </c>
      <c r="AN9" s="127">
        <v>2901000</v>
      </c>
      <c r="AO9" s="127">
        <v>2886000</v>
      </c>
      <c r="AP9" s="127">
        <v>2851000</v>
      </c>
      <c r="AQ9" s="127">
        <v>2851000</v>
      </c>
      <c r="AR9" s="127">
        <v>2886000</v>
      </c>
      <c r="AS9" s="127">
        <v>3098000</v>
      </c>
    </row>
    <row r="10" spans="1:45" x14ac:dyDescent="0.25">
      <c r="A10" s="122"/>
      <c r="B10" s="84" t="s">
        <v>524</v>
      </c>
      <c r="C10" s="63">
        <v>600</v>
      </c>
      <c r="D10" s="63">
        <v>760</v>
      </c>
      <c r="E10" s="63">
        <v>480</v>
      </c>
      <c r="F10" s="128">
        <v>4560000</v>
      </c>
      <c r="G10" s="128">
        <v>3791000</v>
      </c>
      <c r="H10" s="128">
        <v>5325000</v>
      </c>
      <c r="I10" s="128">
        <v>4630000</v>
      </c>
      <c r="J10" s="128">
        <v>6522000</v>
      </c>
      <c r="K10" s="128">
        <v>3632000</v>
      </c>
      <c r="L10" s="128">
        <v>5598000</v>
      </c>
      <c r="M10" s="128">
        <v>3056000</v>
      </c>
      <c r="N10" s="128">
        <v>2914000</v>
      </c>
      <c r="O10" s="128">
        <v>3227000</v>
      </c>
      <c r="P10" s="128">
        <v>3295000</v>
      </c>
      <c r="Q10" s="128">
        <v>3319000</v>
      </c>
      <c r="R10" s="128">
        <v>3443000</v>
      </c>
      <c r="S10" s="128">
        <v>3443000</v>
      </c>
      <c r="T10" s="128">
        <v>3291000</v>
      </c>
      <c r="U10" s="128">
        <v>3533000</v>
      </c>
      <c r="V10" s="128">
        <v>3065000</v>
      </c>
      <c r="W10" s="128">
        <v>3445000</v>
      </c>
      <c r="X10" s="128">
        <v>3542000</v>
      </c>
      <c r="Y10" s="128">
        <v>3445000</v>
      </c>
      <c r="Z10" s="128">
        <v>3478000</v>
      </c>
      <c r="AA10" s="128">
        <v>3453000</v>
      </c>
      <c r="AB10" s="128">
        <v>3509000</v>
      </c>
      <c r="AC10" s="128">
        <v>3156000</v>
      </c>
      <c r="AD10" s="128">
        <v>3156000</v>
      </c>
      <c r="AE10" s="128">
        <v>3156000</v>
      </c>
      <c r="AF10" s="128">
        <v>3156000</v>
      </c>
      <c r="AG10" s="128">
        <v>3150000</v>
      </c>
      <c r="AH10" s="128">
        <v>3191000</v>
      </c>
      <c r="AI10" s="128">
        <v>3191000</v>
      </c>
      <c r="AJ10" s="128">
        <v>3183000</v>
      </c>
      <c r="AK10" s="128">
        <v>3156000</v>
      </c>
      <c r="AL10" s="128">
        <v>3147000</v>
      </c>
      <c r="AM10" s="128">
        <v>3147000</v>
      </c>
      <c r="AN10" s="128">
        <v>3147000</v>
      </c>
      <c r="AO10" s="128">
        <v>3117000</v>
      </c>
      <c r="AP10" s="128">
        <v>3075000</v>
      </c>
      <c r="AQ10" s="128">
        <v>3075000</v>
      </c>
      <c r="AR10" s="128">
        <v>3117000</v>
      </c>
      <c r="AS10" s="128">
        <v>3375000</v>
      </c>
    </row>
    <row r="11" spans="1:45" x14ac:dyDescent="0.25">
      <c r="A11" s="122"/>
      <c r="B11" s="129" t="s">
        <v>525</v>
      </c>
      <c r="C11" s="130">
        <v>600</v>
      </c>
      <c r="D11" s="130">
        <v>760</v>
      </c>
      <c r="E11" s="130">
        <v>500</v>
      </c>
      <c r="F11" s="127">
        <v>4684000</v>
      </c>
      <c r="G11" s="127">
        <v>3884000</v>
      </c>
      <c r="H11" s="127">
        <v>5481000</v>
      </c>
      <c r="I11" s="127">
        <v>4758000</v>
      </c>
      <c r="J11" s="127">
        <v>6729000</v>
      </c>
      <c r="K11" s="127">
        <v>3707000</v>
      </c>
      <c r="L11" s="127">
        <v>5713000</v>
      </c>
      <c r="M11" s="127">
        <v>3117000</v>
      </c>
      <c r="N11" s="127">
        <v>2969000</v>
      </c>
      <c r="O11" s="127">
        <v>3294000</v>
      </c>
      <c r="P11" s="127">
        <v>3365000</v>
      </c>
      <c r="Q11" s="127">
        <v>3388000</v>
      </c>
      <c r="R11" s="127">
        <v>3518000</v>
      </c>
      <c r="S11" s="127">
        <v>3518000</v>
      </c>
      <c r="T11" s="127">
        <v>3361000</v>
      </c>
      <c r="U11" s="127">
        <v>3613000</v>
      </c>
      <c r="V11" s="127">
        <v>3125000</v>
      </c>
      <c r="W11" s="127">
        <v>3521000</v>
      </c>
      <c r="X11" s="127">
        <v>3622000</v>
      </c>
      <c r="Y11" s="127">
        <v>3521000</v>
      </c>
      <c r="Z11" s="127">
        <v>3555000</v>
      </c>
      <c r="AA11" s="127">
        <v>3529000</v>
      </c>
      <c r="AB11" s="127">
        <v>3587000</v>
      </c>
      <c r="AC11" s="127">
        <v>3221000</v>
      </c>
      <c r="AD11" s="127">
        <v>3221000</v>
      </c>
      <c r="AE11" s="127">
        <v>3221000</v>
      </c>
      <c r="AF11" s="127">
        <v>3221000</v>
      </c>
      <c r="AG11" s="127">
        <v>3215000</v>
      </c>
      <c r="AH11" s="127">
        <v>3258000</v>
      </c>
      <c r="AI11" s="127">
        <v>3258000</v>
      </c>
      <c r="AJ11" s="127">
        <v>3249000</v>
      </c>
      <c r="AK11" s="127">
        <v>3221000</v>
      </c>
      <c r="AL11" s="127">
        <v>3212000</v>
      </c>
      <c r="AM11" s="127">
        <v>3212000</v>
      </c>
      <c r="AN11" s="127">
        <v>3212000</v>
      </c>
      <c r="AO11" s="127">
        <v>3179000</v>
      </c>
      <c r="AP11" s="127">
        <v>3134000</v>
      </c>
      <c r="AQ11" s="127">
        <v>3134000</v>
      </c>
      <c r="AR11" s="127">
        <v>3179000</v>
      </c>
      <c r="AS11" s="127">
        <v>3448000</v>
      </c>
    </row>
    <row r="12" spans="1:45" x14ac:dyDescent="0.25">
      <c r="A12" s="122"/>
      <c r="B12" s="84" t="s">
        <v>526</v>
      </c>
      <c r="C12" s="63">
        <v>600</v>
      </c>
      <c r="D12" s="63">
        <v>760</v>
      </c>
      <c r="E12" s="63">
        <v>550</v>
      </c>
      <c r="F12" s="128">
        <v>5010000</v>
      </c>
      <c r="G12" s="128">
        <v>4130000</v>
      </c>
      <c r="H12" s="128">
        <v>5887000</v>
      </c>
      <c r="I12" s="128">
        <v>5091000</v>
      </c>
      <c r="J12" s="128">
        <v>7259000</v>
      </c>
      <c r="K12" s="128">
        <v>3910000</v>
      </c>
      <c r="L12" s="128">
        <v>6016000</v>
      </c>
      <c r="M12" s="128">
        <v>3284000</v>
      </c>
      <c r="N12" s="128">
        <v>3122000</v>
      </c>
      <c r="O12" s="128">
        <v>3476000</v>
      </c>
      <c r="P12" s="128">
        <v>3553000</v>
      </c>
      <c r="Q12" s="128">
        <v>3577000</v>
      </c>
      <c r="R12" s="128">
        <v>3718000</v>
      </c>
      <c r="S12" s="128">
        <v>3718000</v>
      </c>
      <c r="T12" s="128">
        <v>3550000</v>
      </c>
      <c r="U12" s="128">
        <v>3826000</v>
      </c>
      <c r="V12" s="128">
        <v>3291000</v>
      </c>
      <c r="W12" s="128">
        <v>3724000</v>
      </c>
      <c r="X12" s="128">
        <v>3836000</v>
      </c>
      <c r="Y12" s="128">
        <v>3724000</v>
      </c>
      <c r="Z12" s="128">
        <v>3763000</v>
      </c>
      <c r="AA12" s="128">
        <v>3735000</v>
      </c>
      <c r="AB12" s="128">
        <v>3798000</v>
      </c>
      <c r="AC12" s="128">
        <v>3399000</v>
      </c>
      <c r="AD12" s="128">
        <v>3399000</v>
      </c>
      <c r="AE12" s="128">
        <v>3399000</v>
      </c>
      <c r="AF12" s="128">
        <v>3399000</v>
      </c>
      <c r="AG12" s="128">
        <v>3391000</v>
      </c>
      <c r="AH12" s="128">
        <v>3439000</v>
      </c>
      <c r="AI12" s="128">
        <v>3439000</v>
      </c>
      <c r="AJ12" s="128">
        <v>3429000</v>
      </c>
      <c r="AK12" s="128">
        <v>3399000</v>
      </c>
      <c r="AL12" s="128">
        <v>3389000</v>
      </c>
      <c r="AM12" s="128">
        <v>3389000</v>
      </c>
      <c r="AN12" s="128">
        <v>3389000</v>
      </c>
      <c r="AO12" s="128">
        <v>3346000</v>
      </c>
      <c r="AP12" s="128">
        <v>3297000</v>
      </c>
      <c r="AQ12" s="128">
        <v>3297000</v>
      </c>
      <c r="AR12" s="128">
        <v>3346000</v>
      </c>
      <c r="AS12" s="128">
        <v>3644000</v>
      </c>
    </row>
    <row r="13" spans="1:45" x14ac:dyDescent="0.25">
      <c r="A13" s="122"/>
      <c r="B13" s="129" t="s">
        <v>527</v>
      </c>
      <c r="C13" s="130">
        <v>600</v>
      </c>
      <c r="D13" s="130">
        <v>760</v>
      </c>
      <c r="E13" s="130">
        <v>600</v>
      </c>
      <c r="F13" s="127">
        <v>5314000</v>
      </c>
      <c r="G13" s="127">
        <v>4353000</v>
      </c>
      <c r="H13" s="127">
        <v>6270000</v>
      </c>
      <c r="I13" s="127">
        <v>5402000</v>
      </c>
      <c r="J13" s="127">
        <v>7767000</v>
      </c>
      <c r="K13" s="127">
        <v>4090000</v>
      </c>
      <c r="L13" s="127">
        <v>6296000</v>
      </c>
      <c r="M13" s="127">
        <v>3428000</v>
      </c>
      <c r="N13" s="127">
        <v>3251000</v>
      </c>
      <c r="O13" s="127">
        <v>3636000</v>
      </c>
      <c r="P13" s="127">
        <v>3718000</v>
      </c>
      <c r="Q13" s="127">
        <v>3743000</v>
      </c>
      <c r="R13" s="127">
        <v>3895000</v>
      </c>
      <c r="S13" s="127">
        <v>3895000</v>
      </c>
      <c r="T13" s="127">
        <v>3715000</v>
      </c>
      <c r="U13" s="127">
        <v>4017000</v>
      </c>
      <c r="V13" s="127">
        <v>3434000</v>
      </c>
      <c r="W13" s="127">
        <v>3905000</v>
      </c>
      <c r="X13" s="127">
        <v>4027000</v>
      </c>
      <c r="Y13" s="127">
        <v>3905000</v>
      </c>
      <c r="Z13" s="127">
        <v>3947000</v>
      </c>
      <c r="AA13" s="127">
        <v>3917000</v>
      </c>
      <c r="AB13" s="127">
        <v>3986000</v>
      </c>
      <c r="AC13" s="127">
        <v>3554000</v>
      </c>
      <c r="AD13" s="127">
        <v>3554000</v>
      </c>
      <c r="AE13" s="127">
        <v>3554000</v>
      </c>
      <c r="AF13" s="127">
        <v>3554000</v>
      </c>
      <c r="AG13" s="127">
        <v>3545000</v>
      </c>
      <c r="AH13" s="127">
        <v>3598000</v>
      </c>
      <c r="AI13" s="127">
        <v>3598000</v>
      </c>
      <c r="AJ13" s="127">
        <v>3587000</v>
      </c>
      <c r="AK13" s="127">
        <v>3554000</v>
      </c>
      <c r="AL13" s="127">
        <v>3543000</v>
      </c>
      <c r="AM13" s="127">
        <v>3543000</v>
      </c>
      <c r="AN13" s="127">
        <v>3543000</v>
      </c>
      <c r="AO13" s="127">
        <v>3490000</v>
      </c>
      <c r="AP13" s="127">
        <v>3437000</v>
      </c>
      <c r="AQ13" s="127">
        <v>3437000</v>
      </c>
      <c r="AR13" s="127">
        <v>3490000</v>
      </c>
      <c r="AS13" s="127">
        <v>3817000</v>
      </c>
    </row>
    <row r="14" spans="1:45" x14ac:dyDescent="0.25">
      <c r="A14" s="122"/>
      <c r="B14" s="84" t="s">
        <v>528</v>
      </c>
      <c r="C14" s="63">
        <v>600</v>
      </c>
      <c r="D14" s="63">
        <v>760</v>
      </c>
      <c r="E14" s="63">
        <v>800</v>
      </c>
      <c r="F14" s="128">
        <v>6997000</v>
      </c>
      <c r="G14" s="128">
        <v>5716000</v>
      </c>
      <c r="H14" s="128">
        <v>8272000</v>
      </c>
      <c r="I14" s="128">
        <v>7115000</v>
      </c>
      <c r="J14" s="128">
        <v>10268000</v>
      </c>
      <c r="K14" s="128">
        <v>5642000</v>
      </c>
      <c r="L14" s="128">
        <v>9256000</v>
      </c>
      <c r="M14" s="128">
        <v>4498000</v>
      </c>
      <c r="N14" s="128">
        <v>4261000</v>
      </c>
      <c r="O14" s="128">
        <v>4791000</v>
      </c>
      <c r="P14" s="128">
        <v>4910000</v>
      </c>
      <c r="Q14" s="128">
        <v>4954000</v>
      </c>
      <c r="R14" s="128">
        <v>5167000</v>
      </c>
      <c r="S14" s="128">
        <v>5167000</v>
      </c>
      <c r="T14" s="128">
        <v>4900000</v>
      </c>
      <c r="U14" s="128">
        <v>5305000</v>
      </c>
      <c r="V14" s="128">
        <v>4522000</v>
      </c>
      <c r="W14" s="128">
        <v>5160000</v>
      </c>
      <c r="X14" s="128">
        <v>5322000</v>
      </c>
      <c r="Y14" s="128">
        <v>5160000</v>
      </c>
      <c r="Z14" s="128">
        <v>5213000</v>
      </c>
      <c r="AA14" s="128">
        <v>5172000</v>
      </c>
      <c r="AB14" s="128">
        <v>5265000</v>
      </c>
      <c r="AC14" s="128">
        <v>4666000</v>
      </c>
      <c r="AD14" s="128">
        <v>4666000</v>
      </c>
      <c r="AE14" s="128">
        <v>4666000</v>
      </c>
      <c r="AF14" s="128">
        <v>4666000</v>
      </c>
      <c r="AG14" s="128">
        <v>4655000</v>
      </c>
      <c r="AH14" s="128">
        <v>4725000</v>
      </c>
      <c r="AI14" s="128">
        <v>4725000</v>
      </c>
      <c r="AJ14" s="128">
        <v>4710000</v>
      </c>
      <c r="AK14" s="128">
        <v>4666000</v>
      </c>
      <c r="AL14" s="128">
        <v>4651000</v>
      </c>
      <c r="AM14" s="128">
        <v>4651000</v>
      </c>
      <c r="AN14" s="128">
        <v>4651000</v>
      </c>
      <c r="AO14" s="128">
        <v>4621000</v>
      </c>
      <c r="AP14" s="128">
        <v>4551000</v>
      </c>
      <c r="AQ14" s="128">
        <v>4551000</v>
      </c>
      <c r="AR14" s="128">
        <v>4621000</v>
      </c>
      <c r="AS14" s="128">
        <v>5046000</v>
      </c>
    </row>
    <row r="15" spans="1:45" x14ac:dyDescent="0.25">
      <c r="A15" s="122"/>
      <c r="B15" s="129" t="s">
        <v>529</v>
      </c>
      <c r="C15" s="130">
        <v>600</v>
      </c>
      <c r="D15" s="130">
        <v>760</v>
      </c>
      <c r="E15" s="130">
        <v>960</v>
      </c>
      <c r="F15" s="127">
        <v>7969000</v>
      </c>
      <c r="G15" s="127">
        <v>6431000</v>
      </c>
      <c r="H15" s="127">
        <v>9499000</v>
      </c>
      <c r="I15" s="127">
        <v>8110000</v>
      </c>
      <c r="J15" s="127">
        <v>11894000</v>
      </c>
      <c r="K15" s="127">
        <v>6219000</v>
      </c>
      <c r="L15" s="127">
        <v>10152000</v>
      </c>
      <c r="M15" s="127">
        <v>4961000</v>
      </c>
      <c r="N15" s="127">
        <v>4677000</v>
      </c>
      <c r="O15" s="127">
        <v>5303000</v>
      </c>
      <c r="P15" s="127">
        <v>5440000</v>
      </c>
      <c r="Q15" s="127">
        <v>5487000</v>
      </c>
      <c r="R15" s="127">
        <v>5736000</v>
      </c>
      <c r="S15" s="127">
        <v>5736000</v>
      </c>
      <c r="T15" s="127">
        <v>5432000</v>
      </c>
      <c r="U15" s="127">
        <v>5916000</v>
      </c>
      <c r="V15" s="127">
        <v>4979000</v>
      </c>
      <c r="W15" s="127">
        <v>5740000</v>
      </c>
      <c r="X15" s="127">
        <v>5934000</v>
      </c>
      <c r="Y15" s="127">
        <v>5740000</v>
      </c>
      <c r="Z15" s="127">
        <v>5805000</v>
      </c>
      <c r="AA15" s="127">
        <v>5756000</v>
      </c>
      <c r="AB15" s="127">
        <v>5867000</v>
      </c>
      <c r="AC15" s="127">
        <v>5162000</v>
      </c>
      <c r="AD15" s="127">
        <v>5162000</v>
      </c>
      <c r="AE15" s="127">
        <v>5162000</v>
      </c>
      <c r="AF15" s="127">
        <v>5162000</v>
      </c>
      <c r="AG15" s="127">
        <v>5149000</v>
      </c>
      <c r="AH15" s="127">
        <v>5232000</v>
      </c>
      <c r="AI15" s="127">
        <v>5232000</v>
      </c>
      <c r="AJ15" s="127">
        <v>5215000</v>
      </c>
      <c r="AK15" s="127">
        <v>5162000</v>
      </c>
      <c r="AL15" s="127">
        <v>5144000</v>
      </c>
      <c r="AM15" s="127">
        <v>5144000</v>
      </c>
      <c r="AN15" s="127">
        <v>5144000</v>
      </c>
      <c r="AO15" s="127">
        <v>5084000</v>
      </c>
      <c r="AP15" s="127">
        <v>4999000</v>
      </c>
      <c r="AQ15" s="127">
        <v>4999000</v>
      </c>
      <c r="AR15" s="127">
        <v>5084000</v>
      </c>
      <c r="AS15" s="127">
        <v>5600000</v>
      </c>
    </row>
    <row r="16" spans="1:45" x14ac:dyDescent="0.25">
      <c r="A16" s="122"/>
      <c r="B16" s="84" t="s">
        <v>530</v>
      </c>
      <c r="C16" s="63">
        <v>600</v>
      </c>
      <c r="D16" s="63">
        <v>760</v>
      </c>
      <c r="E16" s="63">
        <v>1000</v>
      </c>
      <c r="F16" s="128">
        <v>8221000</v>
      </c>
      <c r="G16" s="128">
        <v>6620000</v>
      </c>
      <c r="H16" s="128">
        <v>9815000</v>
      </c>
      <c r="I16" s="128">
        <v>8368000</v>
      </c>
      <c r="J16" s="128">
        <v>12310000</v>
      </c>
      <c r="K16" s="128">
        <v>6372000</v>
      </c>
      <c r="L16" s="128">
        <v>10385000</v>
      </c>
      <c r="M16" s="128">
        <v>5086000</v>
      </c>
      <c r="N16" s="128">
        <v>4791000</v>
      </c>
      <c r="O16" s="128">
        <v>5440000</v>
      </c>
      <c r="P16" s="128">
        <v>5582000</v>
      </c>
      <c r="Q16" s="128">
        <v>5629000</v>
      </c>
      <c r="R16" s="128">
        <v>5888000</v>
      </c>
      <c r="S16" s="128">
        <v>5888000</v>
      </c>
      <c r="T16" s="128">
        <v>5574000</v>
      </c>
      <c r="U16" s="128">
        <v>6078000</v>
      </c>
      <c r="V16" s="128">
        <v>5103000</v>
      </c>
      <c r="W16" s="128">
        <v>5894000</v>
      </c>
      <c r="X16" s="128">
        <v>6096000</v>
      </c>
      <c r="Y16" s="128">
        <v>5894000</v>
      </c>
      <c r="Z16" s="128">
        <v>5963000</v>
      </c>
      <c r="AA16" s="128">
        <v>5911000</v>
      </c>
      <c r="AB16" s="128">
        <v>6027000</v>
      </c>
      <c r="AC16" s="128">
        <v>5295000</v>
      </c>
      <c r="AD16" s="128">
        <v>5295000</v>
      </c>
      <c r="AE16" s="128">
        <v>5295000</v>
      </c>
      <c r="AF16" s="128">
        <v>5295000</v>
      </c>
      <c r="AG16" s="128">
        <v>5282000</v>
      </c>
      <c r="AH16" s="128">
        <v>5369000</v>
      </c>
      <c r="AI16" s="128">
        <v>5369000</v>
      </c>
      <c r="AJ16" s="128">
        <v>5350000</v>
      </c>
      <c r="AK16" s="128">
        <v>5295000</v>
      </c>
      <c r="AL16" s="128">
        <v>5277000</v>
      </c>
      <c r="AM16" s="128">
        <v>5277000</v>
      </c>
      <c r="AN16" s="128">
        <v>5277000</v>
      </c>
      <c r="AO16" s="128">
        <v>5210000</v>
      </c>
      <c r="AP16" s="128">
        <v>5121000</v>
      </c>
      <c r="AQ16" s="128">
        <v>5121000</v>
      </c>
      <c r="AR16" s="128">
        <v>5210000</v>
      </c>
      <c r="AS16" s="128">
        <v>5748000</v>
      </c>
    </row>
    <row r="17" spans="1:45" x14ac:dyDescent="0.25">
      <c r="A17" s="122"/>
      <c r="B17" s="129" t="s">
        <v>531</v>
      </c>
      <c r="C17" s="130">
        <v>600</v>
      </c>
      <c r="D17" s="130">
        <v>760</v>
      </c>
      <c r="E17" s="130">
        <v>1100</v>
      </c>
      <c r="F17" s="127">
        <v>8870000</v>
      </c>
      <c r="G17" s="127">
        <v>7109000</v>
      </c>
      <c r="H17" s="127">
        <v>10624000</v>
      </c>
      <c r="I17" s="127">
        <v>9032000</v>
      </c>
      <c r="J17" s="127">
        <v>13368000</v>
      </c>
      <c r="K17" s="127">
        <v>6775000</v>
      </c>
      <c r="L17" s="127">
        <v>10987000</v>
      </c>
      <c r="M17" s="127">
        <v>5418000</v>
      </c>
      <c r="N17" s="127">
        <v>5093000</v>
      </c>
      <c r="O17" s="127">
        <v>5802000</v>
      </c>
      <c r="P17" s="127">
        <v>5956000</v>
      </c>
      <c r="Q17" s="127">
        <v>6004000</v>
      </c>
      <c r="R17" s="127">
        <v>6285000</v>
      </c>
      <c r="S17" s="127">
        <v>6285000</v>
      </c>
      <c r="T17" s="127">
        <v>5949000</v>
      </c>
      <c r="U17" s="127">
        <v>6502000</v>
      </c>
      <c r="V17" s="127">
        <v>5432000</v>
      </c>
      <c r="W17" s="127">
        <v>6298000</v>
      </c>
      <c r="X17" s="127">
        <v>6521000</v>
      </c>
      <c r="Y17" s="127">
        <v>6298000</v>
      </c>
      <c r="Z17" s="127">
        <v>6375000</v>
      </c>
      <c r="AA17" s="127">
        <v>6319000</v>
      </c>
      <c r="AB17" s="127">
        <v>6446000</v>
      </c>
      <c r="AC17" s="127">
        <v>5647000</v>
      </c>
      <c r="AD17" s="127">
        <v>5647000</v>
      </c>
      <c r="AE17" s="127">
        <v>5647000</v>
      </c>
      <c r="AF17" s="127">
        <v>5647000</v>
      </c>
      <c r="AG17" s="127">
        <v>5632000</v>
      </c>
      <c r="AH17" s="127">
        <v>5728000</v>
      </c>
      <c r="AI17" s="127">
        <v>5728000</v>
      </c>
      <c r="AJ17" s="127">
        <v>5708000</v>
      </c>
      <c r="AK17" s="127">
        <v>5647000</v>
      </c>
      <c r="AL17" s="127">
        <v>5627000</v>
      </c>
      <c r="AM17" s="127">
        <v>5627000</v>
      </c>
      <c r="AN17" s="127">
        <v>5627000</v>
      </c>
      <c r="AO17" s="127">
        <v>5541000</v>
      </c>
      <c r="AP17" s="127">
        <v>5444000</v>
      </c>
      <c r="AQ17" s="127">
        <v>5444000</v>
      </c>
      <c r="AR17" s="127">
        <v>5541000</v>
      </c>
      <c r="AS17" s="127">
        <v>6137000</v>
      </c>
    </row>
    <row r="18" spans="1:45" x14ac:dyDescent="0.25">
      <c r="A18" s="122"/>
      <c r="B18" s="84" t="s">
        <v>532</v>
      </c>
      <c r="C18" s="63">
        <v>600</v>
      </c>
      <c r="D18" s="63">
        <v>760</v>
      </c>
      <c r="E18" s="63">
        <v>1200</v>
      </c>
      <c r="F18" s="128">
        <v>9478000</v>
      </c>
      <c r="G18" s="128">
        <v>7556000</v>
      </c>
      <c r="H18" s="128">
        <v>11390000</v>
      </c>
      <c r="I18" s="128">
        <v>9654000</v>
      </c>
      <c r="J18" s="128">
        <v>14384000</v>
      </c>
      <c r="K18" s="128">
        <v>7136000</v>
      </c>
      <c r="L18" s="128">
        <v>11548000</v>
      </c>
      <c r="M18" s="128">
        <v>5707000</v>
      </c>
      <c r="N18" s="128">
        <v>5353000</v>
      </c>
      <c r="O18" s="128">
        <v>6122000</v>
      </c>
      <c r="P18" s="128">
        <v>6287000</v>
      </c>
      <c r="Q18" s="128">
        <v>6337000</v>
      </c>
      <c r="R18" s="128">
        <v>6641000</v>
      </c>
      <c r="S18" s="128">
        <v>6641000</v>
      </c>
      <c r="T18" s="128">
        <v>6281000</v>
      </c>
      <c r="U18" s="128">
        <v>6884000</v>
      </c>
      <c r="V18" s="128">
        <v>5718000</v>
      </c>
      <c r="W18" s="128">
        <v>6661000</v>
      </c>
      <c r="X18" s="128">
        <v>6904000</v>
      </c>
      <c r="Y18" s="128">
        <v>6661000</v>
      </c>
      <c r="Z18" s="128">
        <v>6745000</v>
      </c>
      <c r="AA18" s="128">
        <v>6684000</v>
      </c>
      <c r="AB18" s="128">
        <v>6823000</v>
      </c>
      <c r="AC18" s="128">
        <v>5958000</v>
      </c>
      <c r="AD18" s="128">
        <v>5958000</v>
      </c>
      <c r="AE18" s="128">
        <v>5958000</v>
      </c>
      <c r="AF18" s="128">
        <v>5958000</v>
      </c>
      <c r="AG18" s="128">
        <v>5941000</v>
      </c>
      <c r="AH18" s="128">
        <v>6046000</v>
      </c>
      <c r="AI18" s="128">
        <v>6046000</v>
      </c>
      <c r="AJ18" s="128">
        <v>6024000</v>
      </c>
      <c r="AK18" s="128">
        <v>5958000</v>
      </c>
      <c r="AL18" s="128">
        <v>5936000</v>
      </c>
      <c r="AM18" s="128">
        <v>5936000</v>
      </c>
      <c r="AN18" s="128">
        <v>5936000</v>
      </c>
      <c r="AO18" s="128">
        <v>5831000</v>
      </c>
      <c r="AP18" s="128">
        <v>5725000</v>
      </c>
      <c r="AQ18" s="128">
        <v>5725000</v>
      </c>
      <c r="AR18" s="128">
        <v>5831000</v>
      </c>
      <c r="AS18" s="128">
        <v>6484000</v>
      </c>
    </row>
    <row r="19" spans="1:45" x14ac:dyDescent="0.25">
      <c r="A19" s="122"/>
      <c r="B19" s="123" t="s">
        <v>533</v>
      </c>
      <c r="C19" s="51"/>
      <c r="D19" s="51"/>
      <c r="E19" s="51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" x14ac:dyDescent="0.2">
      <c r="A20" s="122"/>
      <c r="B20" s="124" t="s">
        <v>534</v>
      </c>
      <c r="C20" s="99"/>
      <c r="D20" s="99"/>
      <c r="E20" s="99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x14ac:dyDescent="0.25">
      <c r="A21" s="122"/>
      <c r="B21" s="125" t="s">
        <v>535</v>
      </c>
      <c r="C21" s="126">
        <v>600</v>
      </c>
      <c r="D21" s="126">
        <v>760</v>
      </c>
      <c r="E21" s="126">
        <v>400</v>
      </c>
      <c r="F21" s="127">
        <v>6112000</v>
      </c>
      <c r="G21" s="127">
        <v>5471000</v>
      </c>
      <c r="H21" s="131"/>
      <c r="I21" s="127">
        <v>6171000</v>
      </c>
      <c r="J21" s="131"/>
      <c r="K21" s="127">
        <v>5742000</v>
      </c>
      <c r="L21" s="127">
        <v>8559000</v>
      </c>
      <c r="M21" s="127">
        <v>4873000</v>
      </c>
      <c r="N21" s="127">
        <v>4755000</v>
      </c>
      <c r="O21" s="127">
        <v>5034000</v>
      </c>
      <c r="P21" s="127">
        <v>5099000</v>
      </c>
      <c r="Q21" s="127">
        <v>5131000</v>
      </c>
      <c r="R21" s="127">
        <v>5245000</v>
      </c>
      <c r="S21" s="127">
        <v>5245000</v>
      </c>
      <c r="T21" s="127">
        <v>5090000</v>
      </c>
      <c r="U21" s="127">
        <v>5295000</v>
      </c>
      <c r="V21" s="127">
        <v>4898000</v>
      </c>
      <c r="W21" s="127">
        <v>5225000</v>
      </c>
      <c r="X21" s="127">
        <v>5306000</v>
      </c>
      <c r="Y21" s="127">
        <v>5225000</v>
      </c>
      <c r="Z21" s="127">
        <v>5250000</v>
      </c>
      <c r="AA21" s="127">
        <v>5229000</v>
      </c>
      <c r="AB21" s="127">
        <v>5275000</v>
      </c>
      <c r="AC21" s="127">
        <v>4958000</v>
      </c>
      <c r="AD21" s="127">
        <v>4958000</v>
      </c>
      <c r="AE21" s="127">
        <v>4958000</v>
      </c>
      <c r="AF21" s="127">
        <v>4958000</v>
      </c>
      <c r="AG21" s="127">
        <v>4953000</v>
      </c>
      <c r="AH21" s="127">
        <v>4988000</v>
      </c>
      <c r="AI21" s="127">
        <v>4988000</v>
      </c>
      <c r="AJ21" s="127">
        <v>4980000</v>
      </c>
      <c r="AK21" s="127">
        <v>4958000</v>
      </c>
      <c r="AL21" s="127">
        <v>4951000</v>
      </c>
      <c r="AM21" s="127">
        <v>4951000</v>
      </c>
      <c r="AN21" s="127">
        <v>4951000</v>
      </c>
      <c r="AO21" s="127">
        <v>4967000</v>
      </c>
      <c r="AP21" s="127">
        <v>4932000</v>
      </c>
      <c r="AQ21" s="127">
        <v>4932000</v>
      </c>
      <c r="AR21" s="127">
        <v>4967000</v>
      </c>
      <c r="AS21" s="127">
        <v>5171000</v>
      </c>
    </row>
    <row r="22" spans="1:45" x14ac:dyDescent="0.25">
      <c r="A22" s="122"/>
      <c r="B22" s="84" t="s">
        <v>536</v>
      </c>
      <c r="C22" s="63">
        <v>600</v>
      </c>
      <c r="D22" s="63">
        <v>760</v>
      </c>
      <c r="E22" s="63">
        <v>480</v>
      </c>
      <c r="F22" s="128">
        <v>6688000</v>
      </c>
      <c r="G22" s="128">
        <v>5919000</v>
      </c>
      <c r="H22" s="25"/>
      <c r="I22" s="128">
        <v>6758000</v>
      </c>
      <c r="J22" s="25"/>
      <c r="K22" s="128">
        <v>6120000</v>
      </c>
      <c r="L22" s="128">
        <v>9097000</v>
      </c>
      <c r="M22" s="128">
        <v>5197000</v>
      </c>
      <c r="N22" s="128">
        <v>5055000</v>
      </c>
      <c r="O22" s="128">
        <v>5384000</v>
      </c>
      <c r="P22" s="128">
        <v>5460000</v>
      </c>
      <c r="Q22" s="128">
        <v>5495000</v>
      </c>
      <c r="R22" s="128">
        <v>5629000</v>
      </c>
      <c r="S22" s="128">
        <v>5629000</v>
      </c>
      <c r="T22" s="128">
        <v>5451000</v>
      </c>
      <c r="U22" s="128">
        <v>5696000</v>
      </c>
      <c r="V22" s="128">
        <v>5222000</v>
      </c>
      <c r="W22" s="128">
        <v>5612000</v>
      </c>
      <c r="X22" s="128">
        <v>5709000</v>
      </c>
      <c r="Y22" s="128">
        <v>5612000</v>
      </c>
      <c r="Z22" s="128">
        <v>5642000</v>
      </c>
      <c r="AA22" s="128">
        <v>5617000</v>
      </c>
      <c r="AB22" s="128">
        <v>5672000</v>
      </c>
      <c r="AC22" s="128">
        <v>5299000</v>
      </c>
      <c r="AD22" s="128">
        <v>5299000</v>
      </c>
      <c r="AE22" s="128">
        <v>5299000</v>
      </c>
      <c r="AF22" s="128">
        <v>5299000</v>
      </c>
      <c r="AG22" s="128">
        <v>5292000</v>
      </c>
      <c r="AH22" s="128">
        <v>5334000</v>
      </c>
      <c r="AI22" s="128">
        <v>5334000</v>
      </c>
      <c r="AJ22" s="128">
        <v>5325000</v>
      </c>
      <c r="AK22" s="128">
        <v>5299000</v>
      </c>
      <c r="AL22" s="128">
        <v>5290000</v>
      </c>
      <c r="AM22" s="128">
        <v>5290000</v>
      </c>
      <c r="AN22" s="128">
        <v>5290000</v>
      </c>
      <c r="AO22" s="128">
        <v>5298000</v>
      </c>
      <c r="AP22" s="128">
        <v>5255000</v>
      </c>
      <c r="AQ22" s="128">
        <v>5255000</v>
      </c>
      <c r="AR22" s="128">
        <v>5298000</v>
      </c>
      <c r="AS22" s="128">
        <v>5546000</v>
      </c>
    </row>
    <row r="23" spans="1:45" x14ac:dyDescent="0.25">
      <c r="A23" s="122"/>
      <c r="B23" s="129" t="s">
        <v>537</v>
      </c>
      <c r="C23" s="130">
        <v>600</v>
      </c>
      <c r="D23" s="130">
        <v>760</v>
      </c>
      <c r="E23" s="130">
        <v>600</v>
      </c>
      <c r="F23" s="127">
        <v>7577000</v>
      </c>
      <c r="G23" s="127">
        <v>6616000</v>
      </c>
      <c r="H23" s="131"/>
      <c r="I23" s="127">
        <v>7665000</v>
      </c>
      <c r="J23" s="131"/>
      <c r="K23" s="127">
        <v>6714000</v>
      </c>
      <c r="L23" s="127">
        <v>9929000</v>
      </c>
      <c r="M23" s="127">
        <v>5708000</v>
      </c>
      <c r="N23" s="127">
        <v>5531000</v>
      </c>
      <c r="O23" s="127">
        <v>5936000</v>
      </c>
      <c r="P23" s="127">
        <v>6028000</v>
      </c>
      <c r="Q23" s="127">
        <v>6066000</v>
      </c>
      <c r="R23" s="127">
        <v>6231000</v>
      </c>
      <c r="S23" s="127">
        <v>6231000</v>
      </c>
      <c r="T23" s="127">
        <v>6019000</v>
      </c>
      <c r="U23" s="127">
        <v>6323000</v>
      </c>
      <c r="V23" s="127">
        <v>5733000</v>
      </c>
      <c r="W23" s="127">
        <v>6216000</v>
      </c>
      <c r="X23" s="127">
        <v>6338000</v>
      </c>
      <c r="Y23" s="127">
        <v>6216000</v>
      </c>
      <c r="Z23" s="127">
        <v>6255000</v>
      </c>
      <c r="AA23" s="127">
        <v>6224000</v>
      </c>
      <c r="AB23" s="127">
        <v>6294000</v>
      </c>
      <c r="AC23" s="127">
        <v>5835000</v>
      </c>
      <c r="AD23" s="127">
        <v>5835000</v>
      </c>
      <c r="AE23" s="127">
        <v>5835000</v>
      </c>
      <c r="AF23" s="127">
        <v>5835000</v>
      </c>
      <c r="AG23" s="127">
        <v>5826000</v>
      </c>
      <c r="AH23" s="127">
        <v>5879000</v>
      </c>
      <c r="AI23" s="127">
        <v>5879000</v>
      </c>
      <c r="AJ23" s="127">
        <v>5868000</v>
      </c>
      <c r="AK23" s="127">
        <v>5835000</v>
      </c>
      <c r="AL23" s="127">
        <v>5824000</v>
      </c>
      <c r="AM23" s="127">
        <v>5824000</v>
      </c>
      <c r="AN23" s="127">
        <v>5824000</v>
      </c>
      <c r="AO23" s="127">
        <v>5818000</v>
      </c>
      <c r="AP23" s="127">
        <v>5765000</v>
      </c>
      <c r="AQ23" s="127">
        <v>5765000</v>
      </c>
      <c r="AR23" s="127">
        <v>5818000</v>
      </c>
      <c r="AS23" s="127">
        <v>6132000</v>
      </c>
    </row>
    <row r="24" spans="1:45" x14ac:dyDescent="0.25">
      <c r="A24" s="122"/>
      <c r="B24" s="84" t="s">
        <v>538</v>
      </c>
      <c r="C24" s="63">
        <v>600</v>
      </c>
      <c r="D24" s="63">
        <v>760</v>
      </c>
      <c r="E24" s="63">
        <v>960</v>
      </c>
      <c r="F24" s="128">
        <v>10636000</v>
      </c>
      <c r="G24" s="128">
        <v>9098000</v>
      </c>
      <c r="H24" s="25"/>
      <c r="I24" s="128">
        <v>10777000</v>
      </c>
      <c r="J24" s="25"/>
      <c r="K24" s="128">
        <v>9246000</v>
      </c>
      <c r="L24" s="128">
        <v>14189000</v>
      </c>
      <c r="M24" s="128">
        <v>7654000</v>
      </c>
      <c r="N24" s="128">
        <v>7371000</v>
      </c>
      <c r="O24" s="128">
        <v>8029000</v>
      </c>
      <c r="P24" s="128">
        <v>8181000</v>
      </c>
      <c r="Q24" s="128">
        <v>8250000</v>
      </c>
      <c r="R24" s="128">
        <v>8519000</v>
      </c>
      <c r="S24" s="128">
        <v>8519000</v>
      </c>
      <c r="T24" s="128">
        <v>8163000</v>
      </c>
      <c r="U24" s="128">
        <v>8653000</v>
      </c>
      <c r="V24" s="128">
        <v>7704000</v>
      </c>
      <c r="W24" s="128">
        <v>8484000</v>
      </c>
      <c r="X24" s="128">
        <v>8678000</v>
      </c>
      <c r="Y24" s="128">
        <v>8484000</v>
      </c>
      <c r="Z24" s="128">
        <v>8544000</v>
      </c>
      <c r="AA24" s="128">
        <v>8494000</v>
      </c>
      <c r="AB24" s="128">
        <v>8605000</v>
      </c>
      <c r="AC24" s="128">
        <v>7858000</v>
      </c>
      <c r="AD24" s="128">
        <v>7858000</v>
      </c>
      <c r="AE24" s="128">
        <v>7858000</v>
      </c>
      <c r="AF24" s="128">
        <v>7858000</v>
      </c>
      <c r="AG24" s="128">
        <v>7845000</v>
      </c>
      <c r="AH24" s="128">
        <v>7928000</v>
      </c>
      <c r="AI24" s="128">
        <v>7928000</v>
      </c>
      <c r="AJ24" s="128">
        <v>7911000</v>
      </c>
      <c r="AK24" s="128">
        <v>7858000</v>
      </c>
      <c r="AL24" s="128">
        <v>7840000</v>
      </c>
      <c r="AM24" s="128">
        <v>7840000</v>
      </c>
      <c r="AN24" s="128">
        <v>7840000</v>
      </c>
      <c r="AO24" s="128">
        <v>7856000</v>
      </c>
      <c r="AP24" s="128">
        <v>7771000</v>
      </c>
      <c r="AQ24" s="128">
        <v>7771000</v>
      </c>
      <c r="AR24" s="128">
        <v>7856000</v>
      </c>
      <c r="AS24" s="128">
        <v>8352000</v>
      </c>
    </row>
    <row r="25" spans="1:45" x14ac:dyDescent="0.25">
      <c r="A25" s="122"/>
      <c r="B25" s="123" t="s">
        <v>539</v>
      </c>
      <c r="C25" s="51"/>
      <c r="D25" s="51"/>
      <c r="E25" s="51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</row>
    <row r="26" spans="1:45" ht="15" x14ac:dyDescent="0.2">
      <c r="A26" s="122"/>
      <c r="B26" s="124" t="s">
        <v>540</v>
      </c>
      <c r="C26" s="99"/>
      <c r="D26" s="99"/>
      <c r="E26" s="99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</row>
    <row r="27" spans="1:45" x14ac:dyDescent="0.25">
      <c r="A27" s="122"/>
      <c r="B27" s="125" t="s">
        <v>541</v>
      </c>
      <c r="C27" s="126">
        <v>600</v>
      </c>
      <c r="D27" s="126">
        <v>190</v>
      </c>
      <c r="E27" s="126">
        <v>480</v>
      </c>
      <c r="F27" s="127">
        <v>3891000</v>
      </c>
      <c r="G27" s="127">
        <v>3698000</v>
      </c>
      <c r="H27" s="131"/>
      <c r="I27" s="127">
        <v>3908000</v>
      </c>
      <c r="J27" s="131"/>
      <c r="K27" s="127">
        <v>3872000</v>
      </c>
      <c r="L27" s="127">
        <v>5081000</v>
      </c>
      <c r="M27" s="127">
        <v>3524000</v>
      </c>
      <c r="N27" s="127">
        <v>3489000</v>
      </c>
      <c r="O27" s="127">
        <v>3580000</v>
      </c>
      <c r="P27" s="127">
        <v>3602000</v>
      </c>
      <c r="Q27" s="127">
        <v>3616000</v>
      </c>
      <c r="R27" s="127">
        <v>3655000</v>
      </c>
      <c r="S27" s="127">
        <v>3655000</v>
      </c>
      <c r="T27" s="127">
        <v>3598000</v>
      </c>
      <c r="U27" s="127">
        <v>3660000</v>
      </c>
      <c r="V27" s="127">
        <v>3539000</v>
      </c>
      <c r="W27" s="127">
        <v>3641000</v>
      </c>
      <c r="X27" s="127">
        <v>3665000</v>
      </c>
      <c r="Y27" s="127">
        <v>3641000</v>
      </c>
      <c r="Z27" s="127">
        <v>3647000</v>
      </c>
      <c r="AA27" s="127">
        <v>3641000</v>
      </c>
      <c r="AB27" s="127">
        <v>3655000</v>
      </c>
      <c r="AC27" s="127">
        <v>3551000</v>
      </c>
      <c r="AD27" s="127">
        <v>3551000</v>
      </c>
      <c r="AE27" s="127">
        <v>3551000</v>
      </c>
      <c r="AF27" s="127">
        <v>3551000</v>
      </c>
      <c r="AG27" s="127">
        <v>3549000</v>
      </c>
      <c r="AH27" s="127">
        <v>3559000</v>
      </c>
      <c r="AI27" s="127">
        <v>3559000</v>
      </c>
      <c r="AJ27" s="127">
        <v>3557000</v>
      </c>
      <c r="AK27" s="127">
        <v>3551000</v>
      </c>
      <c r="AL27" s="127">
        <v>3548000</v>
      </c>
      <c r="AM27" s="127">
        <v>3548000</v>
      </c>
      <c r="AN27" s="127">
        <v>3548000</v>
      </c>
      <c r="AO27" s="127">
        <v>3569000</v>
      </c>
      <c r="AP27" s="127">
        <v>3559000</v>
      </c>
      <c r="AQ27" s="127">
        <v>3559000</v>
      </c>
      <c r="AR27" s="127">
        <v>3569000</v>
      </c>
      <c r="AS27" s="127">
        <v>3626000</v>
      </c>
    </row>
    <row r="28" spans="1:45" x14ac:dyDescent="0.25">
      <c r="A28" s="122"/>
      <c r="B28" s="84" t="s">
        <v>542</v>
      </c>
      <c r="C28" s="63">
        <v>600</v>
      </c>
      <c r="D28" s="63">
        <v>190</v>
      </c>
      <c r="E28" s="63">
        <v>600</v>
      </c>
      <c r="F28" s="128">
        <v>4208000</v>
      </c>
      <c r="G28" s="128">
        <v>3968000</v>
      </c>
      <c r="H28" s="25"/>
      <c r="I28" s="128">
        <v>4230000</v>
      </c>
      <c r="J28" s="25"/>
      <c r="K28" s="128">
        <v>4164000</v>
      </c>
      <c r="L28" s="128">
        <v>5612000</v>
      </c>
      <c r="M28" s="128">
        <v>3749000</v>
      </c>
      <c r="N28" s="128">
        <v>3705000</v>
      </c>
      <c r="O28" s="128">
        <v>3816000</v>
      </c>
      <c r="P28" s="128">
        <v>3844000</v>
      </c>
      <c r="Q28" s="128">
        <v>3861000</v>
      </c>
      <c r="R28" s="128">
        <v>3908000</v>
      </c>
      <c r="S28" s="128">
        <v>3908000</v>
      </c>
      <c r="T28" s="128">
        <v>3839000</v>
      </c>
      <c r="U28" s="128">
        <v>3917000</v>
      </c>
      <c r="V28" s="128">
        <v>3765000</v>
      </c>
      <c r="W28" s="128">
        <v>3892000</v>
      </c>
      <c r="X28" s="128">
        <v>3922000</v>
      </c>
      <c r="Y28" s="128">
        <v>3892000</v>
      </c>
      <c r="Z28" s="128">
        <v>3900000</v>
      </c>
      <c r="AA28" s="128">
        <v>3892000</v>
      </c>
      <c r="AB28" s="128">
        <v>3910000</v>
      </c>
      <c r="AC28" s="128">
        <v>3782000</v>
      </c>
      <c r="AD28" s="128">
        <v>3782000</v>
      </c>
      <c r="AE28" s="128">
        <v>3782000</v>
      </c>
      <c r="AF28" s="128">
        <v>3782000</v>
      </c>
      <c r="AG28" s="128">
        <v>3780000</v>
      </c>
      <c r="AH28" s="128">
        <v>3793000</v>
      </c>
      <c r="AI28" s="128">
        <v>3793000</v>
      </c>
      <c r="AJ28" s="128">
        <v>3790000</v>
      </c>
      <c r="AK28" s="128">
        <v>3782000</v>
      </c>
      <c r="AL28" s="128">
        <v>3779000</v>
      </c>
      <c r="AM28" s="128">
        <v>3779000</v>
      </c>
      <c r="AN28" s="128">
        <v>3779000</v>
      </c>
      <c r="AO28" s="128">
        <v>3801000</v>
      </c>
      <c r="AP28" s="128">
        <v>3788000</v>
      </c>
      <c r="AQ28" s="128">
        <v>3788000</v>
      </c>
      <c r="AR28" s="128">
        <v>3801000</v>
      </c>
      <c r="AS28" s="128">
        <v>3873000</v>
      </c>
    </row>
    <row r="29" spans="1:45" x14ac:dyDescent="0.25">
      <c r="A29" s="122"/>
      <c r="B29" s="129" t="s">
        <v>543</v>
      </c>
      <c r="C29" s="130">
        <v>600</v>
      </c>
      <c r="D29" s="130">
        <v>190</v>
      </c>
      <c r="E29" s="130">
        <v>960</v>
      </c>
      <c r="F29" s="127">
        <v>5164000</v>
      </c>
      <c r="G29" s="127">
        <v>4779000</v>
      </c>
      <c r="H29" s="131"/>
      <c r="I29" s="127">
        <v>5199000</v>
      </c>
      <c r="J29" s="131"/>
      <c r="K29" s="127">
        <v>5043000</v>
      </c>
      <c r="L29" s="127">
        <v>7209000</v>
      </c>
      <c r="M29" s="127">
        <v>4426000</v>
      </c>
      <c r="N29" s="127">
        <v>4355000</v>
      </c>
      <c r="O29" s="127">
        <v>4530000</v>
      </c>
      <c r="P29" s="127">
        <v>4572000</v>
      </c>
      <c r="Q29" s="127">
        <v>4596000</v>
      </c>
      <c r="R29" s="127">
        <v>4669000</v>
      </c>
      <c r="S29" s="127">
        <v>4669000</v>
      </c>
      <c r="T29" s="127">
        <v>4565000</v>
      </c>
      <c r="U29" s="127">
        <v>4689000</v>
      </c>
      <c r="V29" s="127">
        <v>4448000</v>
      </c>
      <c r="W29" s="127">
        <v>4649000</v>
      </c>
      <c r="X29" s="127">
        <v>4697000</v>
      </c>
      <c r="Y29" s="127">
        <v>4649000</v>
      </c>
      <c r="Z29" s="127">
        <v>4662000</v>
      </c>
      <c r="AA29" s="127">
        <v>4650000</v>
      </c>
      <c r="AB29" s="127">
        <v>4677000</v>
      </c>
      <c r="AC29" s="127">
        <v>4478000</v>
      </c>
      <c r="AD29" s="127">
        <v>4478000</v>
      </c>
      <c r="AE29" s="127">
        <v>4478000</v>
      </c>
      <c r="AF29" s="127">
        <v>4478000</v>
      </c>
      <c r="AG29" s="127">
        <v>4475000</v>
      </c>
      <c r="AH29" s="127">
        <v>4495000</v>
      </c>
      <c r="AI29" s="127">
        <v>4495000</v>
      </c>
      <c r="AJ29" s="127">
        <v>4491000</v>
      </c>
      <c r="AK29" s="127">
        <v>4478000</v>
      </c>
      <c r="AL29" s="127">
        <v>4473000</v>
      </c>
      <c r="AM29" s="127">
        <v>4473000</v>
      </c>
      <c r="AN29" s="127">
        <v>4473000</v>
      </c>
      <c r="AO29" s="127">
        <v>4500000</v>
      </c>
      <c r="AP29" s="127">
        <v>4479000</v>
      </c>
      <c r="AQ29" s="127">
        <v>4479000</v>
      </c>
      <c r="AR29" s="127">
        <v>4500000</v>
      </c>
      <c r="AS29" s="127">
        <v>4618000</v>
      </c>
    </row>
    <row r="30" spans="1:45" x14ac:dyDescent="0.25">
      <c r="A30" s="122"/>
      <c r="B30" s="123" t="s">
        <v>544</v>
      </c>
      <c r="C30" s="51"/>
      <c r="D30" s="51"/>
      <c r="E30" s="51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</row>
    <row r="31" spans="1:45" ht="15" x14ac:dyDescent="0.2">
      <c r="A31" s="122"/>
      <c r="B31" s="124" t="s">
        <v>545</v>
      </c>
      <c r="C31" s="99"/>
      <c r="D31" s="99"/>
      <c r="E31" s="99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</row>
    <row r="32" spans="1:45" x14ac:dyDescent="0.25">
      <c r="A32" s="122"/>
      <c r="B32" s="125" t="s">
        <v>546</v>
      </c>
      <c r="C32" s="126">
        <v>600</v>
      </c>
      <c r="D32" s="126">
        <v>380</v>
      </c>
      <c r="E32" s="126">
        <v>480</v>
      </c>
      <c r="F32" s="127">
        <v>5888000</v>
      </c>
      <c r="G32" s="127">
        <v>5503000</v>
      </c>
      <c r="H32" s="131"/>
      <c r="I32" s="127">
        <v>5923000</v>
      </c>
      <c r="J32" s="131"/>
      <c r="K32" s="127">
        <v>5746000</v>
      </c>
      <c r="L32" s="127">
        <v>7713000</v>
      </c>
      <c r="M32" s="127">
        <v>5153000</v>
      </c>
      <c r="N32" s="127">
        <v>5082000</v>
      </c>
      <c r="O32" s="127">
        <v>5259000</v>
      </c>
      <c r="P32" s="127">
        <v>5303000</v>
      </c>
      <c r="Q32" s="127">
        <v>5329000</v>
      </c>
      <c r="R32" s="127">
        <v>5404000</v>
      </c>
      <c r="S32" s="127">
        <v>5404000</v>
      </c>
      <c r="T32" s="127">
        <v>5295000</v>
      </c>
      <c r="U32" s="127">
        <v>5419000</v>
      </c>
      <c r="V32" s="127">
        <v>5178000</v>
      </c>
      <c r="W32" s="127">
        <v>5380000</v>
      </c>
      <c r="X32" s="127">
        <v>5429000</v>
      </c>
      <c r="Y32" s="127">
        <v>5380000</v>
      </c>
      <c r="Z32" s="127">
        <v>5393000</v>
      </c>
      <c r="AA32" s="127">
        <v>5380000</v>
      </c>
      <c r="AB32" s="127">
        <v>5408000</v>
      </c>
      <c r="AC32" s="127">
        <v>5205000</v>
      </c>
      <c r="AD32" s="127">
        <v>5205000</v>
      </c>
      <c r="AE32" s="127">
        <v>5205000</v>
      </c>
      <c r="AF32" s="127">
        <v>5205000</v>
      </c>
      <c r="AG32" s="127">
        <v>5201000</v>
      </c>
      <c r="AH32" s="127">
        <v>5222000</v>
      </c>
      <c r="AI32" s="127">
        <v>5222000</v>
      </c>
      <c r="AJ32" s="127">
        <v>5218000</v>
      </c>
      <c r="AK32" s="127">
        <v>5205000</v>
      </c>
      <c r="AL32" s="127">
        <v>5200000</v>
      </c>
      <c r="AM32" s="127">
        <v>5200000</v>
      </c>
      <c r="AN32" s="127">
        <v>5200000</v>
      </c>
      <c r="AO32" s="127">
        <v>5234000</v>
      </c>
      <c r="AP32" s="127">
        <v>5213000</v>
      </c>
      <c r="AQ32" s="127">
        <v>5213000</v>
      </c>
      <c r="AR32" s="127">
        <v>5234000</v>
      </c>
      <c r="AS32" s="127">
        <v>5350000</v>
      </c>
    </row>
    <row r="33" spans="1:45" x14ac:dyDescent="0.25">
      <c r="A33" s="122"/>
      <c r="B33" s="84" t="s">
        <v>547</v>
      </c>
      <c r="C33" s="63">
        <v>600</v>
      </c>
      <c r="D33" s="63">
        <v>380</v>
      </c>
      <c r="E33" s="63">
        <v>600</v>
      </c>
      <c r="F33" s="128">
        <v>6405000</v>
      </c>
      <c r="G33" s="128">
        <v>5924000</v>
      </c>
      <c r="H33" s="25"/>
      <c r="I33" s="128">
        <v>6449000</v>
      </c>
      <c r="J33" s="25"/>
      <c r="K33" s="128">
        <v>6147000</v>
      </c>
      <c r="L33" s="128">
        <v>8353000</v>
      </c>
      <c r="M33" s="128">
        <v>5481000</v>
      </c>
      <c r="N33" s="128">
        <v>5392000</v>
      </c>
      <c r="O33" s="128">
        <v>5608000</v>
      </c>
      <c r="P33" s="128">
        <v>5660000</v>
      </c>
      <c r="Q33" s="128">
        <v>5688000</v>
      </c>
      <c r="R33" s="128">
        <v>5777000</v>
      </c>
      <c r="S33" s="128">
        <v>5777000</v>
      </c>
      <c r="T33" s="128">
        <v>5651000</v>
      </c>
      <c r="U33" s="128">
        <v>5806000</v>
      </c>
      <c r="V33" s="128">
        <v>5506000</v>
      </c>
      <c r="W33" s="128">
        <v>5755000</v>
      </c>
      <c r="X33" s="128">
        <v>5816000</v>
      </c>
      <c r="Y33" s="128">
        <v>5755000</v>
      </c>
      <c r="Z33" s="128">
        <v>5772000</v>
      </c>
      <c r="AA33" s="128">
        <v>5756000</v>
      </c>
      <c r="AB33" s="128">
        <v>5791000</v>
      </c>
      <c r="AC33" s="128">
        <v>5545000</v>
      </c>
      <c r="AD33" s="128">
        <v>5545000</v>
      </c>
      <c r="AE33" s="128">
        <v>5545000</v>
      </c>
      <c r="AF33" s="128">
        <v>5545000</v>
      </c>
      <c r="AG33" s="128">
        <v>5541000</v>
      </c>
      <c r="AH33" s="128">
        <v>5567000</v>
      </c>
      <c r="AI33" s="128">
        <v>5567000</v>
      </c>
      <c r="AJ33" s="128">
        <v>5562000</v>
      </c>
      <c r="AK33" s="128">
        <v>5545000</v>
      </c>
      <c r="AL33" s="128">
        <v>5540000</v>
      </c>
      <c r="AM33" s="128">
        <v>5540000</v>
      </c>
      <c r="AN33" s="128">
        <v>5540000</v>
      </c>
      <c r="AO33" s="128">
        <v>5567000</v>
      </c>
      <c r="AP33" s="128">
        <v>5540000</v>
      </c>
      <c r="AQ33" s="128">
        <v>5540000</v>
      </c>
      <c r="AR33" s="128">
        <v>5567000</v>
      </c>
      <c r="AS33" s="128">
        <v>5716000</v>
      </c>
    </row>
    <row r="34" spans="1:45" x14ac:dyDescent="0.25">
      <c r="A34" s="122"/>
      <c r="B34" s="129" t="s">
        <v>548</v>
      </c>
      <c r="C34" s="130">
        <v>600</v>
      </c>
      <c r="D34" s="130">
        <v>380</v>
      </c>
      <c r="E34" s="130">
        <v>960</v>
      </c>
      <c r="F34" s="127">
        <v>7956000</v>
      </c>
      <c r="G34" s="127">
        <v>7187000</v>
      </c>
      <c r="H34" s="131"/>
      <c r="I34" s="127">
        <v>8026000</v>
      </c>
      <c r="J34" s="131"/>
      <c r="K34" s="127">
        <v>7352000</v>
      </c>
      <c r="L34" s="127">
        <v>10275000</v>
      </c>
      <c r="M34" s="127">
        <v>6465000</v>
      </c>
      <c r="N34" s="127">
        <v>6323000</v>
      </c>
      <c r="O34" s="127">
        <v>6652000</v>
      </c>
      <c r="P34" s="127">
        <v>6728000</v>
      </c>
      <c r="Q34" s="127">
        <v>6763000</v>
      </c>
      <c r="R34" s="127">
        <v>6897000</v>
      </c>
      <c r="S34" s="127">
        <v>6897000</v>
      </c>
      <c r="T34" s="127">
        <v>6719000</v>
      </c>
      <c r="U34" s="127">
        <v>6964000</v>
      </c>
      <c r="V34" s="127">
        <v>6490000</v>
      </c>
      <c r="W34" s="127">
        <v>6880000</v>
      </c>
      <c r="X34" s="127">
        <v>6977000</v>
      </c>
      <c r="Y34" s="127">
        <v>6880000</v>
      </c>
      <c r="Z34" s="127">
        <v>6910000</v>
      </c>
      <c r="AA34" s="127">
        <v>6885000</v>
      </c>
      <c r="AB34" s="127">
        <v>6940000</v>
      </c>
      <c r="AC34" s="127">
        <v>6567000</v>
      </c>
      <c r="AD34" s="127">
        <v>6567000</v>
      </c>
      <c r="AE34" s="127">
        <v>6567000</v>
      </c>
      <c r="AF34" s="127">
        <v>6567000</v>
      </c>
      <c r="AG34" s="127">
        <v>6560000</v>
      </c>
      <c r="AH34" s="127">
        <v>6602000</v>
      </c>
      <c r="AI34" s="127">
        <v>6602000</v>
      </c>
      <c r="AJ34" s="127">
        <v>6593000</v>
      </c>
      <c r="AK34" s="127">
        <v>6567000</v>
      </c>
      <c r="AL34" s="127">
        <v>6558000</v>
      </c>
      <c r="AM34" s="127">
        <v>6558000</v>
      </c>
      <c r="AN34" s="127">
        <v>6558000</v>
      </c>
      <c r="AO34" s="127">
        <v>6566000</v>
      </c>
      <c r="AP34" s="127">
        <v>6523000</v>
      </c>
      <c r="AQ34" s="127">
        <v>6523000</v>
      </c>
      <c r="AR34" s="127">
        <v>6566000</v>
      </c>
      <c r="AS34" s="127">
        <v>6814000</v>
      </c>
    </row>
    <row r="35" spans="1:45" x14ac:dyDescent="0.25">
      <c r="A35" s="122"/>
      <c r="B35" s="123" t="s">
        <v>549</v>
      </c>
      <c r="C35" s="51"/>
      <c r="D35" s="51"/>
      <c r="E35" s="51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</row>
    <row r="36" spans="1:45" ht="15" x14ac:dyDescent="0.2">
      <c r="A36" s="122"/>
      <c r="B36" s="124" t="s">
        <v>550</v>
      </c>
      <c r="C36" s="99"/>
      <c r="D36" s="99"/>
      <c r="E36" s="99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</row>
    <row r="37" spans="1:45" x14ac:dyDescent="0.25">
      <c r="A37" s="122"/>
      <c r="B37" s="125" t="s">
        <v>551</v>
      </c>
      <c r="C37" s="126">
        <v>600</v>
      </c>
      <c r="D37" s="126">
        <v>760</v>
      </c>
      <c r="E37" s="126">
        <v>480</v>
      </c>
      <c r="F37" s="127">
        <v>10791000</v>
      </c>
      <c r="G37" s="127">
        <v>10022000</v>
      </c>
      <c r="H37" s="131"/>
      <c r="I37" s="127">
        <v>10861000</v>
      </c>
      <c r="J37" s="131"/>
      <c r="K37" s="127">
        <v>10945000</v>
      </c>
      <c r="L37" s="127">
        <v>15941000</v>
      </c>
      <c r="M37" s="127">
        <v>9349000</v>
      </c>
      <c r="N37" s="127">
        <v>9208000</v>
      </c>
      <c r="O37" s="127">
        <v>9599000</v>
      </c>
      <c r="P37" s="127">
        <v>9703000</v>
      </c>
      <c r="Q37" s="127">
        <v>9778000</v>
      </c>
      <c r="R37" s="127">
        <v>9949000</v>
      </c>
      <c r="S37" s="127">
        <v>9949000</v>
      </c>
      <c r="T37" s="127">
        <v>9675000</v>
      </c>
      <c r="U37" s="127">
        <v>9930000</v>
      </c>
      <c r="V37" s="127">
        <v>9434000</v>
      </c>
      <c r="W37" s="127">
        <v>9859000</v>
      </c>
      <c r="X37" s="127">
        <v>9956000</v>
      </c>
      <c r="Y37" s="127">
        <v>9859000</v>
      </c>
      <c r="Z37" s="127">
        <v>9878000</v>
      </c>
      <c r="AA37" s="127">
        <v>9853000</v>
      </c>
      <c r="AB37" s="127">
        <v>9909000</v>
      </c>
      <c r="AC37" s="127">
        <v>9456000</v>
      </c>
      <c r="AD37" s="127">
        <v>9456000</v>
      </c>
      <c r="AE37" s="127">
        <v>9456000</v>
      </c>
      <c r="AF37" s="127">
        <v>9456000</v>
      </c>
      <c r="AG37" s="127">
        <v>9449000</v>
      </c>
      <c r="AH37" s="127">
        <v>9491000</v>
      </c>
      <c r="AI37" s="127">
        <v>9491000</v>
      </c>
      <c r="AJ37" s="127">
        <v>9482000</v>
      </c>
      <c r="AK37" s="127">
        <v>9456000</v>
      </c>
      <c r="AL37" s="127">
        <v>9447000</v>
      </c>
      <c r="AM37" s="127">
        <v>9447000</v>
      </c>
      <c r="AN37" s="127">
        <v>9447000</v>
      </c>
      <c r="AO37" s="127">
        <v>9596000</v>
      </c>
      <c r="AP37" s="127">
        <v>9554000</v>
      </c>
      <c r="AQ37" s="127">
        <v>9554000</v>
      </c>
      <c r="AR37" s="127">
        <v>9596000</v>
      </c>
      <c r="AS37" s="127">
        <v>9807000</v>
      </c>
    </row>
    <row r="38" spans="1:45" x14ac:dyDescent="0.25">
      <c r="A38" s="122"/>
      <c r="B38" s="84" t="s">
        <v>552</v>
      </c>
      <c r="C38" s="63">
        <v>600</v>
      </c>
      <c r="D38" s="63">
        <v>760</v>
      </c>
      <c r="E38" s="63">
        <v>600</v>
      </c>
      <c r="F38" s="128">
        <v>11656000</v>
      </c>
      <c r="G38" s="128">
        <v>10695000</v>
      </c>
      <c r="H38" s="25"/>
      <c r="I38" s="128">
        <v>11744000</v>
      </c>
      <c r="J38" s="25"/>
      <c r="K38" s="128">
        <v>11514000</v>
      </c>
      <c r="L38" s="128">
        <v>16749000</v>
      </c>
      <c r="M38" s="128">
        <v>9833000</v>
      </c>
      <c r="N38" s="128">
        <v>9656000</v>
      </c>
      <c r="O38" s="128">
        <v>10119000</v>
      </c>
      <c r="P38" s="128">
        <v>10237000</v>
      </c>
      <c r="Q38" s="128">
        <v>10314000</v>
      </c>
      <c r="R38" s="128">
        <v>10512000</v>
      </c>
      <c r="S38" s="128">
        <v>10512000</v>
      </c>
      <c r="T38" s="128">
        <v>10210000</v>
      </c>
      <c r="U38" s="128">
        <v>10525000</v>
      </c>
      <c r="V38" s="128">
        <v>9914000</v>
      </c>
      <c r="W38" s="128">
        <v>10430000</v>
      </c>
      <c r="X38" s="128">
        <v>10552000</v>
      </c>
      <c r="Y38" s="128">
        <v>10430000</v>
      </c>
      <c r="Z38" s="128">
        <v>10459000</v>
      </c>
      <c r="AA38" s="128">
        <v>10428000</v>
      </c>
      <c r="AB38" s="128">
        <v>10497000</v>
      </c>
      <c r="AC38" s="128">
        <v>9964000</v>
      </c>
      <c r="AD38" s="128">
        <v>9964000</v>
      </c>
      <c r="AE38" s="128">
        <v>9964000</v>
      </c>
      <c r="AF38" s="128">
        <v>9964000</v>
      </c>
      <c r="AG38" s="128">
        <v>9956000</v>
      </c>
      <c r="AH38" s="128">
        <v>10009000</v>
      </c>
      <c r="AI38" s="128">
        <v>10009000</v>
      </c>
      <c r="AJ38" s="128">
        <v>9997000</v>
      </c>
      <c r="AK38" s="128">
        <v>9964000</v>
      </c>
      <c r="AL38" s="128">
        <v>9953000</v>
      </c>
      <c r="AM38" s="128">
        <v>9953000</v>
      </c>
      <c r="AN38" s="128">
        <v>9953000</v>
      </c>
      <c r="AO38" s="128">
        <v>10080000</v>
      </c>
      <c r="AP38" s="128">
        <v>10027000</v>
      </c>
      <c r="AQ38" s="128">
        <v>10027000</v>
      </c>
      <c r="AR38" s="128">
        <v>10080000</v>
      </c>
      <c r="AS38" s="128">
        <v>10359000</v>
      </c>
    </row>
    <row r="39" spans="1:45" x14ac:dyDescent="0.25">
      <c r="A39" s="132"/>
      <c r="B39" s="129" t="s">
        <v>553</v>
      </c>
      <c r="C39" s="130">
        <v>600</v>
      </c>
      <c r="D39" s="130">
        <v>760</v>
      </c>
      <c r="E39" s="130">
        <v>960</v>
      </c>
      <c r="F39" s="127">
        <v>14248000</v>
      </c>
      <c r="G39" s="127">
        <v>12710000</v>
      </c>
      <c r="H39" s="131"/>
      <c r="I39" s="127">
        <v>14389000</v>
      </c>
      <c r="J39" s="131"/>
      <c r="K39" s="127">
        <v>13219000</v>
      </c>
      <c r="L39" s="127">
        <v>19172000</v>
      </c>
      <c r="M39" s="127">
        <v>11282000</v>
      </c>
      <c r="N39" s="127">
        <v>10998000</v>
      </c>
      <c r="O39" s="127">
        <v>11676000</v>
      </c>
      <c r="P39" s="127">
        <v>11837000</v>
      </c>
      <c r="Q39" s="127">
        <v>11918000</v>
      </c>
      <c r="R39" s="127">
        <v>12198000</v>
      </c>
      <c r="S39" s="127">
        <v>12198000</v>
      </c>
      <c r="T39" s="127">
        <v>11813000</v>
      </c>
      <c r="U39" s="127">
        <v>12306000</v>
      </c>
      <c r="V39" s="127">
        <v>11350000</v>
      </c>
      <c r="W39" s="127">
        <v>12141000</v>
      </c>
      <c r="X39" s="127">
        <v>12335000</v>
      </c>
      <c r="Y39" s="127">
        <v>12141000</v>
      </c>
      <c r="Z39" s="127">
        <v>12197000</v>
      </c>
      <c r="AA39" s="127">
        <v>12148000</v>
      </c>
      <c r="AB39" s="127">
        <v>12259000</v>
      </c>
      <c r="AC39" s="127">
        <v>11487000</v>
      </c>
      <c r="AD39" s="127">
        <v>11487000</v>
      </c>
      <c r="AE39" s="127">
        <v>11487000</v>
      </c>
      <c r="AF39" s="127">
        <v>11487000</v>
      </c>
      <c r="AG39" s="127">
        <v>11474000</v>
      </c>
      <c r="AH39" s="127">
        <v>11557000</v>
      </c>
      <c r="AI39" s="127">
        <v>11557000</v>
      </c>
      <c r="AJ39" s="127">
        <v>11540000</v>
      </c>
      <c r="AK39" s="127">
        <v>11487000</v>
      </c>
      <c r="AL39" s="127">
        <v>11469000</v>
      </c>
      <c r="AM39" s="127">
        <v>11469000</v>
      </c>
      <c r="AN39" s="127">
        <v>11469000</v>
      </c>
      <c r="AO39" s="127">
        <v>11529000</v>
      </c>
      <c r="AP39" s="127">
        <v>11444000</v>
      </c>
      <c r="AQ39" s="127">
        <v>11444000</v>
      </c>
      <c r="AR39" s="127">
        <v>11529000</v>
      </c>
      <c r="AS39" s="127">
        <v>12013000</v>
      </c>
    </row>
    <row r="40" spans="1:45" ht="19.5" x14ac:dyDescent="0.2">
      <c r="A40" s="133"/>
      <c r="B40" s="134" t="s">
        <v>554</v>
      </c>
      <c r="C40" s="135"/>
      <c r="D40" s="135"/>
      <c r="E40" s="135"/>
      <c r="F40" s="136"/>
      <c r="G40" s="13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25">
      <c r="A41" s="138"/>
      <c r="B41" s="139" t="s">
        <v>554</v>
      </c>
      <c r="C41" s="140" t="s">
        <v>517</v>
      </c>
      <c r="D41" s="140" t="s">
        <v>518</v>
      </c>
      <c r="E41" s="114" t="s">
        <v>519</v>
      </c>
      <c r="F41" s="141" t="s">
        <v>555</v>
      </c>
      <c r="G41" s="142" t="s">
        <v>556</v>
      </c>
      <c r="H41" s="11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25">
      <c r="A42" s="138"/>
      <c r="B42" s="143" t="s">
        <v>557</v>
      </c>
      <c r="C42" s="144">
        <v>500</v>
      </c>
      <c r="D42" s="144">
        <v>180</v>
      </c>
      <c r="E42" s="145">
        <v>480</v>
      </c>
      <c r="F42" s="146">
        <v>2146000</v>
      </c>
      <c r="G42" s="147">
        <v>2663000</v>
      </c>
      <c r="H42" s="112"/>
      <c r="I42" s="11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25">
      <c r="A43" s="138"/>
      <c r="B43" s="148" t="s">
        <v>558</v>
      </c>
      <c r="C43" s="63">
        <v>500</v>
      </c>
      <c r="D43" s="63">
        <v>180</v>
      </c>
      <c r="E43" s="149">
        <v>500</v>
      </c>
      <c r="F43" s="150">
        <v>2177000</v>
      </c>
      <c r="G43" s="151">
        <v>2694000</v>
      </c>
      <c r="H43" s="112"/>
      <c r="I43" s="11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25">
      <c r="A44" s="138"/>
      <c r="B44" s="317" t="e">
        <f ca="1">_xludf.image("https://lh3.google.com/u/0/d/12LDpXoULkXf1jGBe_bm5yM8Q9pUisCvw",1)</f>
        <v>#NAME?</v>
      </c>
      <c r="C44" s="153">
        <v>500</v>
      </c>
      <c r="D44" s="153">
        <v>180</v>
      </c>
      <c r="E44" s="154">
        <v>600</v>
      </c>
      <c r="F44" s="155">
        <v>2333000</v>
      </c>
      <c r="G44" s="156">
        <v>2850000</v>
      </c>
      <c r="H44" s="112"/>
      <c r="I44" s="11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25">
      <c r="A45" s="138"/>
      <c r="B45" s="318"/>
      <c r="C45" s="63">
        <v>500</v>
      </c>
      <c r="D45" s="63">
        <v>180</v>
      </c>
      <c r="E45" s="149">
        <v>960</v>
      </c>
      <c r="F45" s="150">
        <v>2893000</v>
      </c>
      <c r="G45" s="151">
        <v>3410000</v>
      </c>
      <c r="H45" s="112"/>
      <c r="I45" s="11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25">
      <c r="A46" s="138"/>
      <c r="B46" s="318"/>
      <c r="C46" s="153">
        <v>500</v>
      </c>
      <c r="D46" s="153">
        <v>180</v>
      </c>
      <c r="E46" s="154">
        <v>1000</v>
      </c>
      <c r="F46" s="155">
        <v>2956000</v>
      </c>
      <c r="G46" s="156">
        <v>3473000</v>
      </c>
      <c r="H46" s="112"/>
      <c r="I46" s="11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25">
      <c r="A47" s="138"/>
      <c r="B47" s="318"/>
      <c r="C47" s="63">
        <v>500</v>
      </c>
      <c r="D47" s="63">
        <v>180</v>
      </c>
      <c r="E47" s="149">
        <v>1100</v>
      </c>
      <c r="F47" s="150">
        <v>3112000</v>
      </c>
      <c r="G47" s="151">
        <v>3629000</v>
      </c>
      <c r="H47" s="112"/>
      <c r="I47" s="11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25">
      <c r="A48" s="138"/>
      <c r="B48" s="277"/>
      <c r="C48" s="153">
        <v>500</v>
      </c>
      <c r="D48" s="153">
        <v>180</v>
      </c>
      <c r="E48" s="154">
        <v>1200</v>
      </c>
      <c r="F48" s="157">
        <v>3267000</v>
      </c>
      <c r="G48" s="158">
        <v>3784000</v>
      </c>
      <c r="H48" s="112"/>
      <c r="I48" s="11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ht="12.75" x14ac:dyDescent="0.2">
      <c r="A49" s="138"/>
      <c r="B49" s="152"/>
      <c r="C49" s="51"/>
      <c r="D49" s="51"/>
      <c r="E49" s="61"/>
      <c r="F49" s="159"/>
      <c r="G49" s="99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25">
      <c r="A50" s="138"/>
      <c r="B50" s="139" t="s">
        <v>554</v>
      </c>
      <c r="C50" s="144">
        <v>500</v>
      </c>
      <c r="D50" s="144">
        <v>280</v>
      </c>
      <c r="E50" s="145">
        <v>480</v>
      </c>
      <c r="F50" s="146">
        <v>2318000</v>
      </c>
      <c r="G50" s="147">
        <v>2835000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25">
      <c r="A51" s="138"/>
      <c r="B51" s="143" t="s">
        <v>559</v>
      </c>
      <c r="C51" s="63">
        <v>500</v>
      </c>
      <c r="D51" s="63">
        <v>280</v>
      </c>
      <c r="E51" s="149">
        <v>500</v>
      </c>
      <c r="F51" s="150">
        <v>2350000</v>
      </c>
      <c r="G51" s="151">
        <v>2867000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25">
      <c r="A52" s="138"/>
      <c r="B52" s="148" t="s">
        <v>558</v>
      </c>
      <c r="C52" s="153">
        <v>500</v>
      </c>
      <c r="D52" s="153">
        <v>280</v>
      </c>
      <c r="E52" s="154">
        <v>600</v>
      </c>
      <c r="F52" s="155">
        <v>2509000</v>
      </c>
      <c r="G52" s="156">
        <v>3026000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25">
      <c r="A53" s="138"/>
      <c r="B53" s="317" t="e">
        <f ca="1">_xludf.image("https://lh3.google.com/u/0/d/12LDpXoULkXf1jGBe_bm5yM8Q9pUisCvw",1)</f>
        <v>#NAME?</v>
      </c>
      <c r="C53" s="63">
        <v>500</v>
      </c>
      <c r="D53" s="63">
        <v>280</v>
      </c>
      <c r="E53" s="149">
        <v>960</v>
      </c>
      <c r="F53" s="150">
        <v>3083000</v>
      </c>
      <c r="G53" s="151">
        <v>3600000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25">
      <c r="A54" s="138"/>
      <c r="B54" s="318"/>
      <c r="C54" s="153">
        <v>500</v>
      </c>
      <c r="D54" s="153">
        <v>280</v>
      </c>
      <c r="E54" s="154">
        <v>1000</v>
      </c>
      <c r="F54" s="155">
        <v>3147000</v>
      </c>
      <c r="G54" s="156">
        <v>3664000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25">
      <c r="A55" s="138"/>
      <c r="B55" s="318"/>
      <c r="C55" s="63">
        <v>500</v>
      </c>
      <c r="D55" s="63">
        <v>280</v>
      </c>
      <c r="E55" s="149">
        <v>1100</v>
      </c>
      <c r="F55" s="150">
        <v>3306000</v>
      </c>
      <c r="G55" s="151">
        <v>3823000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25">
      <c r="A56" s="138"/>
      <c r="B56" s="318"/>
      <c r="C56" s="153">
        <v>500</v>
      </c>
      <c r="D56" s="153">
        <v>280</v>
      </c>
      <c r="E56" s="154">
        <v>1200</v>
      </c>
      <c r="F56" s="157">
        <v>3465000</v>
      </c>
      <c r="G56" s="158">
        <v>3982000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ht="12.75" x14ac:dyDescent="0.2">
      <c r="A57" s="138"/>
      <c r="B57" s="277"/>
      <c r="C57" s="51"/>
      <c r="D57" s="51"/>
      <c r="E57" s="61"/>
      <c r="F57" s="159"/>
      <c r="G57" s="99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x14ac:dyDescent="0.25">
      <c r="A58" s="138"/>
      <c r="B58" s="139" t="s">
        <v>554</v>
      </c>
      <c r="C58" s="144">
        <v>500</v>
      </c>
      <c r="D58" s="144">
        <v>360</v>
      </c>
      <c r="E58" s="145">
        <v>480</v>
      </c>
      <c r="F58" s="146">
        <v>3735000</v>
      </c>
      <c r="G58" s="147">
        <v>4769000</v>
      </c>
      <c r="H58" s="112"/>
      <c r="I58" s="11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x14ac:dyDescent="0.25">
      <c r="A59" s="138"/>
      <c r="B59" s="143" t="s">
        <v>560</v>
      </c>
      <c r="C59" s="63">
        <v>500</v>
      </c>
      <c r="D59" s="63">
        <v>360</v>
      </c>
      <c r="E59" s="149">
        <v>500</v>
      </c>
      <c r="F59" s="150">
        <v>3779000</v>
      </c>
      <c r="G59" s="151">
        <v>4813000</v>
      </c>
      <c r="H59" s="112"/>
      <c r="I59" s="11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25">
      <c r="A60" s="138"/>
      <c r="B60" s="148" t="s">
        <v>558</v>
      </c>
      <c r="C60" s="153">
        <v>500</v>
      </c>
      <c r="D60" s="153">
        <v>360</v>
      </c>
      <c r="E60" s="154">
        <v>600</v>
      </c>
      <c r="F60" s="155">
        <v>3999000</v>
      </c>
      <c r="G60" s="156">
        <v>5033000</v>
      </c>
      <c r="H60" s="112"/>
      <c r="I60" s="11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25">
      <c r="A61" s="138"/>
      <c r="B61" s="317" t="e">
        <f ca="1">_xludf.image("https://lh3.google.com/u/0/d/1XQLuLGIvDqNLNgqA_7ANQUmUhW9BwVpf",1)</f>
        <v>#NAME?</v>
      </c>
      <c r="C61" s="63">
        <v>500</v>
      </c>
      <c r="D61" s="63">
        <v>360</v>
      </c>
      <c r="E61" s="149">
        <v>960</v>
      </c>
      <c r="F61" s="150">
        <v>4791000</v>
      </c>
      <c r="G61" s="151">
        <v>5825000</v>
      </c>
      <c r="H61" s="112"/>
      <c r="I61" s="11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x14ac:dyDescent="0.25">
      <c r="A62" s="138"/>
      <c r="B62" s="318"/>
      <c r="C62" s="153">
        <v>500</v>
      </c>
      <c r="D62" s="153">
        <v>360</v>
      </c>
      <c r="E62" s="154">
        <v>1000</v>
      </c>
      <c r="F62" s="155">
        <v>4879000</v>
      </c>
      <c r="G62" s="156">
        <v>5913000</v>
      </c>
      <c r="H62" s="112"/>
      <c r="I62" s="11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x14ac:dyDescent="0.25">
      <c r="A63" s="138"/>
      <c r="B63" s="318"/>
      <c r="C63" s="63">
        <v>500</v>
      </c>
      <c r="D63" s="63">
        <v>360</v>
      </c>
      <c r="E63" s="149">
        <v>1100</v>
      </c>
      <c r="F63" s="150">
        <v>5100000</v>
      </c>
      <c r="G63" s="151">
        <v>6134000</v>
      </c>
      <c r="H63" s="112"/>
      <c r="I63" s="11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25">
      <c r="A64" s="138"/>
      <c r="B64" s="277"/>
      <c r="C64" s="153">
        <v>500</v>
      </c>
      <c r="D64" s="153">
        <v>360</v>
      </c>
      <c r="E64" s="154">
        <v>1200</v>
      </c>
      <c r="F64" s="157">
        <v>5320000</v>
      </c>
      <c r="G64" s="158">
        <v>6354000</v>
      </c>
      <c r="H64" s="112"/>
      <c r="I64" s="11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ht="12.75" x14ac:dyDescent="0.2">
      <c r="A65" s="138"/>
      <c r="B65" s="152"/>
      <c r="C65" s="51"/>
      <c r="D65" s="51"/>
      <c r="E65" s="61"/>
      <c r="F65" s="159"/>
      <c r="G65" s="99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 x14ac:dyDescent="0.25">
      <c r="A66" s="138"/>
      <c r="B66" s="139" t="s">
        <v>554</v>
      </c>
      <c r="C66" s="144">
        <v>500</v>
      </c>
      <c r="D66" s="144">
        <v>560</v>
      </c>
      <c r="E66" s="145">
        <v>480</v>
      </c>
      <c r="F66" s="146">
        <v>4080000</v>
      </c>
      <c r="G66" s="147">
        <v>5114000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x14ac:dyDescent="0.25">
      <c r="A67" s="138"/>
      <c r="B67" s="143" t="s">
        <v>561</v>
      </c>
      <c r="C67" s="63">
        <v>500</v>
      </c>
      <c r="D67" s="63">
        <v>560</v>
      </c>
      <c r="E67" s="149">
        <v>500</v>
      </c>
      <c r="F67" s="150">
        <v>4125000</v>
      </c>
      <c r="G67" s="151">
        <v>5159000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x14ac:dyDescent="0.25">
      <c r="A68" s="138"/>
      <c r="B68" s="148" t="s">
        <v>558</v>
      </c>
      <c r="C68" s="153">
        <v>500</v>
      </c>
      <c r="D68" s="153">
        <v>560</v>
      </c>
      <c r="E68" s="154">
        <v>600</v>
      </c>
      <c r="F68" s="155">
        <v>4352000</v>
      </c>
      <c r="G68" s="156">
        <v>5386000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 spans="1:45" x14ac:dyDescent="0.25">
      <c r="A69" s="138"/>
      <c r="B69" s="317" t="e">
        <f ca="1">_xludf.image("https://lh3.google.com/u/0/d/1XQLuLGIvDqNLNgqA_7ANQUmUhW9BwVpf",1)</f>
        <v>#NAME?</v>
      </c>
      <c r="C69" s="63">
        <v>500</v>
      </c>
      <c r="D69" s="63">
        <v>560</v>
      </c>
      <c r="E69" s="149">
        <v>960</v>
      </c>
      <c r="F69" s="150">
        <v>5171000</v>
      </c>
      <c r="G69" s="151">
        <v>6205000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1:45" x14ac:dyDescent="0.25">
      <c r="A70" s="138"/>
      <c r="B70" s="318"/>
      <c r="C70" s="153">
        <v>500</v>
      </c>
      <c r="D70" s="153">
        <v>560</v>
      </c>
      <c r="E70" s="154">
        <v>1000</v>
      </c>
      <c r="F70" s="155">
        <v>5261000</v>
      </c>
      <c r="G70" s="156">
        <v>6295000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 spans="1:45" x14ac:dyDescent="0.25">
      <c r="A71" s="138"/>
      <c r="B71" s="318"/>
      <c r="C71" s="63">
        <v>500</v>
      </c>
      <c r="D71" s="63">
        <v>560</v>
      </c>
      <c r="E71" s="149">
        <v>1100</v>
      </c>
      <c r="F71" s="150">
        <v>5489000</v>
      </c>
      <c r="G71" s="151">
        <v>6523000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spans="1:45" x14ac:dyDescent="0.25">
      <c r="A72" s="138"/>
      <c r="B72" s="277"/>
      <c r="C72" s="153">
        <v>500</v>
      </c>
      <c r="D72" s="153">
        <v>560</v>
      </c>
      <c r="E72" s="154">
        <v>1200</v>
      </c>
      <c r="F72" s="157">
        <v>5716000</v>
      </c>
      <c r="G72" s="158">
        <v>6750000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spans="1:45" ht="12.75" x14ac:dyDescent="0.2">
      <c r="A73" s="138"/>
      <c r="B73" s="160"/>
      <c r="C73" s="99"/>
      <c r="D73" s="99"/>
      <c r="E73" s="3"/>
      <c r="F73" s="159"/>
      <c r="G73" s="99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 spans="1:45" x14ac:dyDescent="0.25">
      <c r="A74" s="138"/>
      <c r="B74" s="139" t="s">
        <v>554</v>
      </c>
      <c r="C74" s="144">
        <v>500</v>
      </c>
      <c r="D74" s="144">
        <v>540</v>
      </c>
      <c r="E74" s="145">
        <v>480</v>
      </c>
      <c r="F74" s="146">
        <v>5323000</v>
      </c>
      <c r="G74" s="147">
        <v>6874000</v>
      </c>
      <c r="H74" s="112"/>
      <c r="I74" s="11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 x14ac:dyDescent="0.25">
      <c r="A75" s="138"/>
      <c r="B75" s="143" t="s">
        <v>562</v>
      </c>
      <c r="C75" s="63">
        <v>500</v>
      </c>
      <c r="D75" s="63">
        <v>540</v>
      </c>
      <c r="E75" s="149">
        <v>500</v>
      </c>
      <c r="F75" s="150">
        <v>5380000</v>
      </c>
      <c r="G75" s="151">
        <v>6931000</v>
      </c>
      <c r="H75" s="112"/>
      <c r="I75" s="11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spans="1:45" x14ac:dyDescent="0.25">
      <c r="A76" s="138"/>
      <c r="B76" s="148" t="s">
        <v>558</v>
      </c>
      <c r="C76" s="153">
        <v>500</v>
      </c>
      <c r="D76" s="153">
        <v>540</v>
      </c>
      <c r="E76" s="154">
        <v>600</v>
      </c>
      <c r="F76" s="155">
        <v>5665000</v>
      </c>
      <c r="G76" s="156">
        <v>7216000</v>
      </c>
      <c r="H76" s="112"/>
      <c r="I76" s="11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 x14ac:dyDescent="0.25">
      <c r="A77" s="138"/>
      <c r="B77" s="317" t="e">
        <f ca="1">_xludf.image("https://lh3.google.com/u/0/d/1NK4lp1GSTS7PxMYfSFHQN5xojlj_EhSy",1)</f>
        <v>#NAME?</v>
      </c>
      <c r="C77" s="63">
        <v>500</v>
      </c>
      <c r="D77" s="63">
        <v>540</v>
      </c>
      <c r="E77" s="149">
        <v>960</v>
      </c>
      <c r="F77" s="150">
        <v>6689000</v>
      </c>
      <c r="G77" s="151">
        <v>8240000</v>
      </c>
      <c r="H77" s="112"/>
      <c r="I77" s="11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spans="1:45" x14ac:dyDescent="0.25">
      <c r="A78" s="138"/>
      <c r="B78" s="318"/>
      <c r="C78" s="153">
        <v>500</v>
      </c>
      <c r="D78" s="153">
        <v>540</v>
      </c>
      <c r="E78" s="154">
        <v>1000</v>
      </c>
      <c r="F78" s="155">
        <v>6803000</v>
      </c>
      <c r="G78" s="156">
        <v>8354000</v>
      </c>
      <c r="H78" s="112"/>
      <c r="I78" s="11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spans="1:45" x14ac:dyDescent="0.25">
      <c r="A79" s="138"/>
      <c r="B79" s="318"/>
      <c r="C79" s="63">
        <v>500</v>
      </c>
      <c r="D79" s="63">
        <v>540</v>
      </c>
      <c r="E79" s="149">
        <v>1100</v>
      </c>
      <c r="F79" s="150">
        <v>7088000</v>
      </c>
      <c r="G79" s="151">
        <v>8639000</v>
      </c>
      <c r="H79" s="112"/>
      <c r="I79" s="11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spans="1:45" x14ac:dyDescent="0.25">
      <c r="A80" s="138"/>
      <c r="B80" s="277"/>
      <c r="C80" s="153">
        <v>500</v>
      </c>
      <c r="D80" s="153">
        <v>540</v>
      </c>
      <c r="E80" s="154">
        <v>1200</v>
      </c>
      <c r="F80" s="157">
        <v>7372000</v>
      </c>
      <c r="G80" s="158">
        <v>8923000</v>
      </c>
      <c r="H80" s="112"/>
      <c r="I80" s="11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spans="1:45" ht="12.75" x14ac:dyDescent="0.2">
      <c r="A81" s="138"/>
      <c r="B81" s="161"/>
      <c r="C81" s="99"/>
      <c r="D81" s="99"/>
      <c r="E81" s="3"/>
      <c r="F81" s="159"/>
      <c r="G81" s="99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1:45" x14ac:dyDescent="0.25">
      <c r="A82" s="138"/>
      <c r="B82" s="139" t="s">
        <v>554</v>
      </c>
      <c r="C82" s="144">
        <v>500</v>
      </c>
      <c r="D82" s="144">
        <v>720</v>
      </c>
      <c r="E82" s="145">
        <v>480</v>
      </c>
      <c r="F82" s="146">
        <v>6912000</v>
      </c>
      <c r="G82" s="147">
        <v>8980000</v>
      </c>
      <c r="H82" s="112"/>
      <c r="I82" s="11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spans="1:45" x14ac:dyDescent="0.25">
      <c r="A83" s="138"/>
      <c r="B83" s="143" t="s">
        <v>563</v>
      </c>
      <c r="C83" s="63">
        <v>500</v>
      </c>
      <c r="D83" s="63">
        <v>720</v>
      </c>
      <c r="E83" s="149">
        <v>500</v>
      </c>
      <c r="F83" s="150">
        <v>6982000</v>
      </c>
      <c r="G83" s="151">
        <v>9050000</v>
      </c>
      <c r="H83" s="112"/>
      <c r="I83" s="11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</row>
    <row r="84" spans="1:45" x14ac:dyDescent="0.25">
      <c r="A84" s="138"/>
      <c r="B84" s="148" t="s">
        <v>558</v>
      </c>
      <c r="C84" s="153">
        <v>500</v>
      </c>
      <c r="D84" s="153">
        <v>720</v>
      </c>
      <c r="E84" s="154">
        <v>600</v>
      </c>
      <c r="F84" s="155">
        <v>7331000</v>
      </c>
      <c r="G84" s="156">
        <v>9399000</v>
      </c>
      <c r="H84" s="112"/>
      <c r="I84" s="112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1:45" x14ac:dyDescent="0.25">
      <c r="A85" s="138"/>
      <c r="B85" s="317" t="e">
        <f ca="1">_xludf.image("https://lh3.google.com/u/0/d/1cc6ArPFSXJxYWGhUiGsWjIMFtbG8qOGv",1)</f>
        <v>#NAME?</v>
      </c>
      <c r="C85" s="63">
        <v>500</v>
      </c>
      <c r="D85" s="63">
        <v>720</v>
      </c>
      <c r="E85" s="149">
        <v>960</v>
      </c>
      <c r="F85" s="150">
        <v>8587000</v>
      </c>
      <c r="G85" s="151">
        <v>10655000</v>
      </c>
      <c r="H85" s="112"/>
      <c r="I85" s="112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spans="1:45" x14ac:dyDescent="0.25">
      <c r="A86" s="138"/>
      <c r="B86" s="318"/>
      <c r="C86" s="153">
        <v>500</v>
      </c>
      <c r="D86" s="153">
        <v>720</v>
      </c>
      <c r="E86" s="154">
        <v>1000</v>
      </c>
      <c r="F86" s="155">
        <v>8727000</v>
      </c>
      <c r="G86" s="156">
        <v>10795000</v>
      </c>
      <c r="H86" s="112"/>
      <c r="I86" s="11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 x14ac:dyDescent="0.25">
      <c r="A87" s="138"/>
      <c r="B87" s="318"/>
      <c r="C87" s="63">
        <v>500</v>
      </c>
      <c r="D87" s="63">
        <v>720</v>
      </c>
      <c r="E87" s="149">
        <v>1100</v>
      </c>
      <c r="F87" s="150">
        <v>9076000</v>
      </c>
      <c r="G87" s="151">
        <v>11144000</v>
      </c>
      <c r="H87" s="112"/>
      <c r="I87" s="112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 spans="1:45" x14ac:dyDescent="0.25">
      <c r="A88" s="138"/>
      <c r="B88" s="277"/>
      <c r="C88" s="153">
        <v>500</v>
      </c>
      <c r="D88" s="153">
        <v>720</v>
      </c>
      <c r="E88" s="154">
        <v>1200</v>
      </c>
      <c r="F88" s="157">
        <v>9425000</v>
      </c>
      <c r="G88" s="158">
        <v>11493000</v>
      </c>
      <c r="H88" s="112"/>
      <c r="I88" s="112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 spans="1:45" x14ac:dyDescent="0.25">
      <c r="A89" s="138"/>
      <c r="B89" s="152"/>
      <c r="C89" s="99"/>
      <c r="D89" s="3"/>
      <c r="E89" s="92"/>
      <c r="F89" s="141" t="s">
        <v>564</v>
      </c>
      <c r="G89" s="117" t="s">
        <v>565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1:45" x14ac:dyDescent="0.25">
      <c r="A90" s="138"/>
      <c r="B90" s="139" t="s">
        <v>566</v>
      </c>
      <c r="C90" s="144">
        <v>500</v>
      </c>
      <c r="D90" s="145">
        <v>100</v>
      </c>
      <c r="E90" s="162">
        <v>600</v>
      </c>
      <c r="F90" s="146">
        <v>292000</v>
      </c>
      <c r="G90" s="147">
        <v>1918000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spans="1:45" x14ac:dyDescent="0.25">
      <c r="A91" s="138"/>
      <c r="B91" s="317" t="e">
        <f ca="1">_xludf.image("https://lh3.google.com/u/0/d/1X1QhQ4BAitcyzdd7Nfe3_nLmm1r2IprK",1)</f>
        <v>#NAME?</v>
      </c>
      <c r="C91" s="63">
        <v>500</v>
      </c>
      <c r="D91" s="149">
        <v>100</v>
      </c>
      <c r="E91" s="163">
        <v>960</v>
      </c>
      <c r="F91" s="150">
        <v>442000</v>
      </c>
      <c r="G91" s="151">
        <v>2658000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spans="1:45" x14ac:dyDescent="0.25">
      <c r="A92" s="138"/>
      <c r="B92" s="318"/>
      <c r="C92" s="164">
        <v>500</v>
      </c>
      <c r="D92" s="154">
        <v>100</v>
      </c>
      <c r="E92" s="165">
        <v>1000</v>
      </c>
      <c r="F92" s="155">
        <v>450000</v>
      </c>
      <c r="G92" s="156">
        <v>2903000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spans="1:45" x14ac:dyDescent="0.25">
      <c r="A93" s="138"/>
      <c r="B93" s="318"/>
      <c r="C93" s="62">
        <v>500</v>
      </c>
      <c r="D93" s="149">
        <v>100</v>
      </c>
      <c r="E93" s="163">
        <v>1100</v>
      </c>
      <c r="F93" s="150">
        <v>509000</v>
      </c>
      <c r="G93" s="151">
        <v>3210000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 spans="1:45" x14ac:dyDescent="0.25">
      <c r="A94" s="166"/>
      <c r="B94" s="277"/>
      <c r="C94" s="164">
        <v>500</v>
      </c>
      <c r="D94" s="154">
        <v>100</v>
      </c>
      <c r="E94" s="165">
        <v>1200</v>
      </c>
      <c r="F94" s="157">
        <v>568000</v>
      </c>
      <c r="G94" s="158">
        <v>3518000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</sheetData>
  <mergeCells count="51"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R4:AR5"/>
    <mergeCell ref="AS4:AS5"/>
    <mergeCell ref="AK4:AK5"/>
    <mergeCell ref="AL4:AL5"/>
    <mergeCell ref="AM4:AM5"/>
    <mergeCell ref="AN4:AN5"/>
    <mergeCell ref="AO4:AO5"/>
    <mergeCell ref="AP4:AP5"/>
    <mergeCell ref="AQ4:AQ5"/>
    <mergeCell ref="A1:E1"/>
    <mergeCell ref="A2:B2"/>
    <mergeCell ref="A3:B3"/>
    <mergeCell ref="C4:E4"/>
    <mergeCell ref="B44:B48"/>
    <mergeCell ref="F4:F5"/>
    <mergeCell ref="G4:G5"/>
    <mergeCell ref="H4:H5"/>
    <mergeCell ref="B85:B88"/>
    <mergeCell ref="B91:B94"/>
    <mergeCell ref="B53:B57"/>
    <mergeCell ref="B61:B64"/>
    <mergeCell ref="B69:B72"/>
    <mergeCell ref="B77:B8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S94"/>
  <sheetViews>
    <sheetView zoomScale="85" zoomScaleNormal="85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ColWidth="12.5703125" defaultRowHeight="15.75" customHeight="1" x14ac:dyDescent="0.2"/>
  <cols>
    <col min="1" max="1" width="8.5703125" customWidth="1"/>
    <col min="2" max="2" width="49.7109375" customWidth="1"/>
    <col min="3" max="5" width="7.5703125" customWidth="1"/>
    <col min="6" max="45" width="17" customWidth="1"/>
  </cols>
  <sheetData>
    <row r="1" spans="1:45" ht="23.25" x14ac:dyDescent="0.35">
      <c r="A1" s="324" t="s">
        <v>567</v>
      </c>
      <c r="B1" s="271"/>
      <c r="C1" s="271"/>
      <c r="D1" s="271"/>
      <c r="E1" s="27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ht="21.75" x14ac:dyDescent="0.3">
      <c r="A2" s="320" t="s">
        <v>512</v>
      </c>
      <c r="B2" s="271"/>
      <c r="C2" s="111"/>
      <c r="D2" s="111"/>
      <c r="E2" s="11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15" x14ac:dyDescent="0.2">
      <c r="A3" s="321" t="s">
        <v>513</v>
      </c>
      <c r="B3" s="27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30" customHeight="1" x14ac:dyDescent="0.25">
      <c r="A4" s="113"/>
      <c r="B4" s="114" t="s">
        <v>266</v>
      </c>
      <c r="C4" s="322" t="s">
        <v>514</v>
      </c>
      <c r="D4" s="311"/>
      <c r="E4" s="305"/>
      <c r="F4" s="272" t="s">
        <v>3</v>
      </c>
      <c r="G4" s="272" t="s">
        <v>4</v>
      </c>
      <c r="H4" s="272" t="s">
        <v>5</v>
      </c>
      <c r="I4" s="272" t="s">
        <v>6</v>
      </c>
      <c r="J4" s="272" t="s">
        <v>7</v>
      </c>
      <c r="K4" s="272" t="s">
        <v>8</v>
      </c>
      <c r="L4" s="272" t="s">
        <v>9</v>
      </c>
      <c r="M4" s="272" t="s">
        <v>10</v>
      </c>
      <c r="N4" s="272" t="s">
        <v>11</v>
      </c>
      <c r="O4" s="268" t="s">
        <v>12</v>
      </c>
      <c r="P4" s="268" t="s">
        <v>13</v>
      </c>
      <c r="Q4" s="268" t="s">
        <v>14</v>
      </c>
      <c r="R4" s="268" t="s">
        <v>15</v>
      </c>
      <c r="S4" s="268" t="s">
        <v>16</v>
      </c>
      <c r="T4" s="268" t="s">
        <v>17</v>
      </c>
      <c r="U4" s="268" t="s">
        <v>18</v>
      </c>
      <c r="V4" s="268" t="s">
        <v>19</v>
      </c>
      <c r="W4" s="268" t="s">
        <v>20</v>
      </c>
      <c r="X4" s="268" t="s">
        <v>21</v>
      </c>
      <c r="Y4" s="268" t="s">
        <v>22</v>
      </c>
      <c r="Z4" s="268" t="s">
        <v>23</v>
      </c>
      <c r="AA4" s="268" t="s">
        <v>24</v>
      </c>
      <c r="AB4" s="268" t="s">
        <v>25</v>
      </c>
      <c r="AC4" s="268" t="s">
        <v>26</v>
      </c>
      <c r="AD4" s="268" t="s">
        <v>27</v>
      </c>
      <c r="AE4" s="268" t="s">
        <v>28</v>
      </c>
      <c r="AF4" s="268" t="s">
        <v>29</v>
      </c>
      <c r="AG4" s="268" t="s">
        <v>30</v>
      </c>
      <c r="AH4" s="268" t="s">
        <v>31</v>
      </c>
      <c r="AI4" s="268" t="s">
        <v>32</v>
      </c>
      <c r="AJ4" s="268" t="s">
        <v>33</v>
      </c>
      <c r="AK4" s="268" t="s">
        <v>34</v>
      </c>
      <c r="AL4" s="268" t="s">
        <v>182</v>
      </c>
      <c r="AM4" s="268" t="s">
        <v>183</v>
      </c>
      <c r="AN4" s="268" t="s">
        <v>184</v>
      </c>
      <c r="AO4" s="268" t="s">
        <v>38</v>
      </c>
      <c r="AP4" s="268" t="s">
        <v>39</v>
      </c>
      <c r="AQ4" s="268" t="s">
        <v>40</v>
      </c>
      <c r="AR4" s="268" t="s">
        <v>41</v>
      </c>
      <c r="AS4" s="268" t="s">
        <v>568</v>
      </c>
    </row>
    <row r="5" spans="1:45" x14ac:dyDescent="0.25">
      <c r="A5" s="115" t="s">
        <v>515</v>
      </c>
      <c r="B5" s="116" t="s">
        <v>516</v>
      </c>
      <c r="C5" s="117" t="s">
        <v>517</v>
      </c>
      <c r="D5" s="117" t="s">
        <v>518</v>
      </c>
      <c r="E5" s="117" t="s">
        <v>519</v>
      </c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  <c r="AA5" s="269"/>
      <c r="AB5" s="269"/>
      <c r="AC5" s="269"/>
      <c r="AD5" s="269"/>
      <c r="AE5" s="269"/>
      <c r="AF5" s="269"/>
      <c r="AG5" s="269"/>
      <c r="AH5" s="269"/>
      <c r="AI5" s="269"/>
      <c r="AJ5" s="269"/>
      <c r="AK5" s="269"/>
      <c r="AL5" s="269"/>
      <c r="AM5" s="269"/>
      <c r="AN5" s="269"/>
      <c r="AO5" s="269"/>
      <c r="AP5" s="269"/>
      <c r="AQ5" s="269"/>
      <c r="AR5" s="269"/>
      <c r="AS5" s="269"/>
    </row>
    <row r="6" spans="1:45" ht="18" x14ac:dyDescent="0.25">
      <c r="A6" s="118"/>
      <c r="B6" s="119" t="s">
        <v>569</v>
      </c>
      <c r="C6" s="120"/>
      <c r="D6" s="120"/>
      <c r="E6" s="120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</row>
    <row r="7" spans="1:45" x14ac:dyDescent="0.25">
      <c r="A7" s="122"/>
      <c r="B7" s="123" t="s">
        <v>521</v>
      </c>
      <c r="C7" s="51"/>
      <c r="D7" s="51"/>
      <c r="E7" s="51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</row>
    <row r="8" spans="1:45" ht="15" x14ac:dyDescent="0.2">
      <c r="A8" s="122"/>
      <c r="B8" s="124" t="s">
        <v>522</v>
      </c>
      <c r="C8" s="99"/>
      <c r="D8" s="99"/>
      <c r="E8" s="99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</row>
    <row r="9" spans="1:45" x14ac:dyDescent="0.25">
      <c r="A9" s="122"/>
      <c r="B9" s="125" t="s">
        <v>523</v>
      </c>
      <c r="C9" s="126">
        <v>600</v>
      </c>
      <c r="D9" s="126">
        <v>760</v>
      </c>
      <c r="E9" s="126">
        <v>400</v>
      </c>
      <c r="F9" s="127">
        <v>4074000</v>
      </c>
      <c r="G9" s="127">
        <v>3433000</v>
      </c>
      <c r="H9" s="127">
        <v>4711000</v>
      </c>
      <c r="I9" s="127">
        <v>4133000</v>
      </c>
      <c r="J9" s="127">
        <v>5709000</v>
      </c>
      <c r="K9" s="127">
        <v>3343000</v>
      </c>
      <c r="L9" s="127">
        <v>5150000</v>
      </c>
      <c r="M9" s="127">
        <v>2824000</v>
      </c>
      <c r="N9" s="127">
        <v>2706000</v>
      </c>
      <c r="O9" s="127">
        <v>2971000</v>
      </c>
      <c r="P9" s="127">
        <v>3030000</v>
      </c>
      <c r="Q9" s="127">
        <v>3052000</v>
      </c>
      <c r="R9" s="127">
        <v>3159000</v>
      </c>
      <c r="S9" s="127">
        <v>3159000</v>
      </c>
      <c r="T9" s="127">
        <v>3025000</v>
      </c>
      <c r="U9" s="127">
        <v>3228000</v>
      </c>
      <c r="V9" s="127">
        <v>2836000</v>
      </c>
      <c r="W9" s="127">
        <v>3155000</v>
      </c>
      <c r="X9" s="127">
        <v>3236000</v>
      </c>
      <c r="Y9" s="127">
        <v>3155000</v>
      </c>
      <c r="Z9" s="127">
        <v>3182000</v>
      </c>
      <c r="AA9" s="127">
        <v>3161000</v>
      </c>
      <c r="AB9" s="127">
        <v>3208000</v>
      </c>
      <c r="AC9" s="127">
        <v>2908000</v>
      </c>
      <c r="AD9" s="127">
        <v>2908000</v>
      </c>
      <c r="AE9" s="127">
        <v>2908000</v>
      </c>
      <c r="AF9" s="127">
        <v>2908000</v>
      </c>
      <c r="AG9" s="127">
        <v>2903000</v>
      </c>
      <c r="AH9" s="127">
        <v>2938000</v>
      </c>
      <c r="AI9" s="127">
        <v>2938000</v>
      </c>
      <c r="AJ9" s="127">
        <v>2930000</v>
      </c>
      <c r="AK9" s="127">
        <v>2908000</v>
      </c>
      <c r="AL9" s="127">
        <v>2901000</v>
      </c>
      <c r="AM9" s="127">
        <v>2901000</v>
      </c>
      <c r="AN9" s="127">
        <v>2901000</v>
      </c>
      <c r="AO9" s="127">
        <v>2886000</v>
      </c>
      <c r="AP9" s="127">
        <v>2851000</v>
      </c>
      <c r="AQ9" s="127">
        <v>2851000</v>
      </c>
      <c r="AR9" s="127">
        <v>2886000</v>
      </c>
      <c r="AS9" s="127">
        <v>3098000</v>
      </c>
    </row>
    <row r="10" spans="1:45" x14ac:dyDescent="0.25">
      <c r="A10" s="122"/>
      <c r="B10" s="84" t="s">
        <v>524</v>
      </c>
      <c r="C10" s="63">
        <v>600</v>
      </c>
      <c r="D10" s="63">
        <v>760</v>
      </c>
      <c r="E10" s="63">
        <v>480</v>
      </c>
      <c r="F10" s="128">
        <v>4560000</v>
      </c>
      <c r="G10" s="128">
        <v>3791000</v>
      </c>
      <c r="H10" s="128">
        <v>5325000</v>
      </c>
      <c r="I10" s="128">
        <v>4630000</v>
      </c>
      <c r="J10" s="128">
        <v>6522000</v>
      </c>
      <c r="K10" s="128">
        <v>3632000</v>
      </c>
      <c r="L10" s="128">
        <v>5598000</v>
      </c>
      <c r="M10" s="128">
        <v>3056000</v>
      </c>
      <c r="N10" s="128">
        <v>2914000</v>
      </c>
      <c r="O10" s="128">
        <v>3227000</v>
      </c>
      <c r="P10" s="128">
        <v>3295000</v>
      </c>
      <c r="Q10" s="128">
        <v>3319000</v>
      </c>
      <c r="R10" s="128">
        <v>3443000</v>
      </c>
      <c r="S10" s="128">
        <v>3443000</v>
      </c>
      <c r="T10" s="128">
        <v>3291000</v>
      </c>
      <c r="U10" s="128">
        <v>3533000</v>
      </c>
      <c r="V10" s="128">
        <v>3065000</v>
      </c>
      <c r="W10" s="128">
        <v>3445000</v>
      </c>
      <c r="X10" s="128">
        <v>3542000</v>
      </c>
      <c r="Y10" s="128">
        <v>3445000</v>
      </c>
      <c r="Z10" s="128">
        <v>3478000</v>
      </c>
      <c r="AA10" s="128">
        <v>3453000</v>
      </c>
      <c r="AB10" s="128">
        <v>3509000</v>
      </c>
      <c r="AC10" s="128">
        <v>3156000</v>
      </c>
      <c r="AD10" s="128">
        <v>3156000</v>
      </c>
      <c r="AE10" s="128">
        <v>3156000</v>
      </c>
      <c r="AF10" s="128">
        <v>3156000</v>
      </c>
      <c r="AG10" s="128">
        <v>3150000</v>
      </c>
      <c r="AH10" s="128">
        <v>3191000</v>
      </c>
      <c r="AI10" s="128">
        <v>3191000</v>
      </c>
      <c r="AJ10" s="128">
        <v>3183000</v>
      </c>
      <c r="AK10" s="128">
        <v>3156000</v>
      </c>
      <c r="AL10" s="128">
        <v>3147000</v>
      </c>
      <c r="AM10" s="128">
        <v>3147000</v>
      </c>
      <c r="AN10" s="128">
        <v>3147000</v>
      </c>
      <c r="AO10" s="128">
        <v>3117000</v>
      </c>
      <c r="AP10" s="128">
        <v>3075000</v>
      </c>
      <c r="AQ10" s="128">
        <v>3075000</v>
      </c>
      <c r="AR10" s="128">
        <v>3117000</v>
      </c>
      <c r="AS10" s="128">
        <v>3375000</v>
      </c>
    </row>
    <row r="11" spans="1:45" x14ac:dyDescent="0.25">
      <c r="A11" s="122"/>
      <c r="B11" s="129" t="s">
        <v>525</v>
      </c>
      <c r="C11" s="130">
        <v>600</v>
      </c>
      <c r="D11" s="130">
        <v>760</v>
      </c>
      <c r="E11" s="130">
        <v>500</v>
      </c>
      <c r="F11" s="127">
        <v>4684000</v>
      </c>
      <c r="G11" s="127">
        <v>3884000</v>
      </c>
      <c r="H11" s="127">
        <v>5481000</v>
      </c>
      <c r="I11" s="127">
        <v>4758000</v>
      </c>
      <c r="J11" s="127">
        <v>6729000</v>
      </c>
      <c r="K11" s="127">
        <v>3707000</v>
      </c>
      <c r="L11" s="127">
        <v>5713000</v>
      </c>
      <c r="M11" s="127">
        <v>3117000</v>
      </c>
      <c r="N11" s="127">
        <v>2969000</v>
      </c>
      <c r="O11" s="127">
        <v>3294000</v>
      </c>
      <c r="P11" s="127">
        <v>3365000</v>
      </c>
      <c r="Q11" s="127">
        <v>3388000</v>
      </c>
      <c r="R11" s="127">
        <v>3518000</v>
      </c>
      <c r="S11" s="127">
        <v>3518000</v>
      </c>
      <c r="T11" s="127">
        <v>3361000</v>
      </c>
      <c r="U11" s="127">
        <v>3613000</v>
      </c>
      <c r="V11" s="127">
        <v>3125000</v>
      </c>
      <c r="W11" s="127">
        <v>3521000</v>
      </c>
      <c r="X11" s="127">
        <v>3622000</v>
      </c>
      <c r="Y11" s="127">
        <v>3521000</v>
      </c>
      <c r="Z11" s="127">
        <v>3555000</v>
      </c>
      <c r="AA11" s="127">
        <v>3529000</v>
      </c>
      <c r="AB11" s="127">
        <v>3587000</v>
      </c>
      <c r="AC11" s="127">
        <v>3221000</v>
      </c>
      <c r="AD11" s="127">
        <v>3221000</v>
      </c>
      <c r="AE11" s="127">
        <v>3221000</v>
      </c>
      <c r="AF11" s="127">
        <v>3221000</v>
      </c>
      <c r="AG11" s="127">
        <v>3215000</v>
      </c>
      <c r="AH11" s="127">
        <v>3258000</v>
      </c>
      <c r="AI11" s="127">
        <v>3258000</v>
      </c>
      <c r="AJ11" s="127">
        <v>3249000</v>
      </c>
      <c r="AK11" s="127">
        <v>3221000</v>
      </c>
      <c r="AL11" s="127">
        <v>3212000</v>
      </c>
      <c r="AM11" s="127">
        <v>3212000</v>
      </c>
      <c r="AN11" s="127">
        <v>3212000</v>
      </c>
      <c r="AO11" s="127">
        <v>3179000</v>
      </c>
      <c r="AP11" s="127">
        <v>3134000</v>
      </c>
      <c r="AQ11" s="127">
        <v>3134000</v>
      </c>
      <c r="AR11" s="127">
        <v>3179000</v>
      </c>
      <c r="AS11" s="127">
        <v>3448000</v>
      </c>
    </row>
    <row r="12" spans="1:45" x14ac:dyDescent="0.25">
      <c r="A12" s="122"/>
      <c r="B12" s="84" t="s">
        <v>526</v>
      </c>
      <c r="C12" s="63">
        <v>600</v>
      </c>
      <c r="D12" s="63">
        <v>760</v>
      </c>
      <c r="E12" s="63">
        <v>550</v>
      </c>
      <c r="F12" s="128">
        <v>5010000</v>
      </c>
      <c r="G12" s="128">
        <v>4130000</v>
      </c>
      <c r="H12" s="128">
        <v>5887000</v>
      </c>
      <c r="I12" s="128">
        <v>5091000</v>
      </c>
      <c r="J12" s="128">
        <v>7259000</v>
      </c>
      <c r="K12" s="128">
        <v>3910000</v>
      </c>
      <c r="L12" s="128">
        <v>6016000</v>
      </c>
      <c r="M12" s="128">
        <v>3284000</v>
      </c>
      <c r="N12" s="128">
        <v>3122000</v>
      </c>
      <c r="O12" s="128">
        <v>3476000</v>
      </c>
      <c r="P12" s="128">
        <v>3553000</v>
      </c>
      <c r="Q12" s="128">
        <v>3577000</v>
      </c>
      <c r="R12" s="128">
        <v>3718000</v>
      </c>
      <c r="S12" s="128">
        <v>3718000</v>
      </c>
      <c r="T12" s="128">
        <v>3550000</v>
      </c>
      <c r="U12" s="128">
        <v>3826000</v>
      </c>
      <c r="V12" s="128">
        <v>3291000</v>
      </c>
      <c r="W12" s="128">
        <v>3724000</v>
      </c>
      <c r="X12" s="128">
        <v>3836000</v>
      </c>
      <c r="Y12" s="128">
        <v>3724000</v>
      </c>
      <c r="Z12" s="128">
        <v>3763000</v>
      </c>
      <c r="AA12" s="128">
        <v>3735000</v>
      </c>
      <c r="AB12" s="128">
        <v>3798000</v>
      </c>
      <c r="AC12" s="128">
        <v>3399000</v>
      </c>
      <c r="AD12" s="128">
        <v>3399000</v>
      </c>
      <c r="AE12" s="128">
        <v>3399000</v>
      </c>
      <c r="AF12" s="128">
        <v>3399000</v>
      </c>
      <c r="AG12" s="128">
        <v>3391000</v>
      </c>
      <c r="AH12" s="128">
        <v>3439000</v>
      </c>
      <c r="AI12" s="128">
        <v>3439000</v>
      </c>
      <c r="AJ12" s="128">
        <v>3429000</v>
      </c>
      <c r="AK12" s="128">
        <v>3399000</v>
      </c>
      <c r="AL12" s="128">
        <v>3389000</v>
      </c>
      <c r="AM12" s="128">
        <v>3389000</v>
      </c>
      <c r="AN12" s="128">
        <v>3389000</v>
      </c>
      <c r="AO12" s="128">
        <v>3346000</v>
      </c>
      <c r="AP12" s="128">
        <v>3297000</v>
      </c>
      <c r="AQ12" s="128">
        <v>3297000</v>
      </c>
      <c r="AR12" s="128">
        <v>3346000</v>
      </c>
      <c r="AS12" s="128">
        <v>3644000</v>
      </c>
    </row>
    <row r="13" spans="1:45" x14ac:dyDescent="0.25">
      <c r="A13" s="122"/>
      <c r="B13" s="129" t="s">
        <v>527</v>
      </c>
      <c r="C13" s="130">
        <v>600</v>
      </c>
      <c r="D13" s="130">
        <v>760</v>
      </c>
      <c r="E13" s="130">
        <v>600</v>
      </c>
      <c r="F13" s="127">
        <v>5314000</v>
      </c>
      <c r="G13" s="127">
        <v>4353000</v>
      </c>
      <c r="H13" s="127">
        <v>6270000</v>
      </c>
      <c r="I13" s="127">
        <v>5402000</v>
      </c>
      <c r="J13" s="127">
        <v>7767000</v>
      </c>
      <c r="K13" s="127">
        <v>4090000</v>
      </c>
      <c r="L13" s="127">
        <v>6296000</v>
      </c>
      <c r="M13" s="127">
        <v>3428000</v>
      </c>
      <c r="N13" s="127">
        <v>3251000</v>
      </c>
      <c r="O13" s="127">
        <v>3636000</v>
      </c>
      <c r="P13" s="127">
        <v>3718000</v>
      </c>
      <c r="Q13" s="127">
        <v>3743000</v>
      </c>
      <c r="R13" s="127">
        <v>3895000</v>
      </c>
      <c r="S13" s="127">
        <v>3895000</v>
      </c>
      <c r="T13" s="127">
        <v>3715000</v>
      </c>
      <c r="U13" s="127">
        <v>4017000</v>
      </c>
      <c r="V13" s="127">
        <v>3434000</v>
      </c>
      <c r="W13" s="127">
        <v>3905000</v>
      </c>
      <c r="X13" s="127">
        <v>4027000</v>
      </c>
      <c r="Y13" s="127">
        <v>3905000</v>
      </c>
      <c r="Z13" s="127">
        <v>3947000</v>
      </c>
      <c r="AA13" s="127">
        <v>3917000</v>
      </c>
      <c r="AB13" s="127">
        <v>3986000</v>
      </c>
      <c r="AC13" s="127">
        <v>3554000</v>
      </c>
      <c r="AD13" s="127">
        <v>3554000</v>
      </c>
      <c r="AE13" s="127">
        <v>3554000</v>
      </c>
      <c r="AF13" s="127">
        <v>3554000</v>
      </c>
      <c r="AG13" s="127">
        <v>3545000</v>
      </c>
      <c r="AH13" s="127">
        <v>3598000</v>
      </c>
      <c r="AI13" s="127">
        <v>3598000</v>
      </c>
      <c r="AJ13" s="127">
        <v>3587000</v>
      </c>
      <c r="AK13" s="127">
        <v>3554000</v>
      </c>
      <c r="AL13" s="127">
        <v>3543000</v>
      </c>
      <c r="AM13" s="127">
        <v>3543000</v>
      </c>
      <c r="AN13" s="127">
        <v>3543000</v>
      </c>
      <c r="AO13" s="127">
        <v>3490000</v>
      </c>
      <c r="AP13" s="127">
        <v>3437000</v>
      </c>
      <c r="AQ13" s="127">
        <v>3437000</v>
      </c>
      <c r="AR13" s="127">
        <v>3490000</v>
      </c>
      <c r="AS13" s="127">
        <v>3817000</v>
      </c>
    </row>
    <row r="14" spans="1:45" x14ac:dyDescent="0.25">
      <c r="A14" s="122"/>
      <c r="B14" s="84" t="s">
        <v>528</v>
      </c>
      <c r="C14" s="63">
        <v>600</v>
      </c>
      <c r="D14" s="63">
        <v>760</v>
      </c>
      <c r="E14" s="63">
        <v>800</v>
      </c>
      <c r="F14" s="128">
        <v>6997000</v>
      </c>
      <c r="G14" s="128">
        <v>5716000</v>
      </c>
      <c r="H14" s="128">
        <v>8272000</v>
      </c>
      <c r="I14" s="128">
        <v>7115000</v>
      </c>
      <c r="J14" s="128">
        <v>10268000</v>
      </c>
      <c r="K14" s="128">
        <v>5642000</v>
      </c>
      <c r="L14" s="128">
        <v>9256000</v>
      </c>
      <c r="M14" s="128">
        <v>4498000</v>
      </c>
      <c r="N14" s="128">
        <v>4261000</v>
      </c>
      <c r="O14" s="128">
        <v>4791000</v>
      </c>
      <c r="P14" s="128">
        <v>4910000</v>
      </c>
      <c r="Q14" s="128">
        <v>4954000</v>
      </c>
      <c r="R14" s="128">
        <v>5167000</v>
      </c>
      <c r="S14" s="128">
        <v>5167000</v>
      </c>
      <c r="T14" s="128">
        <v>4900000</v>
      </c>
      <c r="U14" s="128">
        <v>5305000</v>
      </c>
      <c r="V14" s="128">
        <v>4522000</v>
      </c>
      <c r="W14" s="128">
        <v>5160000</v>
      </c>
      <c r="X14" s="128">
        <v>5322000</v>
      </c>
      <c r="Y14" s="128">
        <v>5160000</v>
      </c>
      <c r="Z14" s="128">
        <v>5213000</v>
      </c>
      <c r="AA14" s="128">
        <v>5172000</v>
      </c>
      <c r="AB14" s="128">
        <v>5265000</v>
      </c>
      <c r="AC14" s="128">
        <v>4666000</v>
      </c>
      <c r="AD14" s="128">
        <v>4666000</v>
      </c>
      <c r="AE14" s="128">
        <v>4666000</v>
      </c>
      <c r="AF14" s="128">
        <v>4666000</v>
      </c>
      <c r="AG14" s="128">
        <v>4655000</v>
      </c>
      <c r="AH14" s="128">
        <v>4725000</v>
      </c>
      <c r="AI14" s="128">
        <v>4725000</v>
      </c>
      <c r="AJ14" s="128">
        <v>4710000</v>
      </c>
      <c r="AK14" s="128">
        <v>4666000</v>
      </c>
      <c r="AL14" s="128">
        <v>4651000</v>
      </c>
      <c r="AM14" s="128">
        <v>4651000</v>
      </c>
      <c r="AN14" s="128">
        <v>4651000</v>
      </c>
      <c r="AO14" s="128">
        <v>4621000</v>
      </c>
      <c r="AP14" s="128">
        <v>4551000</v>
      </c>
      <c r="AQ14" s="128">
        <v>4551000</v>
      </c>
      <c r="AR14" s="128">
        <v>4621000</v>
      </c>
      <c r="AS14" s="128">
        <v>5046000</v>
      </c>
    </row>
    <row r="15" spans="1:45" x14ac:dyDescent="0.25">
      <c r="A15" s="122"/>
      <c r="B15" s="129" t="s">
        <v>529</v>
      </c>
      <c r="C15" s="130">
        <v>600</v>
      </c>
      <c r="D15" s="130">
        <v>760</v>
      </c>
      <c r="E15" s="130">
        <v>960</v>
      </c>
      <c r="F15" s="127">
        <v>7969000</v>
      </c>
      <c r="G15" s="127">
        <v>6431000</v>
      </c>
      <c r="H15" s="127">
        <v>9499000</v>
      </c>
      <c r="I15" s="127">
        <v>8110000</v>
      </c>
      <c r="J15" s="127">
        <v>11894000</v>
      </c>
      <c r="K15" s="127">
        <v>6219000</v>
      </c>
      <c r="L15" s="127">
        <v>10152000</v>
      </c>
      <c r="M15" s="127">
        <v>4961000</v>
      </c>
      <c r="N15" s="127">
        <v>4677000</v>
      </c>
      <c r="O15" s="127">
        <v>5303000</v>
      </c>
      <c r="P15" s="127">
        <v>5440000</v>
      </c>
      <c r="Q15" s="127">
        <v>5487000</v>
      </c>
      <c r="R15" s="127">
        <v>5736000</v>
      </c>
      <c r="S15" s="127">
        <v>5736000</v>
      </c>
      <c r="T15" s="127">
        <v>5432000</v>
      </c>
      <c r="U15" s="127">
        <v>5916000</v>
      </c>
      <c r="V15" s="127">
        <v>4979000</v>
      </c>
      <c r="W15" s="127">
        <v>5740000</v>
      </c>
      <c r="X15" s="127">
        <v>5934000</v>
      </c>
      <c r="Y15" s="127">
        <v>5740000</v>
      </c>
      <c r="Z15" s="127">
        <v>5805000</v>
      </c>
      <c r="AA15" s="127">
        <v>5756000</v>
      </c>
      <c r="AB15" s="127">
        <v>5867000</v>
      </c>
      <c r="AC15" s="127">
        <v>5162000</v>
      </c>
      <c r="AD15" s="127">
        <v>5162000</v>
      </c>
      <c r="AE15" s="127">
        <v>5162000</v>
      </c>
      <c r="AF15" s="127">
        <v>5162000</v>
      </c>
      <c r="AG15" s="127">
        <v>5149000</v>
      </c>
      <c r="AH15" s="127">
        <v>5232000</v>
      </c>
      <c r="AI15" s="127">
        <v>5232000</v>
      </c>
      <c r="AJ15" s="127">
        <v>5215000</v>
      </c>
      <c r="AK15" s="127">
        <v>5162000</v>
      </c>
      <c r="AL15" s="127">
        <v>5144000</v>
      </c>
      <c r="AM15" s="127">
        <v>5144000</v>
      </c>
      <c r="AN15" s="127">
        <v>5144000</v>
      </c>
      <c r="AO15" s="127">
        <v>5084000</v>
      </c>
      <c r="AP15" s="127">
        <v>4999000</v>
      </c>
      <c r="AQ15" s="127">
        <v>4999000</v>
      </c>
      <c r="AR15" s="127">
        <v>5084000</v>
      </c>
      <c r="AS15" s="127">
        <v>5600000</v>
      </c>
    </row>
    <row r="16" spans="1:45" x14ac:dyDescent="0.25">
      <c r="A16" s="122"/>
      <c r="B16" s="84" t="s">
        <v>530</v>
      </c>
      <c r="C16" s="63">
        <v>600</v>
      </c>
      <c r="D16" s="63">
        <v>760</v>
      </c>
      <c r="E16" s="63">
        <v>1000</v>
      </c>
      <c r="F16" s="128">
        <v>8221000</v>
      </c>
      <c r="G16" s="128">
        <v>6620000</v>
      </c>
      <c r="H16" s="128">
        <v>9815000</v>
      </c>
      <c r="I16" s="128">
        <v>8368000</v>
      </c>
      <c r="J16" s="128">
        <v>12310000</v>
      </c>
      <c r="K16" s="128">
        <v>6372000</v>
      </c>
      <c r="L16" s="128">
        <v>10385000</v>
      </c>
      <c r="M16" s="128">
        <v>5086000</v>
      </c>
      <c r="N16" s="128">
        <v>4791000</v>
      </c>
      <c r="O16" s="128">
        <v>5440000</v>
      </c>
      <c r="P16" s="128">
        <v>5582000</v>
      </c>
      <c r="Q16" s="128">
        <v>5629000</v>
      </c>
      <c r="R16" s="128">
        <v>5888000</v>
      </c>
      <c r="S16" s="128">
        <v>5888000</v>
      </c>
      <c r="T16" s="128">
        <v>5574000</v>
      </c>
      <c r="U16" s="128">
        <v>6078000</v>
      </c>
      <c r="V16" s="128">
        <v>5103000</v>
      </c>
      <c r="W16" s="128">
        <v>5894000</v>
      </c>
      <c r="X16" s="128">
        <v>6096000</v>
      </c>
      <c r="Y16" s="128">
        <v>5894000</v>
      </c>
      <c r="Z16" s="128">
        <v>5963000</v>
      </c>
      <c r="AA16" s="128">
        <v>5911000</v>
      </c>
      <c r="AB16" s="128">
        <v>6027000</v>
      </c>
      <c r="AC16" s="128">
        <v>5295000</v>
      </c>
      <c r="AD16" s="128">
        <v>5295000</v>
      </c>
      <c r="AE16" s="128">
        <v>5295000</v>
      </c>
      <c r="AF16" s="128">
        <v>5295000</v>
      </c>
      <c r="AG16" s="128">
        <v>5282000</v>
      </c>
      <c r="AH16" s="128">
        <v>5369000</v>
      </c>
      <c r="AI16" s="128">
        <v>5369000</v>
      </c>
      <c r="AJ16" s="128">
        <v>5350000</v>
      </c>
      <c r="AK16" s="128">
        <v>5295000</v>
      </c>
      <c r="AL16" s="128">
        <v>5277000</v>
      </c>
      <c r="AM16" s="128">
        <v>5277000</v>
      </c>
      <c r="AN16" s="128">
        <v>5277000</v>
      </c>
      <c r="AO16" s="128">
        <v>5210000</v>
      </c>
      <c r="AP16" s="128">
        <v>5121000</v>
      </c>
      <c r="AQ16" s="128">
        <v>5121000</v>
      </c>
      <c r="AR16" s="128">
        <v>5210000</v>
      </c>
      <c r="AS16" s="128">
        <v>5748000</v>
      </c>
    </row>
    <row r="17" spans="1:45" x14ac:dyDescent="0.25">
      <c r="A17" s="122"/>
      <c r="B17" s="129" t="s">
        <v>531</v>
      </c>
      <c r="C17" s="130">
        <v>600</v>
      </c>
      <c r="D17" s="130">
        <v>760</v>
      </c>
      <c r="E17" s="130">
        <v>1100</v>
      </c>
      <c r="F17" s="127">
        <v>8870000</v>
      </c>
      <c r="G17" s="127">
        <v>7109000</v>
      </c>
      <c r="H17" s="127">
        <v>10624000</v>
      </c>
      <c r="I17" s="127">
        <v>9032000</v>
      </c>
      <c r="J17" s="127">
        <v>13368000</v>
      </c>
      <c r="K17" s="127">
        <v>6775000</v>
      </c>
      <c r="L17" s="127">
        <v>10987000</v>
      </c>
      <c r="M17" s="127">
        <v>5418000</v>
      </c>
      <c r="N17" s="127">
        <v>5093000</v>
      </c>
      <c r="O17" s="127">
        <v>5802000</v>
      </c>
      <c r="P17" s="127">
        <v>5956000</v>
      </c>
      <c r="Q17" s="127">
        <v>6004000</v>
      </c>
      <c r="R17" s="127">
        <v>6285000</v>
      </c>
      <c r="S17" s="127">
        <v>6285000</v>
      </c>
      <c r="T17" s="127">
        <v>5949000</v>
      </c>
      <c r="U17" s="127">
        <v>6502000</v>
      </c>
      <c r="V17" s="127">
        <v>5432000</v>
      </c>
      <c r="W17" s="127">
        <v>6298000</v>
      </c>
      <c r="X17" s="127">
        <v>6521000</v>
      </c>
      <c r="Y17" s="127">
        <v>6298000</v>
      </c>
      <c r="Z17" s="127">
        <v>6375000</v>
      </c>
      <c r="AA17" s="127">
        <v>6319000</v>
      </c>
      <c r="AB17" s="127">
        <v>6446000</v>
      </c>
      <c r="AC17" s="127">
        <v>5647000</v>
      </c>
      <c r="AD17" s="127">
        <v>5647000</v>
      </c>
      <c r="AE17" s="127">
        <v>5647000</v>
      </c>
      <c r="AF17" s="127">
        <v>5647000</v>
      </c>
      <c r="AG17" s="127">
        <v>5632000</v>
      </c>
      <c r="AH17" s="127">
        <v>5728000</v>
      </c>
      <c r="AI17" s="127">
        <v>5728000</v>
      </c>
      <c r="AJ17" s="127">
        <v>5708000</v>
      </c>
      <c r="AK17" s="127">
        <v>5647000</v>
      </c>
      <c r="AL17" s="127">
        <v>5627000</v>
      </c>
      <c r="AM17" s="127">
        <v>5627000</v>
      </c>
      <c r="AN17" s="127">
        <v>5627000</v>
      </c>
      <c r="AO17" s="127">
        <v>5541000</v>
      </c>
      <c r="AP17" s="127">
        <v>5444000</v>
      </c>
      <c r="AQ17" s="127">
        <v>5444000</v>
      </c>
      <c r="AR17" s="127">
        <v>5541000</v>
      </c>
      <c r="AS17" s="127">
        <v>6137000</v>
      </c>
    </row>
    <row r="18" spans="1:45" x14ac:dyDescent="0.25">
      <c r="A18" s="122"/>
      <c r="B18" s="84" t="s">
        <v>532</v>
      </c>
      <c r="C18" s="63">
        <v>600</v>
      </c>
      <c r="D18" s="63">
        <v>760</v>
      </c>
      <c r="E18" s="63">
        <v>1200</v>
      </c>
      <c r="F18" s="128">
        <v>9478000</v>
      </c>
      <c r="G18" s="128">
        <v>7556000</v>
      </c>
      <c r="H18" s="128">
        <v>11390000</v>
      </c>
      <c r="I18" s="128">
        <v>9654000</v>
      </c>
      <c r="J18" s="128">
        <v>14384000</v>
      </c>
      <c r="K18" s="128">
        <v>7136000</v>
      </c>
      <c r="L18" s="128">
        <v>11548000</v>
      </c>
      <c r="M18" s="128">
        <v>5707000</v>
      </c>
      <c r="N18" s="128">
        <v>5353000</v>
      </c>
      <c r="O18" s="128">
        <v>6122000</v>
      </c>
      <c r="P18" s="128">
        <v>6287000</v>
      </c>
      <c r="Q18" s="128">
        <v>6337000</v>
      </c>
      <c r="R18" s="128">
        <v>6641000</v>
      </c>
      <c r="S18" s="128">
        <v>6641000</v>
      </c>
      <c r="T18" s="128">
        <v>6281000</v>
      </c>
      <c r="U18" s="128">
        <v>6884000</v>
      </c>
      <c r="V18" s="128">
        <v>5718000</v>
      </c>
      <c r="W18" s="128">
        <v>6661000</v>
      </c>
      <c r="X18" s="128">
        <v>6904000</v>
      </c>
      <c r="Y18" s="128">
        <v>6661000</v>
      </c>
      <c r="Z18" s="128">
        <v>6745000</v>
      </c>
      <c r="AA18" s="128">
        <v>6684000</v>
      </c>
      <c r="AB18" s="128">
        <v>6823000</v>
      </c>
      <c r="AC18" s="128">
        <v>5958000</v>
      </c>
      <c r="AD18" s="128">
        <v>5958000</v>
      </c>
      <c r="AE18" s="128">
        <v>5958000</v>
      </c>
      <c r="AF18" s="128">
        <v>5958000</v>
      </c>
      <c r="AG18" s="128">
        <v>5941000</v>
      </c>
      <c r="AH18" s="128">
        <v>6046000</v>
      </c>
      <c r="AI18" s="128">
        <v>6046000</v>
      </c>
      <c r="AJ18" s="128">
        <v>6024000</v>
      </c>
      <c r="AK18" s="128">
        <v>5958000</v>
      </c>
      <c r="AL18" s="128">
        <v>5936000</v>
      </c>
      <c r="AM18" s="128">
        <v>5936000</v>
      </c>
      <c r="AN18" s="128">
        <v>5936000</v>
      </c>
      <c r="AO18" s="128">
        <v>5831000</v>
      </c>
      <c r="AP18" s="128">
        <v>5725000</v>
      </c>
      <c r="AQ18" s="128">
        <v>5725000</v>
      </c>
      <c r="AR18" s="128">
        <v>5831000</v>
      </c>
      <c r="AS18" s="128">
        <v>6484000</v>
      </c>
    </row>
    <row r="19" spans="1:45" x14ac:dyDescent="0.25">
      <c r="A19" s="122"/>
      <c r="B19" s="123" t="s">
        <v>533</v>
      </c>
      <c r="C19" s="51"/>
      <c r="D19" s="51"/>
      <c r="E19" s="51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" x14ac:dyDescent="0.2">
      <c r="A20" s="122"/>
      <c r="B20" s="124" t="s">
        <v>534</v>
      </c>
      <c r="C20" s="99"/>
      <c r="D20" s="99"/>
      <c r="E20" s="99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x14ac:dyDescent="0.25">
      <c r="A21" s="122"/>
      <c r="B21" s="125" t="s">
        <v>535</v>
      </c>
      <c r="C21" s="126">
        <v>600</v>
      </c>
      <c r="D21" s="126">
        <v>760</v>
      </c>
      <c r="E21" s="126">
        <v>400</v>
      </c>
      <c r="F21" s="127">
        <v>5551000</v>
      </c>
      <c r="G21" s="127">
        <v>4910000</v>
      </c>
      <c r="H21" s="131"/>
      <c r="I21" s="127">
        <v>5610000</v>
      </c>
      <c r="J21" s="131"/>
      <c r="K21" s="127">
        <v>5181000</v>
      </c>
      <c r="L21" s="127">
        <v>7998000</v>
      </c>
      <c r="M21" s="127">
        <v>4312000</v>
      </c>
      <c r="N21" s="127">
        <v>4194000</v>
      </c>
      <c r="O21" s="127">
        <v>4473000</v>
      </c>
      <c r="P21" s="127">
        <v>4538000</v>
      </c>
      <c r="Q21" s="127">
        <v>4570000</v>
      </c>
      <c r="R21" s="127">
        <v>4684000</v>
      </c>
      <c r="S21" s="127">
        <v>4684000</v>
      </c>
      <c r="T21" s="127">
        <v>4529000</v>
      </c>
      <c r="U21" s="127">
        <v>4734000</v>
      </c>
      <c r="V21" s="127">
        <v>4337000</v>
      </c>
      <c r="W21" s="127">
        <v>4664000</v>
      </c>
      <c r="X21" s="127">
        <v>4745000</v>
      </c>
      <c r="Y21" s="127">
        <v>4664000</v>
      </c>
      <c r="Z21" s="127">
        <v>4689000</v>
      </c>
      <c r="AA21" s="127">
        <v>4668000</v>
      </c>
      <c r="AB21" s="127">
        <v>4714000</v>
      </c>
      <c r="AC21" s="127">
        <v>4397000</v>
      </c>
      <c r="AD21" s="127">
        <v>4397000</v>
      </c>
      <c r="AE21" s="127">
        <v>4397000</v>
      </c>
      <c r="AF21" s="127">
        <v>4397000</v>
      </c>
      <c r="AG21" s="127">
        <v>4392000</v>
      </c>
      <c r="AH21" s="127">
        <v>4427000</v>
      </c>
      <c r="AI21" s="127">
        <v>4427000</v>
      </c>
      <c r="AJ21" s="127">
        <v>4419000</v>
      </c>
      <c r="AK21" s="127">
        <v>4397000</v>
      </c>
      <c r="AL21" s="127">
        <v>4390000</v>
      </c>
      <c r="AM21" s="127">
        <v>4390000</v>
      </c>
      <c r="AN21" s="127">
        <v>4390000</v>
      </c>
      <c r="AO21" s="127">
        <v>4406000</v>
      </c>
      <c r="AP21" s="127">
        <v>4371000</v>
      </c>
      <c r="AQ21" s="127">
        <v>4371000</v>
      </c>
      <c r="AR21" s="127">
        <v>4406000</v>
      </c>
      <c r="AS21" s="127">
        <v>4610000</v>
      </c>
    </row>
    <row r="22" spans="1:45" x14ac:dyDescent="0.25">
      <c r="A22" s="122"/>
      <c r="B22" s="84" t="s">
        <v>536</v>
      </c>
      <c r="C22" s="63">
        <v>600</v>
      </c>
      <c r="D22" s="63">
        <v>760</v>
      </c>
      <c r="E22" s="63">
        <v>480</v>
      </c>
      <c r="F22" s="128">
        <v>6156000</v>
      </c>
      <c r="G22" s="128">
        <v>5387000</v>
      </c>
      <c r="H22" s="25"/>
      <c r="I22" s="128">
        <v>6226000</v>
      </c>
      <c r="J22" s="25"/>
      <c r="K22" s="128">
        <v>5588000</v>
      </c>
      <c r="L22" s="128">
        <v>8565000</v>
      </c>
      <c r="M22" s="128">
        <v>4665000</v>
      </c>
      <c r="N22" s="128">
        <v>4523000</v>
      </c>
      <c r="O22" s="128">
        <v>4852000</v>
      </c>
      <c r="P22" s="128">
        <v>4928000</v>
      </c>
      <c r="Q22" s="128">
        <v>4963000</v>
      </c>
      <c r="R22" s="128">
        <v>5097000</v>
      </c>
      <c r="S22" s="128">
        <v>5097000</v>
      </c>
      <c r="T22" s="128">
        <v>4919000</v>
      </c>
      <c r="U22" s="128">
        <v>5164000</v>
      </c>
      <c r="V22" s="128">
        <v>4690000</v>
      </c>
      <c r="W22" s="128">
        <v>5080000</v>
      </c>
      <c r="X22" s="128">
        <v>5177000</v>
      </c>
      <c r="Y22" s="128">
        <v>5080000</v>
      </c>
      <c r="Z22" s="128">
        <v>5110000</v>
      </c>
      <c r="AA22" s="128">
        <v>5085000</v>
      </c>
      <c r="AB22" s="128">
        <v>5140000</v>
      </c>
      <c r="AC22" s="128">
        <v>4767000</v>
      </c>
      <c r="AD22" s="128">
        <v>4767000</v>
      </c>
      <c r="AE22" s="128">
        <v>4767000</v>
      </c>
      <c r="AF22" s="128">
        <v>4767000</v>
      </c>
      <c r="AG22" s="128">
        <v>4760000</v>
      </c>
      <c r="AH22" s="128">
        <v>4802000</v>
      </c>
      <c r="AI22" s="128">
        <v>4802000</v>
      </c>
      <c r="AJ22" s="128">
        <v>4793000</v>
      </c>
      <c r="AK22" s="128">
        <v>4767000</v>
      </c>
      <c r="AL22" s="128">
        <v>4758000</v>
      </c>
      <c r="AM22" s="128">
        <v>4758000</v>
      </c>
      <c r="AN22" s="128">
        <v>4758000</v>
      </c>
      <c r="AO22" s="128">
        <v>4766000</v>
      </c>
      <c r="AP22" s="128">
        <v>4723000</v>
      </c>
      <c r="AQ22" s="128">
        <v>4723000</v>
      </c>
      <c r="AR22" s="128">
        <v>4766000</v>
      </c>
      <c r="AS22" s="128">
        <v>5014000</v>
      </c>
    </row>
    <row r="23" spans="1:45" x14ac:dyDescent="0.25">
      <c r="A23" s="122"/>
      <c r="B23" s="129" t="s">
        <v>537</v>
      </c>
      <c r="C23" s="130">
        <v>600</v>
      </c>
      <c r="D23" s="130">
        <v>760</v>
      </c>
      <c r="E23" s="130">
        <v>600</v>
      </c>
      <c r="F23" s="127">
        <v>7090000</v>
      </c>
      <c r="G23" s="127">
        <v>6129000</v>
      </c>
      <c r="H23" s="131"/>
      <c r="I23" s="127">
        <v>7178000</v>
      </c>
      <c r="J23" s="131"/>
      <c r="K23" s="127">
        <v>6227000</v>
      </c>
      <c r="L23" s="127">
        <v>9442000</v>
      </c>
      <c r="M23" s="127">
        <v>5221000</v>
      </c>
      <c r="N23" s="127">
        <v>5044000</v>
      </c>
      <c r="O23" s="127">
        <v>5449000</v>
      </c>
      <c r="P23" s="127">
        <v>5541000</v>
      </c>
      <c r="Q23" s="127">
        <v>5579000</v>
      </c>
      <c r="R23" s="127">
        <v>5744000</v>
      </c>
      <c r="S23" s="127">
        <v>5744000</v>
      </c>
      <c r="T23" s="127">
        <v>5532000</v>
      </c>
      <c r="U23" s="127">
        <v>5836000</v>
      </c>
      <c r="V23" s="127">
        <v>5246000</v>
      </c>
      <c r="W23" s="127">
        <v>5729000</v>
      </c>
      <c r="X23" s="127">
        <v>5851000</v>
      </c>
      <c r="Y23" s="127">
        <v>5729000</v>
      </c>
      <c r="Z23" s="127">
        <v>5768000</v>
      </c>
      <c r="AA23" s="127">
        <v>5737000</v>
      </c>
      <c r="AB23" s="127">
        <v>5807000</v>
      </c>
      <c r="AC23" s="127">
        <v>5348000</v>
      </c>
      <c r="AD23" s="127">
        <v>5348000</v>
      </c>
      <c r="AE23" s="127">
        <v>5348000</v>
      </c>
      <c r="AF23" s="127">
        <v>5348000</v>
      </c>
      <c r="AG23" s="127">
        <v>5339000</v>
      </c>
      <c r="AH23" s="127">
        <v>5392000</v>
      </c>
      <c r="AI23" s="127">
        <v>5392000</v>
      </c>
      <c r="AJ23" s="127">
        <v>5381000</v>
      </c>
      <c r="AK23" s="127">
        <v>5348000</v>
      </c>
      <c r="AL23" s="127">
        <v>5337000</v>
      </c>
      <c r="AM23" s="127">
        <v>5337000</v>
      </c>
      <c r="AN23" s="127">
        <v>5337000</v>
      </c>
      <c r="AO23" s="127">
        <v>5331000</v>
      </c>
      <c r="AP23" s="127">
        <v>5278000</v>
      </c>
      <c r="AQ23" s="127">
        <v>5278000</v>
      </c>
      <c r="AR23" s="127">
        <v>5331000</v>
      </c>
      <c r="AS23" s="127">
        <v>5645000</v>
      </c>
    </row>
    <row r="24" spans="1:45" x14ac:dyDescent="0.25">
      <c r="A24" s="122"/>
      <c r="B24" s="84" t="s">
        <v>538</v>
      </c>
      <c r="C24" s="63">
        <v>600</v>
      </c>
      <c r="D24" s="63">
        <v>760</v>
      </c>
      <c r="E24" s="63">
        <v>960</v>
      </c>
      <c r="F24" s="128">
        <v>10283000</v>
      </c>
      <c r="G24" s="128">
        <v>8745000</v>
      </c>
      <c r="H24" s="25"/>
      <c r="I24" s="128">
        <v>10424000</v>
      </c>
      <c r="J24" s="25"/>
      <c r="K24" s="128">
        <v>8893000</v>
      </c>
      <c r="L24" s="128">
        <v>13836000</v>
      </c>
      <c r="M24" s="128">
        <v>7301000</v>
      </c>
      <c r="N24" s="128">
        <v>7018000</v>
      </c>
      <c r="O24" s="128">
        <v>7676000</v>
      </c>
      <c r="P24" s="128">
        <v>7828000</v>
      </c>
      <c r="Q24" s="128">
        <v>7897000</v>
      </c>
      <c r="R24" s="128">
        <v>8166000</v>
      </c>
      <c r="S24" s="128">
        <v>8166000</v>
      </c>
      <c r="T24" s="128">
        <v>7810000</v>
      </c>
      <c r="U24" s="128">
        <v>8300000</v>
      </c>
      <c r="V24" s="128">
        <v>7351000</v>
      </c>
      <c r="W24" s="128">
        <v>8131000</v>
      </c>
      <c r="X24" s="128">
        <v>8325000</v>
      </c>
      <c r="Y24" s="128">
        <v>8131000</v>
      </c>
      <c r="Z24" s="128">
        <v>8191000</v>
      </c>
      <c r="AA24" s="128">
        <v>8141000</v>
      </c>
      <c r="AB24" s="128">
        <v>8252000</v>
      </c>
      <c r="AC24" s="128">
        <v>7505000</v>
      </c>
      <c r="AD24" s="128">
        <v>7505000</v>
      </c>
      <c r="AE24" s="128">
        <v>7505000</v>
      </c>
      <c r="AF24" s="128">
        <v>7505000</v>
      </c>
      <c r="AG24" s="128">
        <v>7492000</v>
      </c>
      <c r="AH24" s="128">
        <v>7575000</v>
      </c>
      <c r="AI24" s="128">
        <v>7575000</v>
      </c>
      <c r="AJ24" s="128">
        <v>7558000</v>
      </c>
      <c r="AK24" s="128">
        <v>7505000</v>
      </c>
      <c r="AL24" s="128">
        <v>7487000</v>
      </c>
      <c r="AM24" s="128">
        <v>7487000</v>
      </c>
      <c r="AN24" s="128">
        <v>7487000</v>
      </c>
      <c r="AO24" s="128">
        <v>7503000</v>
      </c>
      <c r="AP24" s="128">
        <v>7418000</v>
      </c>
      <c r="AQ24" s="128">
        <v>7418000</v>
      </c>
      <c r="AR24" s="128">
        <v>7503000</v>
      </c>
      <c r="AS24" s="128">
        <v>7999000</v>
      </c>
    </row>
    <row r="25" spans="1:45" x14ac:dyDescent="0.25">
      <c r="A25" s="122"/>
      <c r="B25" s="123" t="s">
        <v>539</v>
      </c>
      <c r="C25" s="51"/>
      <c r="D25" s="51"/>
      <c r="E25" s="51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</row>
    <row r="26" spans="1:45" ht="15" x14ac:dyDescent="0.2">
      <c r="A26" s="122"/>
      <c r="B26" s="124" t="s">
        <v>540</v>
      </c>
      <c r="C26" s="99"/>
      <c r="D26" s="99"/>
      <c r="E26" s="99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</row>
    <row r="27" spans="1:45" x14ac:dyDescent="0.25">
      <c r="A27" s="122"/>
      <c r="B27" s="125" t="s">
        <v>541</v>
      </c>
      <c r="C27" s="126">
        <v>600</v>
      </c>
      <c r="D27" s="126">
        <v>190</v>
      </c>
      <c r="E27" s="126">
        <v>480</v>
      </c>
      <c r="F27" s="127">
        <v>3359000</v>
      </c>
      <c r="G27" s="127">
        <v>3166000</v>
      </c>
      <c r="H27" s="131"/>
      <c r="I27" s="127">
        <v>3376000</v>
      </c>
      <c r="J27" s="131"/>
      <c r="K27" s="127">
        <v>3340000</v>
      </c>
      <c r="L27" s="127">
        <v>4549000</v>
      </c>
      <c r="M27" s="127">
        <v>2992000</v>
      </c>
      <c r="N27" s="127">
        <v>2957000</v>
      </c>
      <c r="O27" s="127">
        <v>3048000</v>
      </c>
      <c r="P27" s="127">
        <v>3070000</v>
      </c>
      <c r="Q27" s="127">
        <v>3084000</v>
      </c>
      <c r="R27" s="127">
        <v>3123000</v>
      </c>
      <c r="S27" s="127">
        <v>3123000</v>
      </c>
      <c r="T27" s="127">
        <v>3066000</v>
      </c>
      <c r="U27" s="127">
        <v>3128000</v>
      </c>
      <c r="V27" s="127">
        <v>3007000</v>
      </c>
      <c r="W27" s="127">
        <v>3109000</v>
      </c>
      <c r="X27" s="127">
        <v>3133000</v>
      </c>
      <c r="Y27" s="127">
        <v>3109000</v>
      </c>
      <c r="Z27" s="127">
        <v>3115000</v>
      </c>
      <c r="AA27" s="127">
        <v>3109000</v>
      </c>
      <c r="AB27" s="127">
        <v>3123000</v>
      </c>
      <c r="AC27" s="127">
        <v>3019000</v>
      </c>
      <c r="AD27" s="127">
        <v>3019000</v>
      </c>
      <c r="AE27" s="127">
        <v>3019000</v>
      </c>
      <c r="AF27" s="127">
        <v>3019000</v>
      </c>
      <c r="AG27" s="127">
        <v>3017000</v>
      </c>
      <c r="AH27" s="127">
        <v>3027000</v>
      </c>
      <c r="AI27" s="127">
        <v>3027000</v>
      </c>
      <c r="AJ27" s="127">
        <v>3025000</v>
      </c>
      <c r="AK27" s="127">
        <v>3019000</v>
      </c>
      <c r="AL27" s="127">
        <v>3016000</v>
      </c>
      <c r="AM27" s="127">
        <v>3016000</v>
      </c>
      <c r="AN27" s="127">
        <v>3016000</v>
      </c>
      <c r="AO27" s="127">
        <v>3037000</v>
      </c>
      <c r="AP27" s="127">
        <v>3027000</v>
      </c>
      <c r="AQ27" s="127">
        <v>3027000</v>
      </c>
      <c r="AR27" s="127">
        <v>3037000</v>
      </c>
      <c r="AS27" s="127">
        <v>3094000</v>
      </c>
    </row>
    <row r="28" spans="1:45" x14ac:dyDescent="0.25">
      <c r="A28" s="122"/>
      <c r="B28" s="84" t="s">
        <v>542</v>
      </c>
      <c r="C28" s="63">
        <v>600</v>
      </c>
      <c r="D28" s="63">
        <v>190</v>
      </c>
      <c r="E28" s="63">
        <v>600</v>
      </c>
      <c r="F28" s="128">
        <v>3721000</v>
      </c>
      <c r="G28" s="128">
        <v>3481000</v>
      </c>
      <c r="H28" s="25"/>
      <c r="I28" s="128">
        <v>3743000</v>
      </c>
      <c r="J28" s="25"/>
      <c r="K28" s="128">
        <v>3677000</v>
      </c>
      <c r="L28" s="128">
        <v>5125000</v>
      </c>
      <c r="M28" s="128">
        <v>3262000</v>
      </c>
      <c r="N28" s="128">
        <v>3218000</v>
      </c>
      <c r="O28" s="128">
        <v>3329000</v>
      </c>
      <c r="P28" s="128">
        <v>3357000</v>
      </c>
      <c r="Q28" s="128">
        <v>3374000</v>
      </c>
      <c r="R28" s="128">
        <v>3421000</v>
      </c>
      <c r="S28" s="128">
        <v>3421000</v>
      </c>
      <c r="T28" s="128">
        <v>3352000</v>
      </c>
      <c r="U28" s="128">
        <v>3430000</v>
      </c>
      <c r="V28" s="128">
        <v>3278000</v>
      </c>
      <c r="W28" s="128">
        <v>3405000</v>
      </c>
      <c r="X28" s="128">
        <v>3435000</v>
      </c>
      <c r="Y28" s="128">
        <v>3405000</v>
      </c>
      <c r="Z28" s="128">
        <v>3413000</v>
      </c>
      <c r="AA28" s="128">
        <v>3405000</v>
      </c>
      <c r="AB28" s="128">
        <v>3423000</v>
      </c>
      <c r="AC28" s="128">
        <v>3295000</v>
      </c>
      <c r="AD28" s="128">
        <v>3295000</v>
      </c>
      <c r="AE28" s="128">
        <v>3295000</v>
      </c>
      <c r="AF28" s="128">
        <v>3295000</v>
      </c>
      <c r="AG28" s="128">
        <v>3293000</v>
      </c>
      <c r="AH28" s="128">
        <v>3306000</v>
      </c>
      <c r="AI28" s="128">
        <v>3306000</v>
      </c>
      <c r="AJ28" s="128">
        <v>3303000</v>
      </c>
      <c r="AK28" s="128">
        <v>3295000</v>
      </c>
      <c r="AL28" s="128">
        <v>3292000</v>
      </c>
      <c r="AM28" s="128">
        <v>3292000</v>
      </c>
      <c r="AN28" s="128">
        <v>3292000</v>
      </c>
      <c r="AO28" s="128">
        <v>3314000</v>
      </c>
      <c r="AP28" s="128">
        <v>3301000</v>
      </c>
      <c r="AQ28" s="128">
        <v>3301000</v>
      </c>
      <c r="AR28" s="128">
        <v>3314000</v>
      </c>
      <c r="AS28" s="128">
        <v>3386000</v>
      </c>
    </row>
    <row r="29" spans="1:45" x14ac:dyDescent="0.25">
      <c r="A29" s="122"/>
      <c r="B29" s="129" t="s">
        <v>543</v>
      </c>
      <c r="C29" s="130">
        <v>600</v>
      </c>
      <c r="D29" s="130">
        <v>190</v>
      </c>
      <c r="E29" s="130">
        <v>960</v>
      </c>
      <c r="F29" s="127">
        <v>4811000</v>
      </c>
      <c r="G29" s="127">
        <v>4426000</v>
      </c>
      <c r="H29" s="131"/>
      <c r="I29" s="127">
        <v>4846000</v>
      </c>
      <c r="J29" s="131"/>
      <c r="K29" s="127">
        <v>4690000</v>
      </c>
      <c r="L29" s="127">
        <v>6856000</v>
      </c>
      <c r="M29" s="127">
        <v>4073000</v>
      </c>
      <c r="N29" s="127">
        <v>4002000</v>
      </c>
      <c r="O29" s="127">
        <v>4177000</v>
      </c>
      <c r="P29" s="127">
        <v>4219000</v>
      </c>
      <c r="Q29" s="127">
        <v>4243000</v>
      </c>
      <c r="R29" s="127">
        <v>4316000</v>
      </c>
      <c r="S29" s="127">
        <v>4316000</v>
      </c>
      <c r="T29" s="127">
        <v>4212000</v>
      </c>
      <c r="U29" s="127">
        <v>4336000</v>
      </c>
      <c r="V29" s="127">
        <v>4095000</v>
      </c>
      <c r="W29" s="127">
        <v>4296000</v>
      </c>
      <c r="X29" s="127">
        <v>4344000</v>
      </c>
      <c r="Y29" s="127">
        <v>4296000</v>
      </c>
      <c r="Z29" s="127">
        <v>4309000</v>
      </c>
      <c r="AA29" s="127">
        <v>4297000</v>
      </c>
      <c r="AB29" s="127">
        <v>4324000</v>
      </c>
      <c r="AC29" s="127">
        <v>4125000</v>
      </c>
      <c r="AD29" s="127">
        <v>4125000</v>
      </c>
      <c r="AE29" s="127">
        <v>4125000</v>
      </c>
      <c r="AF29" s="127">
        <v>4125000</v>
      </c>
      <c r="AG29" s="127">
        <v>4122000</v>
      </c>
      <c r="AH29" s="127">
        <v>4142000</v>
      </c>
      <c r="AI29" s="127">
        <v>4142000</v>
      </c>
      <c r="AJ29" s="127">
        <v>4138000</v>
      </c>
      <c r="AK29" s="127">
        <v>4125000</v>
      </c>
      <c r="AL29" s="127">
        <v>4120000</v>
      </c>
      <c r="AM29" s="127">
        <v>4120000</v>
      </c>
      <c r="AN29" s="127">
        <v>4120000</v>
      </c>
      <c r="AO29" s="127">
        <v>4147000</v>
      </c>
      <c r="AP29" s="127">
        <v>4126000</v>
      </c>
      <c r="AQ29" s="127">
        <v>4126000</v>
      </c>
      <c r="AR29" s="127">
        <v>4147000</v>
      </c>
      <c r="AS29" s="127">
        <v>4265000</v>
      </c>
    </row>
    <row r="30" spans="1:45" x14ac:dyDescent="0.25">
      <c r="A30" s="122"/>
      <c r="B30" s="123" t="s">
        <v>544</v>
      </c>
      <c r="C30" s="51"/>
      <c r="D30" s="51"/>
      <c r="E30" s="51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</row>
    <row r="31" spans="1:45" ht="15" x14ac:dyDescent="0.2">
      <c r="A31" s="122"/>
      <c r="B31" s="124" t="s">
        <v>570</v>
      </c>
      <c r="C31" s="99"/>
      <c r="D31" s="99"/>
      <c r="E31" s="99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</row>
    <row r="32" spans="1:45" x14ac:dyDescent="0.25">
      <c r="A32" s="122"/>
      <c r="B32" s="125" t="s">
        <v>546</v>
      </c>
      <c r="C32" s="126">
        <v>600</v>
      </c>
      <c r="D32" s="126">
        <v>380</v>
      </c>
      <c r="E32" s="126">
        <v>480</v>
      </c>
      <c r="F32" s="127">
        <v>4824000</v>
      </c>
      <c r="G32" s="127">
        <v>4439000</v>
      </c>
      <c r="H32" s="131"/>
      <c r="I32" s="127">
        <v>4859000</v>
      </c>
      <c r="J32" s="131"/>
      <c r="K32" s="127">
        <v>4682000</v>
      </c>
      <c r="L32" s="127">
        <v>6649000</v>
      </c>
      <c r="M32" s="127">
        <v>4089000</v>
      </c>
      <c r="N32" s="127">
        <v>4018000</v>
      </c>
      <c r="O32" s="127">
        <v>4195000</v>
      </c>
      <c r="P32" s="127">
        <v>4239000</v>
      </c>
      <c r="Q32" s="127">
        <v>4265000</v>
      </c>
      <c r="R32" s="127">
        <v>4340000</v>
      </c>
      <c r="S32" s="127">
        <v>4340000</v>
      </c>
      <c r="T32" s="127">
        <v>4231000</v>
      </c>
      <c r="U32" s="127">
        <v>4355000</v>
      </c>
      <c r="V32" s="127">
        <v>4114000</v>
      </c>
      <c r="W32" s="127">
        <v>4316000</v>
      </c>
      <c r="X32" s="127">
        <v>4365000</v>
      </c>
      <c r="Y32" s="127">
        <v>4316000</v>
      </c>
      <c r="Z32" s="127">
        <v>4329000</v>
      </c>
      <c r="AA32" s="127">
        <v>4316000</v>
      </c>
      <c r="AB32" s="127">
        <v>4344000</v>
      </c>
      <c r="AC32" s="127">
        <v>4141000</v>
      </c>
      <c r="AD32" s="127">
        <v>4141000</v>
      </c>
      <c r="AE32" s="127">
        <v>4141000</v>
      </c>
      <c r="AF32" s="127">
        <v>4141000</v>
      </c>
      <c r="AG32" s="127">
        <v>4137000</v>
      </c>
      <c r="AH32" s="127">
        <v>4158000</v>
      </c>
      <c r="AI32" s="127">
        <v>4158000</v>
      </c>
      <c r="AJ32" s="127">
        <v>4154000</v>
      </c>
      <c r="AK32" s="127">
        <v>4141000</v>
      </c>
      <c r="AL32" s="127">
        <v>4136000</v>
      </c>
      <c r="AM32" s="127">
        <v>4136000</v>
      </c>
      <c r="AN32" s="127">
        <v>4136000</v>
      </c>
      <c r="AO32" s="127">
        <v>4170000</v>
      </c>
      <c r="AP32" s="127">
        <v>4149000</v>
      </c>
      <c r="AQ32" s="127">
        <v>4149000</v>
      </c>
      <c r="AR32" s="127">
        <v>4170000</v>
      </c>
      <c r="AS32" s="127">
        <v>4286000</v>
      </c>
    </row>
    <row r="33" spans="1:45" x14ac:dyDescent="0.25">
      <c r="A33" s="122"/>
      <c r="B33" s="84" t="s">
        <v>547</v>
      </c>
      <c r="C33" s="63">
        <v>600</v>
      </c>
      <c r="D33" s="63">
        <v>380</v>
      </c>
      <c r="E33" s="63">
        <v>600</v>
      </c>
      <c r="F33" s="128">
        <v>5431000</v>
      </c>
      <c r="G33" s="128">
        <v>4950000</v>
      </c>
      <c r="H33" s="25"/>
      <c r="I33" s="128">
        <v>5475000</v>
      </c>
      <c r="J33" s="25"/>
      <c r="K33" s="128">
        <v>5173000</v>
      </c>
      <c r="L33" s="128">
        <v>7379000</v>
      </c>
      <c r="M33" s="128">
        <v>4507000</v>
      </c>
      <c r="N33" s="128">
        <v>4418000</v>
      </c>
      <c r="O33" s="128">
        <v>4634000</v>
      </c>
      <c r="P33" s="128">
        <v>4686000</v>
      </c>
      <c r="Q33" s="128">
        <v>4714000</v>
      </c>
      <c r="R33" s="128">
        <v>4803000</v>
      </c>
      <c r="S33" s="128">
        <v>4803000</v>
      </c>
      <c r="T33" s="128">
        <v>4677000</v>
      </c>
      <c r="U33" s="128">
        <v>4832000</v>
      </c>
      <c r="V33" s="128">
        <v>4532000</v>
      </c>
      <c r="W33" s="128">
        <v>4781000</v>
      </c>
      <c r="X33" s="128">
        <v>4842000</v>
      </c>
      <c r="Y33" s="128">
        <v>4781000</v>
      </c>
      <c r="Z33" s="128">
        <v>4798000</v>
      </c>
      <c r="AA33" s="128">
        <v>4782000</v>
      </c>
      <c r="AB33" s="128">
        <v>4817000</v>
      </c>
      <c r="AC33" s="128">
        <v>4571000</v>
      </c>
      <c r="AD33" s="128">
        <v>4571000</v>
      </c>
      <c r="AE33" s="128">
        <v>4571000</v>
      </c>
      <c r="AF33" s="128">
        <v>4571000</v>
      </c>
      <c r="AG33" s="128">
        <v>4567000</v>
      </c>
      <c r="AH33" s="128">
        <v>4593000</v>
      </c>
      <c r="AI33" s="128">
        <v>4593000</v>
      </c>
      <c r="AJ33" s="128">
        <v>4588000</v>
      </c>
      <c r="AK33" s="128">
        <v>4571000</v>
      </c>
      <c r="AL33" s="128">
        <v>4566000</v>
      </c>
      <c r="AM33" s="128">
        <v>4566000</v>
      </c>
      <c r="AN33" s="128">
        <v>4566000</v>
      </c>
      <c r="AO33" s="128">
        <v>4593000</v>
      </c>
      <c r="AP33" s="128">
        <v>4566000</v>
      </c>
      <c r="AQ33" s="128">
        <v>4566000</v>
      </c>
      <c r="AR33" s="128">
        <v>4593000</v>
      </c>
      <c r="AS33" s="128">
        <v>4742000</v>
      </c>
    </row>
    <row r="34" spans="1:45" x14ac:dyDescent="0.25">
      <c r="A34" s="122"/>
      <c r="B34" s="129" t="s">
        <v>548</v>
      </c>
      <c r="C34" s="130">
        <v>600</v>
      </c>
      <c r="D34" s="130">
        <v>380</v>
      </c>
      <c r="E34" s="130">
        <v>960</v>
      </c>
      <c r="F34" s="127">
        <v>7249000</v>
      </c>
      <c r="G34" s="127">
        <v>6480000</v>
      </c>
      <c r="H34" s="131"/>
      <c r="I34" s="127">
        <v>7319000</v>
      </c>
      <c r="J34" s="131"/>
      <c r="K34" s="127">
        <v>6645000</v>
      </c>
      <c r="L34" s="127">
        <v>9568000</v>
      </c>
      <c r="M34" s="127">
        <v>5758000</v>
      </c>
      <c r="N34" s="127">
        <v>5616000</v>
      </c>
      <c r="O34" s="127">
        <v>5945000</v>
      </c>
      <c r="P34" s="127">
        <v>6021000</v>
      </c>
      <c r="Q34" s="127">
        <v>6056000</v>
      </c>
      <c r="R34" s="127">
        <v>6190000</v>
      </c>
      <c r="S34" s="127">
        <v>6190000</v>
      </c>
      <c r="T34" s="127">
        <v>6012000</v>
      </c>
      <c r="U34" s="127">
        <v>6257000</v>
      </c>
      <c r="V34" s="127">
        <v>5783000</v>
      </c>
      <c r="W34" s="127">
        <v>6173000</v>
      </c>
      <c r="X34" s="127">
        <v>6270000</v>
      </c>
      <c r="Y34" s="127">
        <v>6173000</v>
      </c>
      <c r="Z34" s="127">
        <v>6203000</v>
      </c>
      <c r="AA34" s="127">
        <v>6178000</v>
      </c>
      <c r="AB34" s="127">
        <v>6233000</v>
      </c>
      <c r="AC34" s="127">
        <v>5860000</v>
      </c>
      <c r="AD34" s="127">
        <v>5860000</v>
      </c>
      <c r="AE34" s="127">
        <v>5860000</v>
      </c>
      <c r="AF34" s="127">
        <v>5860000</v>
      </c>
      <c r="AG34" s="127">
        <v>5853000</v>
      </c>
      <c r="AH34" s="127">
        <v>5895000</v>
      </c>
      <c r="AI34" s="127">
        <v>5895000</v>
      </c>
      <c r="AJ34" s="127">
        <v>5886000</v>
      </c>
      <c r="AK34" s="127">
        <v>5860000</v>
      </c>
      <c r="AL34" s="127">
        <v>5851000</v>
      </c>
      <c r="AM34" s="127">
        <v>5851000</v>
      </c>
      <c r="AN34" s="127">
        <v>5851000</v>
      </c>
      <c r="AO34" s="127">
        <v>5859000</v>
      </c>
      <c r="AP34" s="127">
        <v>5816000</v>
      </c>
      <c r="AQ34" s="127">
        <v>5816000</v>
      </c>
      <c r="AR34" s="127">
        <v>5859000</v>
      </c>
      <c r="AS34" s="127">
        <v>6107000</v>
      </c>
    </row>
    <row r="35" spans="1:45" x14ac:dyDescent="0.25">
      <c r="A35" s="122"/>
      <c r="B35" s="123" t="s">
        <v>549</v>
      </c>
      <c r="C35" s="51"/>
      <c r="D35" s="51"/>
      <c r="E35" s="51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</row>
    <row r="36" spans="1:45" ht="15" x14ac:dyDescent="0.2">
      <c r="A36" s="122"/>
      <c r="B36" s="124" t="s">
        <v>550</v>
      </c>
      <c r="C36" s="99"/>
      <c r="D36" s="99"/>
      <c r="E36" s="99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</row>
    <row r="37" spans="1:45" x14ac:dyDescent="0.25">
      <c r="A37" s="122"/>
      <c r="B37" s="125" t="s">
        <v>551</v>
      </c>
      <c r="C37" s="126">
        <v>600</v>
      </c>
      <c r="D37" s="126">
        <v>760</v>
      </c>
      <c r="E37" s="126">
        <v>480</v>
      </c>
      <c r="F37" s="127">
        <v>8664000</v>
      </c>
      <c r="G37" s="127">
        <v>7895000</v>
      </c>
      <c r="H37" s="131"/>
      <c r="I37" s="127">
        <v>8734000</v>
      </c>
      <c r="J37" s="131"/>
      <c r="K37" s="127">
        <v>8818000</v>
      </c>
      <c r="L37" s="127">
        <v>13814000</v>
      </c>
      <c r="M37" s="127">
        <v>7222000</v>
      </c>
      <c r="N37" s="127">
        <v>7081000</v>
      </c>
      <c r="O37" s="127">
        <v>7472000</v>
      </c>
      <c r="P37" s="127">
        <v>7576000</v>
      </c>
      <c r="Q37" s="127">
        <v>7651000</v>
      </c>
      <c r="R37" s="127">
        <v>7822000</v>
      </c>
      <c r="S37" s="127">
        <v>7822000</v>
      </c>
      <c r="T37" s="127">
        <v>7548000</v>
      </c>
      <c r="U37" s="127">
        <v>7803000</v>
      </c>
      <c r="V37" s="127">
        <v>7307000</v>
      </c>
      <c r="W37" s="127">
        <v>7732000</v>
      </c>
      <c r="X37" s="127">
        <v>7829000</v>
      </c>
      <c r="Y37" s="127">
        <v>7732000</v>
      </c>
      <c r="Z37" s="127">
        <v>7751000</v>
      </c>
      <c r="AA37" s="127">
        <v>7726000</v>
      </c>
      <c r="AB37" s="127">
        <v>7782000</v>
      </c>
      <c r="AC37" s="127">
        <v>7329000</v>
      </c>
      <c r="AD37" s="127">
        <v>7329000</v>
      </c>
      <c r="AE37" s="127">
        <v>7329000</v>
      </c>
      <c r="AF37" s="127">
        <v>7329000</v>
      </c>
      <c r="AG37" s="127">
        <v>7322000</v>
      </c>
      <c r="AH37" s="127">
        <v>7364000</v>
      </c>
      <c r="AI37" s="127">
        <v>7364000</v>
      </c>
      <c r="AJ37" s="127">
        <v>7355000</v>
      </c>
      <c r="AK37" s="127">
        <v>7329000</v>
      </c>
      <c r="AL37" s="127">
        <v>7320000</v>
      </c>
      <c r="AM37" s="127">
        <v>7320000</v>
      </c>
      <c r="AN37" s="127">
        <v>7320000</v>
      </c>
      <c r="AO37" s="127">
        <v>7469000</v>
      </c>
      <c r="AP37" s="127">
        <v>7427000</v>
      </c>
      <c r="AQ37" s="127">
        <v>7427000</v>
      </c>
      <c r="AR37" s="127">
        <v>7469000</v>
      </c>
      <c r="AS37" s="127">
        <v>7680000</v>
      </c>
    </row>
    <row r="38" spans="1:45" x14ac:dyDescent="0.25">
      <c r="A38" s="122"/>
      <c r="B38" s="84" t="s">
        <v>552</v>
      </c>
      <c r="C38" s="63">
        <v>600</v>
      </c>
      <c r="D38" s="63">
        <v>760</v>
      </c>
      <c r="E38" s="63">
        <v>600</v>
      </c>
      <c r="F38" s="128">
        <v>9707000</v>
      </c>
      <c r="G38" s="128">
        <v>8746000</v>
      </c>
      <c r="H38" s="25"/>
      <c r="I38" s="128">
        <v>9795000</v>
      </c>
      <c r="J38" s="25"/>
      <c r="K38" s="128">
        <v>9565000</v>
      </c>
      <c r="L38" s="128">
        <v>14800000</v>
      </c>
      <c r="M38" s="128">
        <v>7884000</v>
      </c>
      <c r="N38" s="128">
        <v>7707000</v>
      </c>
      <c r="O38" s="128">
        <v>8170000</v>
      </c>
      <c r="P38" s="128">
        <v>8288000</v>
      </c>
      <c r="Q38" s="128">
        <v>8365000</v>
      </c>
      <c r="R38" s="128">
        <v>8563000</v>
      </c>
      <c r="S38" s="128">
        <v>8563000</v>
      </c>
      <c r="T38" s="128">
        <v>8261000</v>
      </c>
      <c r="U38" s="128">
        <v>8576000</v>
      </c>
      <c r="V38" s="128">
        <v>7965000</v>
      </c>
      <c r="W38" s="128">
        <v>8481000</v>
      </c>
      <c r="X38" s="128">
        <v>8603000</v>
      </c>
      <c r="Y38" s="128">
        <v>8481000</v>
      </c>
      <c r="Z38" s="128">
        <v>8510000</v>
      </c>
      <c r="AA38" s="128">
        <v>8479000</v>
      </c>
      <c r="AB38" s="128">
        <v>8548000</v>
      </c>
      <c r="AC38" s="128">
        <v>8015000</v>
      </c>
      <c r="AD38" s="128">
        <v>8015000</v>
      </c>
      <c r="AE38" s="128">
        <v>8015000</v>
      </c>
      <c r="AF38" s="128">
        <v>8015000</v>
      </c>
      <c r="AG38" s="128">
        <v>8007000</v>
      </c>
      <c r="AH38" s="128">
        <v>8060000</v>
      </c>
      <c r="AI38" s="128">
        <v>8060000</v>
      </c>
      <c r="AJ38" s="128">
        <v>8048000</v>
      </c>
      <c r="AK38" s="128">
        <v>8015000</v>
      </c>
      <c r="AL38" s="128">
        <v>8004000</v>
      </c>
      <c r="AM38" s="128">
        <v>8004000</v>
      </c>
      <c r="AN38" s="128">
        <v>8004000</v>
      </c>
      <c r="AO38" s="128">
        <v>8131000</v>
      </c>
      <c r="AP38" s="128">
        <v>8078000</v>
      </c>
      <c r="AQ38" s="128">
        <v>8078000</v>
      </c>
      <c r="AR38" s="128">
        <v>8131000</v>
      </c>
      <c r="AS38" s="128">
        <v>8410000</v>
      </c>
    </row>
    <row r="39" spans="1:45" x14ac:dyDescent="0.25">
      <c r="A39" s="132"/>
      <c r="B39" s="129" t="s">
        <v>553</v>
      </c>
      <c r="C39" s="130">
        <v>600</v>
      </c>
      <c r="D39" s="130">
        <v>760</v>
      </c>
      <c r="E39" s="130">
        <v>960</v>
      </c>
      <c r="F39" s="127">
        <v>12834000</v>
      </c>
      <c r="G39" s="127">
        <v>11296000</v>
      </c>
      <c r="H39" s="131"/>
      <c r="I39" s="127">
        <v>12975000</v>
      </c>
      <c r="J39" s="131"/>
      <c r="K39" s="127">
        <v>11805000</v>
      </c>
      <c r="L39" s="127">
        <v>17758000</v>
      </c>
      <c r="M39" s="127">
        <v>9868000</v>
      </c>
      <c r="N39" s="127">
        <v>9584000</v>
      </c>
      <c r="O39" s="127">
        <v>10262000</v>
      </c>
      <c r="P39" s="127">
        <v>10423000</v>
      </c>
      <c r="Q39" s="127">
        <v>10504000</v>
      </c>
      <c r="R39" s="127">
        <v>10784000</v>
      </c>
      <c r="S39" s="127">
        <v>10784000</v>
      </c>
      <c r="T39" s="127">
        <v>10399000</v>
      </c>
      <c r="U39" s="127">
        <v>10892000</v>
      </c>
      <c r="V39" s="127">
        <v>9936000</v>
      </c>
      <c r="W39" s="127">
        <v>10727000</v>
      </c>
      <c r="X39" s="127">
        <v>10921000</v>
      </c>
      <c r="Y39" s="127">
        <v>10727000</v>
      </c>
      <c r="Z39" s="127">
        <v>10783000</v>
      </c>
      <c r="AA39" s="127">
        <v>10734000</v>
      </c>
      <c r="AB39" s="127">
        <v>10845000</v>
      </c>
      <c r="AC39" s="127">
        <v>10073000</v>
      </c>
      <c r="AD39" s="127">
        <v>10073000</v>
      </c>
      <c r="AE39" s="127">
        <v>10073000</v>
      </c>
      <c r="AF39" s="127">
        <v>10073000</v>
      </c>
      <c r="AG39" s="127">
        <v>10060000</v>
      </c>
      <c r="AH39" s="127">
        <v>10143000</v>
      </c>
      <c r="AI39" s="127">
        <v>10143000</v>
      </c>
      <c r="AJ39" s="127">
        <v>10126000</v>
      </c>
      <c r="AK39" s="127">
        <v>10073000</v>
      </c>
      <c r="AL39" s="127">
        <v>10055000</v>
      </c>
      <c r="AM39" s="127">
        <v>10055000</v>
      </c>
      <c r="AN39" s="127">
        <v>10055000</v>
      </c>
      <c r="AO39" s="127">
        <v>10115000</v>
      </c>
      <c r="AP39" s="127">
        <v>10030000</v>
      </c>
      <c r="AQ39" s="127">
        <v>10030000</v>
      </c>
      <c r="AR39" s="127">
        <v>10115000</v>
      </c>
      <c r="AS39" s="167">
        <v>10599000</v>
      </c>
    </row>
    <row r="40" spans="1:45" ht="19.5" x14ac:dyDescent="0.2">
      <c r="A40" s="133"/>
      <c r="B40" s="134" t="s">
        <v>554</v>
      </c>
      <c r="C40" s="135"/>
      <c r="D40" s="135"/>
      <c r="E40" s="135"/>
      <c r="F40" s="13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25">
      <c r="A41" s="138"/>
      <c r="B41" s="139" t="s">
        <v>554</v>
      </c>
      <c r="C41" s="140" t="s">
        <v>517</v>
      </c>
      <c r="D41" s="140" t="s">
        <v>518</v>
      </c>
      <c r="E41" s="114" t="s">
        <v>519</v>
      </c>
      <c r="F41" s="141" t="s">
        <v>571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25">
      <c r="A42" s="138"/>
      <c r="B42" s="143" t="s">
        <v>557</v>
      </c>
      <c r="C42" s="144">
        <v>500</v>
      </c>
      <c r="D42" s="144">
        <v>180</v>
      </c>
      <c r="E42" s="145">
        <v>480</v>
      </c>
      <c r="F42" s="146">
        <v>1714000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25">
      <c r="A43" s="138"/>
      <c r="B43" s="148" t="s">
        <v>558</v>
      </c>
      <c r="C43" s="63">
        <v>500</v>
      </c>
      <c r="D43" s="63">
        <v>180</v>
      </c>
      <c r="E43" s="149">
        <v>500</v>
      </c>
      <c r="F43" s="150">
        <v>1745000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25">
      <c r="A44" s="138"/>
      <c r="B44" s="317" t="e">
        <f ca="1">_xludf.image("https://lh3.google.com/u/0/d/12LDpXoULkXf1jGBe_bm5yM8Q9pUisCvw",1)</f>
        <v>#NAME?</v>
      </c>
      <c r="C44" s="153">
        <v>500</v>
      </c>
      <c r="D44" s="153">
        <v>180</v>
      </c>
      <c r="E44" s="154">
        <v>600</v>
      </c>
      <c r="F44" s="155">
        <v>1901000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25">
      <c r="A45" s="138"/>
      <c r="B45" s="318"/>
      <c r="C45" s="63">
        <v>500</v>
      </c>
      <c r="D45" s="63">
        <v>180</v>
      </c>
      <c r="E45" s="149">
        <v>960</v>
      </c>
      <c r="F45" s="150">
        <v>2461000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25">
      <c r="A46" s="138"/>
      <c r="B46" s="318"/>
      <c r="C46" s="153">
        <v>500</v>
      </c>
      <c r="D46" s="153">
        <v>180</v>
      </c>
      <c r="E46" s="154">
        <v>1000</v>
      </c>
      <c r="F46" s="155">
        <v>2524000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25">
      <c r="A47" s="138"/>
      <c r="B47" s="318"/>
      <c r="C47" s="63">
        <v>500</v>
      </c>
      <c r="D47" s="63">
        <v>180</v>
      </c>
      <c r="E47" s="149">
        <v>1100</v>
      </c>
      <c r="F47" s="150">
        <v>2680000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25">
      <c r="A48" s="138"/>
      <c r="B48" s="277"/>
      <c r="C48" s="153">
        <v>500</v>
      </c>
      <c r="D48" s="153">
        <v>180</v>
      </c>
      <c r="E48" s="154">
        <v>1200</v>
      </c>
      <c r="F48" s="157">
        <v>2835000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ht="12.75" x14ac:dyDescent="0.2">
      <c r="A49" s="138"/>
      <c r="B49" s="152"/>
      <c r="C49" s="51"/>
      <c r="D49" s="51"/>
      <c r="E49" s="61"/>
      <c r="F49" s="15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25">
      <c r="A50" s="138"/>
      <c r="B50" s="139" t="s">
        <v>554</v>
      </c>
      <c r="C50" s="144">
        <v>500</v>
      </c>
      <c r="D50" s="144">
        <v>280</v>
      </c>
      <c r="E50" s="145">
        <v>480</v>
      </c>
      <c r="F50" s="146">
        <v>1886000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25">
      <c r="A51" s="138"/>
      <c r="B51" s="143" t="s">
        <v>559</v>
      </c>
      <c r="C51" s="63">
        <v>500</v>
      </c>
      <c r="D51" s="63">
        <v>280</v>
      </c>
      <c r="E51" s="149">
        <v>500</v>
      </c>
      <c r="F51" s="150">
        <v>1918000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25">
      <c r="A52" s="138"/>
      <c r="B52" s="148" t="s">
        <v>558</v>
      </c>
      <c r="C52" s="153">
        <v>500</v>
      </c>
      <c r="D52" s="153">
        <v>280</v>
      </c>
      <c r="E52" s="154">
        <v>600</v>
      </c>
      <c r="F52" s="155">
        <v>2077000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25">
      <c r="A53" s="138"/>
      <c r="B53" s="317" t="e">
        <f ca="1">_xludf.image("https://lh3.google.com/u/0/d/12LDpXoULkXf1jGBe_bm5yM8Q9pUisCvw",1)</f>
        <v>#NAME?</v>
      </c>
      <c r="C53" s="63">
        <v>500</v>
      </c>
      <c r="D53" s="63">
        <v>280</v>
      </c>
      <c r="E53" s="149">
        <v>960</v>
      </c>
      <c r="F53" s="150">
        <v>2651000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25">
      <c r="A54" s="138"/>
      <c r="B54" s="318"/>
      <c r="C54" s="153">
        <v>500</v>
      </c>
      <c r="D54" s="153">
        <v>280</v>
      </c>
      <c r="E54" s="154">
        <v>1000</v>
      </c>
      <c r="F54" s="155">
        <v>2715000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25">
      <c r="A55" s="138"/>
      <c r="B55" s="318"/>
      <c r="C55" s="63">
        <v>500</v>
      </c>
      <c r="D55" s="63">
        <v>280</v>
      </c>
      <c r="E55" s="149">
        <v>1100</v>
      </c>
      <c r="F55" s="150">
        <v>2874000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25">
      <c r="A56" s="138"/>
      <c r="B56" s="318"/>
      <c r="C56" s="153">
        <v>500</v>
      </c>
      <c r="D56" s="153">
        <v>280</v>
      </c>
      <c r="E56" s="154">
        <v>1200</v>
      </c>
      <c r="F56" s="157">
        <v>3033000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ht="12.75" x14ac:dyDescent="0.2">
      <c r="A57" s="138"/>
      <c r="B57" s="277"/>
      <c r="C57" s="51"/>
      <c r="D57" s="51"/>
      <c r="E57" s="61"/>
      <c r="F57" s="159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x14ac:dyDescent="0.25">
      <c r="A58" s="138"/>
      <c r="B58" s="139" t="s">
        <v>554</v>
      </c>
      <c r="C58" s="144">
        <v>500</v>
      </c>
      <c r="D58" s="144">
        <v>360</v>
      </c>
      <c r="E58" s="145">
        <v>480</v>
      </c>
      <c r="F58" s="146">
        <v>2871000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x14ac:dyDescent="0.25">
      <c r="A59" s="138"/>
      <c r="B59" s="143" t="s">
        <v>560</v>
      </c>
      <c r="C59" s="63">
        <v>500</v>
      </c>
      <c r="D59" s="63">
        <v>360</v>
      </c>
      <c r="E59" s="149">
        <v>500</v>
      </c>
      <c r="F59" s="150">
        <v>2915000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25">
      <c r="A60" s="138"/>
      <c r="B60" s="148" t="s">
        <v>558</v>
      </c>
      <c r="C60" s="153">
        <v>500</v>
      </c>
      <c r="D60" s="153">
        <v>360</v>
      </c>
      <c r="E60" s="154">
        <v>600</v>
      </c>
      <c r="F60" s="155">
        <v>3135000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25">
      <c r="A61" s="138"/>
      <c r="B61" s="317" t="e">
        <f ca="1">_xludf.image("https://lh3.google.com/u/0/d/1XQLuLGIvDqNLNgqA_7ANQUmUhW9BwVpf",1)</f>
        <v>#NAME?</v>
      </c>
      <c r="C61" s="63">
        <v>500</v>
      </c>
      <c r="D61" s="63">
        <v>360</v>
      </c>
      <c r="E61" s="149">
        <v>960</v>
      </c>
      <c r="F61" s="150">
        <v>3927000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x14ac:dyDescent="0.25">
      <c r="A62" s="138"/>
      <c r="B62" s="318"/>
      <c r="C62" s="153">
        <v>500</v>
      </c>
      <c r="D62" s="153">
        <v>360</v>
      </c>
      <c r="E62" s="154">
        <v>1000</v>
      </c>
      <c r="F62" s="155">
        <v>4015000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x14ac:dyDescent="0.25">
      <c r="A63" s="138"/>
      <c r="B63" s="318"/>
      <c r="C63" s="63">
        <v>500</v>
      </c>
      <c r="D63" s="63">
        <v>360</v>
      </c>
      <c r="E63" s="149">
        <v>1100</v>
      </c>
      <c r="F63" s="150">
        <v>4236000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25">
      <c r="A64" s="138"/>
      <c r="B64" s="277"/>
      <c r="C64" s="153">
        <v>500</v>
      </c>
      <c r="D64" s="153">
        <v>360</v>
      </c>
      <c r="E64" s="154">
        <v>1200</v>
      </c>
      <c r="F64" s="157">
        <v>4456000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ht="12.75" x14ac:dyDescent="0.2">
      <c r="A65" s="138"/>
      <c r="B65" s="152"/>
      <c r="C65" s="51"/>
      <c r="D65" s="51"/>
      <c r="E65" s="61"/>
      <c r="F65" s="159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 x14ac:dyDescent="0.25">
      <c r="A66" s="138"/>
      <c r="B66" s="139" t="s">
        <v>554</v>
      </c>
      <c r="C66" s="144">
        <v>500</v>
      </c>
      <c r="D66" s="144">
        <v>560</v>
      </c>
      <c r="E66" s="145">
        <v>480</v>
      </c>
      <c r="F66" s="146">
        <v>3216000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x14ac:dyDescent="0.25">
      <c r="A67" s="138"/>
      <c r="B67" s="143" t="s">
        <v>561</v>
      </c>
      <c r="C67" s="63">
        <v>500</v>
      </c>
      <c r="D67" s="63">
        <v>560</v>
      </c>
      <c r="E67" s="149">
        <v>500</v>
      </c>
      <c r="F67" s="150">
        <v>3261000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x14ac:dyDescent="0.25">
      <c r="A68" s="138"/>
      <c r="B68" s="148" t="s">
        <v>558</v>
      </c>
      <c r="C68" s="153">
        <v>500</v>
      </c>
      <c r="D68" s="153">
        <v>560</v>
      </c>
      <c r="E68" s="154">
        <v>600</v>
      </c>
      <c r="F68" s="155">
        <v>3488000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 spans="1:45" x14ac:dyDescent="0.25">
      <c r="A69" s="138"/>
      <c r="B69" s="317" t="e">
        <f ca="1">_xludf.image("https://lh3.google.com/u/0/d/1XQLuLGIvDqNLNgqA_7ANQUmUhW9BwVpf",1)</f>
        <v>#NAME?</v>
      </c>
      <c r="C69" s="63">
        <v>500</v>
      </c>
      <c r="D69" s="63">
        <v>560</v>
      </c>
      <c r="E69" s="149">
        <v>960</v>
      </c>
      <c r="F69" s="150">
        <v>4307000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1:45" x14ac:dyDescent="0.25">
      <c r="A70" s="138"/>
      <c r="B70" s="318"/>
      <c r="C70" s="153">
        <v>500</v>
      </c>
      <c r="D70" s="153">
        <v>560</v>
      </c>
      <c r="E70" s="154">
        <v>1000</v>
      </c>
      <c r="F70" s="155">
        <v>4397000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 spans="1:45" x14ac:dyDescent="0.25">
      <c r="A71" s="138"/>
      <c r="B71" s="318"/>
      <c r="C71" s="63">
        <v>500</v>
      </c>
      <c r="D71" s="63">
        <v>560</v>
      </c>
      <c r="E71" s="149">
        <v>1100</v>
      </c>
      <c r="F71" s="150">
        <v>4625000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spans="1:45" x14ac:dyDescent="0.25">
      <c r="A72" s="138"/>
      <c r="B72" s="277"/>
      <c r="C72" s="153">
        <v>500</v>
      </c>
      <c r="D72" s="153">
        <v>560</v>
      </c>
      <c r="E72" s="154">
        <v>1200</v>
      </c>
      <c r="F72" s="157">
        <v>4852000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spans="1:45" ht="12.75" x14ac:dyDescent="0.2">
      <c r="A73" s="138"/>
      <c r="B73" s="160"/>
      <c r="C73" s="99"/>
      <c r="D73" s="99"/>
      <c r="E73" s="3"/>
      <c r="F73" s="159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 spans="1:45" x14ac:dyDescent="0.25">
      <c r="A74" s="138"/>
      <c r="B74" s="139" t="s">
        <v>554</v>
      </c>
      <c r="C74" s="144">
        <v>500</v>
      </c>
      <c r="D74" s="144">
        <v>540</v>
      </c>
      <c r="E74" s="145">
        <v>480</v>
      </c>
      <c r="F74" s="146">
        <v>4027000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 x14ac:dyDescent="0.25">
      <c r="A75" s="138"/>
      <c r="B75" s="143" t="s">
        <v>562</v>
      </c>
      <c r="C75" s="63">
        <v>500</v>
      </c>
      <c r="D75" s="63">
        <v>540</v>
      </c>
      <c r="E75" s="149">
        <v>500</v>
      </c>
      <c r="F75" s="150">
        <v>4084000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spans="1:45" x14ac:dyDescent="0.25">
      <c r="A76" s="138"/>
      <c r="B76" s="148" t="s">
        <v>558</v>
      </c>
      <c r="C76" s="153">
        <v>500</v>
      </c>
      <c r="D76" s="153">
        <v>540</v>
      </c>
      <c r="E76" s="154">
        <v>600</v>
      </c>
      <c r="F76" s="155">
        <v>4369000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 x14ac:dyDescent="0.25">
      <c r="A77" s="138"/>
      <c r="B77" s="317" t="e">
        <f ca="1">_xludf.image("https://lh3.google.com/u/0/d/1NK4lp1GSTS7PxMYfSFHQN5xojlj_EhSy",1)</f>
        <v>#NAME?</v>
      </c>
      <c r="C77" s="63">
        <v>500</v>
      </c>
      <c r="D77" s="63">
        <v>540</v>
      </c>
      <c r="E77" s="149">
        <v>960</v>
      </c>
      <c r="F77" s="150">
        <v>5393000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spans="1:45" x14ac:dyDescent="0.25">
      <c r="A78" s="138"/>
      <c r="B78" s="318"/>
      <c r="C78" s="153">
        <v>500</v>
      </c>
      <c r="D78" s="153">
        <v>540</v>
      </c>
      <c r="E78" s="154">
        <v>1000</v>
      </c>
      <c r="F78" s="155">
        <v>5507000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spans="1:45" x14ac:dyDescent="0.25">
      <c r="A79" s="138"/>
      <c r="B79" s="318"/>
      <c r="C79" s="63">
        <v>500</v>
      </c>
      <c r="D79" s="63">
        <v>540</v>
      </c>
      <c r="E79" s="149">
        <v>1100</v>
      </c>
      <c r="F79" s="150">
        <v>5792000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spans="1:45" x14ac:dyDescent="0.25">
      <c r="A80" s="138"/>
      <c r="B80" s="277"/>
      <c r="C80" s="153">
        <v>500</v>
      </c>
      <c r="D80" s="153">
        <v>540</v>
      </c>
      <c r="E80" s="154">
        <v>1200</v>
      </c>
      <c r="F80" s="157">
        <v>6076000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spans="1:45" ht="12.75" x14ac:dyDescent="0.2">
      <c r="A81" s="138"/>
      <c r="B81" s="161"/>
      <c r="C81" s="99"/>
      <c r="D81" s="99"/>
      <c r="E81" s="3"/>
      <c r="F81" s="159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1:45" x14ac:dyDescent="0.25">
      <c r="A82" s="138"/>
      <c r="B82" s="139" t="s">
        <v>554</v>
      </c>
      <c r="C82" s="144">
        <v>500</v>
      </c>
      <c r="D82" s="144">
        <v>720</v>
      </c>
      <c r="E82" s="145">
        <v>480</v>
      </c>
      <c r="F82" s="146">
        <v>5184000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spans="1:45" x14ac:dyDescent="0.25">
      <c r="A83" s="138"/>
      <c r="B83" s="143" t="s">
        <v>563</v>
      </c>
      <c r="C83" s="63">
        <v>500</v>
      </c>
      <c r="D83" s="63">
        <v>720</v>
      </c>
      <c r="E83" s="149">
        <v>500</v>
      </c>
      <c r="F83" s="150">
        <v>5254000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</row>
    <row r="84" spans="1:45" x14ac:dyDescent="0.25">
      <c r="A84" s="138"/>
      <c r="B84" s="148" t="s">
        <v>558</v>
      </c>
      <c r="C84" s="153">
        <v>500</v>
      </c>
      <c r="D84" s="153">
        <v>720</v>
      </c>
      <c r="E84" s="154">
        <v>600</v>
      </c>
      <c r="F84" s="155">
        <v>5603000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1:45" x14ac:dyDescent="0.25">
      <c r="A85" s="138"/>
      <c r="B85" s="317" t="e">
        <f ca="1">_xludf.image("https://lh3.google.com/u/0/d/1cc6ArPFSXJxYWGhUiGsWjIMFtbG8qOGv",1)</f>
        <v>#NAME?</v>
      </c>
      <c r="C85" s="63">
        <v>500</v>
      </c>
      <c r="D85" s="63">
        <v>720</v>
      </c>
      <c r="E85" s="149">
        <v>960</v>
      </c>
      <c r="F85" s="150">
        <v>6859000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spans="1:45" x14ac:dyDescent="0.25">
      <c r="A86" s="138"/>
      <c r="B86" s="318"/>
      <c r="C86" s="153">
        <v>500</v>
      </c>
      <c r="D86" s="153">
        <v>720</v>
      </c>
      <c r="E86" s="154">
        <v>1000</v>
      </c>
      <c r="F86" s="155">
        <v>6999000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 x14ac:dyDescent="0.25">
      <c r="A87" s="138"/>
      <c r="B87" s="318"/>
      <c r="C87" s="63">
        <v>500</v>
      </c>
      <c r="D87" s="63">
        <v>720</v>
      </c>
      <c r="E87" s="149">
        <v>1100</v>
      </c>
      <c r="F87" s="150">
        <v>7348000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 spans="1:45" x14ac:dyDescent="0.25">
      <c r="A88" s="138"/>
      <c r="B88" s="277"/>
      <c r="C88" s="153">
        <v>500</v>
      </c>
      <c r="D88" s="153">
        <v>720</v>
      </c>
      <c r="E88" s="154">
        <v>1200</v>
      </c>
      <c r="F88" s="157">
        <v>7697000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 spans="1:45" x14ac:dyDescent="0.25">
      <c r="A89" s="138"/>
      <c r="B89" s="152"/>
      <c r="C89" s="99"/>
      <c r="D89" s="3"/>
      <c r="E89" s="92"/>
      <c r="F89" s="141" t="s">
        <v>564</v>
      </c>
      <c r="G89" s="168" t="s">
        <v>565</v>
      </c>
      <c r="H89" s="169" t="s">
        <v>572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1:45" x14ac:dyDescent="0.25">
      <c r="A90" s="138"/>
      <c r="B90" s="139" t="s">
        <v>566</v>
      </c>
      <c r="C90" s="144">
        <v>500</v>
      </c>
      <c r="D90" s="145">
        <v>100</v>
      </c>
      <c r="E90" s="162">
        <v>600</v>
      </c>
      <c r="F90" s="146">
        <v>292000</v>
      </c>
      <c r="G90" s="147">
        <v>1918000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spans="1:45" x14ac:dyDescent="0.25">
      <c r="A91" s="138"/>
      <c r="B91" s="317" t="e">
        <f ca="1">_xludf.image("https://lh3.google.com/u/0/d/1X1QhQ4BAitcyzdd7Nfe3_nLmm1r2IprK",1)</f>
        <v>#NAME?</v>
      </c>
      <c r="C91" s="63">
        <v>500</v>
      </c>
      <c r="D91" s="149">
        <v>100</v>
      </c>
      <c r="E91" s="163">
        <v>960</v>
      </c>
      <c r="F91" s="150">
        <v>442000</v>
      </c>
      <c r="G91" s="151">
        <v>2658000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spans="1:45" x14ac:dyDescent="0.25">
      <c r="A92" s="138"/>
      <c r="B92" s="318"/>
      <c r="C92" s="164">
        <v>500</v>
      </c>
      <c r="D92" s="154">
        <v>100</v>
      </c>
      <c r="E92" s="165">
        <v>1000</v>
      </c>
      <c r="F92" s="155">
        <v>450000</v>
      </c>
      <c r="G92" s="156">
        <v>2903000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spans="1:45" x14ac:dyDescent="0.25">
      <c r="A93" s="138"/>
      <c r="B93" s="318"/>
      <c r="C93" s="62">
        <v>500</v>
      </c>
      <c r="D93" s="149">
        <v>100</v>
      </c>
      <c r="E93" s="163">
        <v>1100</v>
      </c>
      <c r="F93" s="150">
        <v>509000</v>
      </c>
      <c r="G93" s="151">
        <v>3210000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 spans="1:45" x14ac:dyDescent="0.25">
      <c r="A94" s="166"/>
      <c r="B94" s="277"/>
      <c r="C94" s="164">
        <v>500</v>
      </c>
      <c r="D94" s="154">
        <v>100</v>
      </c>
      <c r="E94" s="165">
        <v>1200</v>
      </c>
      <c r="F94" s="157">
        <v>568000</v>
      </c>
      <c r="G94" s="158">
        <v>3518000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</sheetData>
  <mergeCells count="51"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R4:AR5"/>
    <mergeCell ref="AS4:AS5"/>
    <mergeCell ref="AK4:AK5"/>
    <mergeCell ref="AL4:AL5"/>
    <mergeCell ref="AM4:AM5"/>
    <mergeCell ref="AN4:AN5"/>
    <mergeCell ref="AO4:AO5"/>
    <mergeCell ref="AP4:AP5"/>
    <mergeCell ref="AQ4:AQ5"/>
    <mergeCell ref="A1:E1"/>
    <mergeCell ref="A2:B2"/>
    <mergeCell ref="A3:B3"/>
    <mergeCell ref="C4:E4"/>
    <mergeCell ref="B44:B48"/>
    <mergeCell ref="F4:F5"/>
    <mergeCell ref="G4:G5"/>
    <mergeCell ref="H4:H5"/>
    <mergeCell ref="B85:B88"/>
    <mergeCell ref="B91:B94"/>
    <mergeCell ref="B53:B57"/>
    <mergeCell ref="B61:B64"/>
    <mergeCell ref="B69:B72"/>
    <mergeCell ref="B77:B8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53"/>
  <sheetViews>
    <sheetView zoomScale="130" zoomScaleNormal="130" workbookViewId="0">
      <selection activeCell="B6" sqref="B6:E11"/>
    </sheetView>
  </sheetViews>
  <sheetFormatPr defaultColWidth="12.5703125" defaultRowHeight="15.75" customHeight="1" x14ac:dyDescent="0.2"/>
  <cols>
    <col min="1" max="1" width="5.5703125" customWidth="1"/>
    <col min="2" max="2" width="31.140625" customWidth="1"/>
    <col min="3" max="5" width="3.85546875" customWidth="1"/>
    <col min="6" max="6" width="17" customWidth="1"/>
    <col min="7" max="7" width="21.5703125" customWidth="1"/>
  </cols>
  <sheetData>
    <row r="1" spans="1:7" ht="15.75" customHeight="1" x14ac:dyDescent="0.25">
      <c r="A1" s="170" t="s">
        <v>573</v>
      </c>
      <c r="B1" s="171"/>
      <c r="C1" s="171"/>
      <c r="D1" s="171"/>
      <c r="E1" s="171"/>
      <c r="F1" s="172"/>
      <c r="G1" s="173">
        <v>46175</v>
      </c>
    </row>
    <row r="2" spans="1:7" ht="15.75" customHeight="1" x14ac:dyDescent="0.25">
      <c r="A2" s="174" t="s">
        <v>574</v>
      </c>
      <c r="B2" s="175"/>
      <c r="C2" s="175"/>
      <c r="D2" s="175"/>
      <c r="E2" s="175"/>
      <c r="F2" s="176"/>
      <c r="G2" s="177" t="s">
        <v>575</v>
      </c>
    </row>
    <row r="3" spans="1:7" ht="15.75" customHeight="1" x14ac:dyDescent="0.25">
      <c r="A3" s="178" t="s">
        <v>265</v>
      </c>
      <c r="B3" s="179" t="s">
        <v>266</v>
      </c>
      <c r="C3" s="325" t="s">
        <v>576</v>
      </c>
      <c r="D3" s="326"/>
      <c r="E3" s="327"/>
      <c r="F3" s="180" t="s">
        <v>577</v>
      </c>
      <c r="G3" s="181" t="s">
        <v>578</v>
      </c>
    </row>
    <row r="4" spans="1:7" ht="15.75" customHeight="1" x14ac:dyDescent="0.25">
      <c r="A4" s="182"/>
      <c r="B4" s="182"/>
      <c r="C4" s="182"/>
      <c r="D4" s="182"/>
      <c r="E4" s="182"/>
      <c r="F4" s="183"/>
      <c r="G4" s="184" t="s">
        <v>579</v>
      </c>
    </row>
    <row r="5" spans="1:7" ht="15.75" customHeight="1" x14ac:dyDescent="0.3">
      <c r="A5" s="185"/>
      <c r="B5" s="186" t="s">
        <v>580</v>
      </c>
      <c r="C5" s="185"/>
      <c r="D5" s="185"/>
      <c r="E5" s="185"/>
      <c r="F5" s="187"/>
      <c r="G5" s="188" t="s">
        <v>581</v>
      </c>
    </row>
    <row r="6" spans="1:7" ht="12.75" x14ac:dyDescent="0.2">
      <c r="A6" s="189">
        <v>1</v>
      </c>
      <c r="B6" s="48" t="s">
        <v>582</v>
      </c>
      <c r="C6" s="190">
        <v>22</v>
      </c>
      <c r="D6" s="190">
        <v>297</v>
      </c>
      <c r="E6" s="190">
        <v>740</v>
      </c>
      <c r="F6" s="191">
        <v>2</v>
      </c>
      <c r="G6" s="188">
        <v>1519000</v>
      </c>
    </row>
    <row r="7" spans="1:7" ht="12.75" x14ac:dyDescent="0.2">
      <c r="A7" s="189">
        <v>2</v>
      </c>
      <c r="B7" s="48" t="s">
        <v>583</v>
      </c>
      <c r="C7" s="190">
        <v>22</v>
      </c>
      <c r="D7" s="190">
        <v>397</v>
      </c>
      <c r="E7" s="190">
        <v>740</v>
      </c>
      <c r="F7" s="191">
        <v>2</v>
      </c>
      <c r="G7" s="188">
        <v>1683000</v>
      </c>
    </row>
    <row r="8" spans="1:7" ht="12.75" x14ac:dyDescent="0.2">
      <c r="A8" s="189">
        <v>3</v>
      </c>
      <c r="B8" s="48" t="s">
        <v>584</v>
      </c>
      <c r="C8" s="190">
        <v>22</v>
      </c>
      <c r="D8" s="190">
        <v>447</v>
      </c>
      <c r="E8" s="190">
        <v>740</v>
      </c>
      <c r="F8" s="191">
        <v>2</v>
      </c>
      <c r="G8" s="188">
        <v>1764000</v>
      </c>
    </row>
    <row r="9" spans="1:7" ht="12.75" x14ac:dyDescent="0.2">
      <c r="A9" s="189">
        <v>4</v>
      </c>
      <c r="B9" s="48" t="s">
        <v>585</v>
      </c>
      <c r="C9" s="190">
        <v>22</v>
      </c>
      <c r="D9" s="190">
        <v>497</v>
      </c>
      <c r="E9" s="190">
        <v>740</v>
      </c>
      <c r="F9" s="191">
        <v>2</v>
      </c>
      <c r="G9" s="188">
        <v>1846000</v>
      </c>
    </row>
    <row r="10" spans="1:7" ht="12.75" x14ac:dyDescent="0.2">
      <c r="A10" s="189">
        <v>5</v>
      </c>
      <c r="B10" s="48" t="s">
        <v>586</v>
      </c>
      <c r="C10" s="190">
        <v>22</v>
      </c>
      <c r="D10" s="190">
        <v>547</v>
      </c>
      <c r="E10" s="190">
        <v>740</v>
      </c>
      <c r="F10" s="191">
        <v>2</v>
      </c>
      <c r="G10" s="188">
        <v>1928000</v>
      </c>
    </row>
    <row r="11" spans="1:7" ht="12.75" x14ac:dyDescent="0.2">
      <c r="A11" s="189">
        <v>6</v>
      </c>
      <c r="B11" s="48" t="s">
        <v>587</v>
      </c>
      <c r="C11" s="190">
        <v>22</v>
      </c>
      <c r="D11" s="190">
        <v>597</v>
      </c>
      <c r="E11" s="190">
        <v>740</v>
      </c>
      <c r="F11" s="191">
        <v>2</v>
      </c>
      <c r="G11" s="188">
        <v>2010000</v>
      </c>
    </row>
    <row r="12" spans="1:7" ht="15.75" customHeight="1" x14ac:dyDescent="0.3">
      <c r="A12" s="185"/>
      <c r="B12" s="186" t="s">
        <v>588</v>
      </c>
      <c r="C12" s="192"/>
      <c r="D12" s="193"/>
      <c r="E12" s="193"/>
      <c r="F12" s="194"/>
      <c r="G12" s="188" t="s">
        <v>589</v>
      </c>
    </row>
    <row r="13" spans="1:7" ht="12.75" x14ac:dyDescent="0.2">
      <c r="A13" s="189">
        <v>1</v>
      </c>
      <c r="B13" s="48" t="s">
        <v>590</v>
      </c>
      <c r="C13" s="190">
        <v>22</v>
      </c>
      <c r="D13" s="190">
        <v>297</v>
      </c>
      <c r="E13" s="190">
        <v>975</v>
      </c>
      <c r="F13" s="191">
        <v>2</v>
      </c>
      <c r="G13" s="188">
        <v>1805000</v>
      </c>
    </row>
    <row r="14" spans="1:7" ht="12.75" x14ac:dyDescent="0.2">
      <c r="A14" s="189">
        <v>2</v>
      </c>
      <c r="B14" s="48" t="s">
        <v>591</v>
      </c>
      <c r="C14" s="190">
        <v>22</v>
      </c>
      <c r="D14" s="190">
        <v>397</v>
      </c>
      <c r="E14" s="190">
        <v>975</v>
      </c>
      <c r="F14" s="191">
        <v>2</v>
      </c>
      <c r="G14" s="188">
        <v>1991000</v>
      </c>
    </row>
    <row r="15" spans="1:7" ht="12.75" x14ac:dyDescent="0.2">
      <c r="A15" s="189">
        <v>3</v>
      </c>
      <c r="B15" s="48" t="s">
        <v>592</v>
      </c>
      <c r="C15" s="190">
        <v>22</v>
      </c>
      <c r="D15" s="190">
        <v>447</v>
      </c>
      <c r="E15" s="190">
        <v>975</v>
      </c>
      <c r="F15" s="191">
        <v>2</v>
      </c>
      <c r="G15" s="188">
        <v>2084000</v>
      </c>
    </row>
    <row r="16" spans="1:7" ht="12.75" x14ac:dyDescent="0.2">
      <c r="A16" s="189">
        <v>4</v>
      </c>
      <c r="B16" s="48" t="s">
        <v>593</v>
      </c>
      <c r="C16" s="190">
        <v>22</v>
      </c>
      <c r="D16" s="190">
        <v>497</v>
      </c>
      <c r="E16" s="190">
        <v>975</v>
      </c>
      <c r="F16" s="191">
        <v>2</v>
      </c>
      <c r="G16" s="188">
        <v>2177000</v>
      </c>
    </row>
    <row r="17" spans="1:7" ht="12.75" x14ac:dyDescent="0.2">
      <c r="A17" s="189">
        <v>5</v>
      </c>
      <c r="B17" s="48" t="s">
        <v>594</v>
      </c>
      <c r="C17" s="190">
        <v>22</v>
      </c>
      <c r="D17" s="190">
        <v>547</v>
      </c>
      <c r="E17" s="190">
        <v>975</v>
      </c>
      <c r="F17" s="191">
        <v>2</v>
      </c>
      <c r="G17" s="188">
        <v>2269000</v>
      </c>
    </row>
    <row r="18" spans="1:7" ht="12.75" x14ac:dyDescent="0.2">
      <c r="A18" s="189">
        <v>6</v>
      </c>
      <c r="B18" s="48" t="s">
        <v>595</v>
      </c>
      <c r="C18" s="190">
        <v>22</v>
      </c>
      <c r="D18" s="190">
        <v>597</v>
      </c>
      <c r="E18" s="190">
        <v>975</v>
      </c>
      <c r="F18" s="191">
        <v>2</v>
      </c>
      <c r="G18" s="188">
        <v>2362000</v>
      </c>
    </row>
    <row r="19" spans="1:7" ht="15.75" customHeight="1" x14ac:dyDescent="0.3">
      <c r="A19" s="185"/>
      <c r="B19" s="195" t="s">
        <v>596</v>
      </c>
      <c r="C19" s="192"/>
      <c r="D19" s="193"/>
      <c r="E19" s="193"/>
      <c r="F19" s="194"/>
      <c r="G19" s="188" t="s">
        <v>589</v>
      </c>
    </row>
    <row r="20" spans="1:7" ht="12.75" x14ac:dyDescent="0.2">
      <c r="A20" s="189">
        <v>1</v>
      </c>
      <c r="B20" s="48" t="s">
        <v>597</v>
      </c>
      <c r="C20" s="190">
        <v>22</v>
      </c>
      <c r="D20" s="190">
        <v>297</v>
      </c>
      <c r="E20" s="190">
        <v>600</v>
      </c>
      <c r="F20" s="191">
        <v>2</v>
      </c>
      <c r="G20" s="188">
        <v>1349000</v>
      </c>
    </row>
    <row r="21" spans="1:7" ht="12.75" x14ac:dyDescent="0.2">
      <c r="A21" s="189">
        <v>2</v>
      </c>
      <c r="B21" s="48" t="s">
        <v>598</v>
      </c>
      <c r="C21" s="190">
        <v>22</v>
      </c>
      <c r="D21" s="190">
        <v>397</v>
      </c>
      <c r="E21" s="190">
        <v>600</v>
      </c>
      <c r="F21" s="191">
        <v>2</v>
      </c>
      <c r="G21" s="188">
        <v>1499000</v>
      </c>
    </row>
    <row r="22" spans="1:7" ht="12.75" x14ac:dyDescent="0.2">
      <c r="A22" s="189">
        <v>3</v>
      </c>
      <c r="B22" s="48" t="s">
        <v>599</v>
      </c>
      <c r="C22" s="190">
        <v>22</v>
      </c>
      <c r="D22" s="190">
        <v>447</v>
      </c>
      <c r="E22" s="190">
        <v>600</v>
      </c>
      <c r="F22" s="191">
        <v>2</v>
      </c>
      <c r="G22" s="188">
        <v>1574000</v>
      </c>
    </row>
    <row r="23" spans="1:7" ht="12.75" x14ac:dyDescent="0.2">
      <c r="A23" s="189">
        <v>4</v>
      </c>
      <c r="B23" s="48" t="s">
        <v>600</v>
      </c>
      <c r="C23" s="190">
        <v>22</v>
      </c>
      <c r="D23" s="190">
        <v>497</v>
      </c>
      <c r="E23" s="190">
        <v>600</v>
      </c>
      <c r="F23" s="191">
        <v>2</v>
      </c>
      <c r="G23" s="188">
        <v>1649000</v>
      </c>
    </row>
    <row r="24" spans="1:7" ht="12.75" x14ac:dyDescent="0.2">
      <c r="A24" s="189">
        <v>5</v>
      </c>
      <c r="B24" s="48" t="s">
        <v>601</v>
      </c>
      <c r="C24" s="190">
        <v>22</v>
      </c>
      <c r="D24" s="190">
        <v>547</v>
      </c>
      <c r="E24" s="190">
        <v>600</v>
      </c>
      <c r="F24" s="191">
        <v>2</v>
      </c>
      <c r="G24" s="188">
        <v>1724000</v>
      </c>
    </row>
    <row r="25" spans="1:7" ht="12.75" x14ac:dyDescent="0.2">
      <c r="A25" s="189">
        <v>6</v>
      </c>
      <c r="B25" s="48" t="s">
        <v>602</v>
      </c>
      <c r="C25" s="190">
        <v>22</v>
      </c>
      <c r="D25" s="190">
        <v>597</v>
      </c>
      <c r="E25" s="190">
        <v>600</v>
      </c>
      <c r="F25" s="191">
        <v>2</v>
      </c>
      <c r="G25" s="188">
        <v>1800000</v>
      </c>
    </row>
    <row r="26" spans="1:7" ht="15.75" customHeight="1" x14ac:dyDescent="0.3">
      <c r="A26" s="185"/>
      <c r="B26" s="195" t="s">
        <v>343</v>
      </c>
      <c r="C26" s="185"/>
      <c r="D26" s="185"/>
      <c r="E26" s="185"/>
      <c r="F26" s="196"/>
      <c r="G26" s="188" t="s">
        <v>589</v>
      </c>
    </row>
    <row r="27" spans="1:7" ht="12.75" x14ac:dyDescent="0.2">
      <c r="A27" s="189">
        <v>1</v>
      </c>
      <c r="B27" s="48" t="s">
        <v>603</v>
      </c>
      <c r="C27" s="190">
        <v>22</v>
      </c>
      <c r="D27" s="190">
        <v>297</v>
      </c>
      <c r="E27" s="190">
        <v>1200</v>
      </c>
      <c r="F27" s="191">
        <v>3</v>
      </c>
      <c r="G27" s="188">
        <v>2249000</v>
      </c>
    </row>
    <row r="28" spans="1:7" ht="12.75" x14ac:dyDescent="0.2">
      <c r="A28" s="189">
        <v>2</v>
      </c>
      <c r="B28" s="48" t="s">
        <v>604</v>
      </c>
      <c r="C28" s="190">
        <v>22</v>
      </c>
      <c r="D28" s="190">
        <v>397</v>
      </c>
      <c r="E28" s="190">
        <v>1200</v>
      </c>
      <c r="F28" s="191">
        <v>3</v>
      </c>
      <c r="G28" s="188">
        <v>2456000</v>
      </c>
    </row>
    <row r="29" spans="1:7" ht="12.75" x14ac:dyDescent="0.2">
      <c r="A29" s="189">
        <v>3</v>
      </c>
      <c r="B29" s="48" t="s">
        <v>605</v>
      </c>
      <c r="C29" s="190">
        <v>22</v>
      </c>
      <c r="D29" s="190">
        <v>447</v>
      </c>
      <c r="E29" s="190">
        <v>1200</v>
      </c>
      <c r="F29" s="191">
        <v>3</v>
      </c>
      <c r="G29" s="188">
        <v>2559000</v>
      </c>
    </row>
    <row r="30" spans="1:7" ht="12.75" x14ac:dyDescent="0.2">
      <c r="A30" s="189">
        <v>4</v>
      </c>
      <c r="B30" s="48" t="s">
        <v>606</v>
      </c>
      <c r="C30" s="190">
        <v>22</v>
      </c>
      <c r="D30" s="190">
        <v>497</v>
      </c>
      <c r="E30" s="190">
        <v>1200</v>
      </c>
      <c r="F30" s="191">
        <v>3</v>
      </c>
      <c r="G30" s="188">
        <v>2662000</v>
      </c>
    </row>
    <row r="31" spans="1:7" ht="12.75" x14ac:dyDescent="0.2">
      <c r="A31" s="189">
        <v>5</v>
      </c>
      <c r="B31" s="48" t="s">
        <v>607</v>
      </c>
      <c r="C31" s="190">
        <v>22</v>
      </c>
      <c r="D31" s="190">
        <v>547</v>
      </c>
      <c r="E31" s="190">
        <v>1200</v>
      </c>
      <c r="F31" s="191">
        <v>3</v>
      </c>
      <c r="G31" s="188">
        <v>2766000</v>
      </c>
    </row>
    <row r="32" spans="1:7" ht="12.75" x14ac:dyDescent="0.2">
      <c r="A32" s="189">
        <v>6</v>
      </c>
      <c r="B32" s="48" t="s">
        <v>608</v>
      </c>
      <c r="C32" s="190">
        <v>22</v>
      </c>
      <c r="D32" s="190">
        <v>597</v>
      </c>
      <c r="E32" s="190">
        <v>1200</v>
      </c>
      <c r="F32" s="191">
        <v>3</v>
      </c>
      <c r="G32" s="188">
        <v>2869000</v>
      </c>
    </row>
    <row r="33" spans="1:7" ht="15.75" customHeight="1" x14ac:dyDescent="0.3">
      <c r="A33" s="185"/>
      <c r="B33" s="195" t="s">
        <v>609</v>
      </c>
      <c r="C33" s="185"/>
      <c r="D33" s="185"/>
      <c r="E33" s="185"/>
      <c r="F33" s="196"/>
      <c r="G33" s="188" t="s">
        <v>589</v>
      </c>
    </row>
    <row r="34" spans="1:7" ht="12.75" x14ac:dyDescent="0.2">
      <c r="A34" s="189">
        <v>1</v>
      </c>
      <c r="B34" s="48" t="s">
        <v>610</v>
      </c>
      <c r="C34" s="190">
        <v>22</v>
      </c>
      <c r="D34" s="190">
        <v>447</v>
      </c>
      <c r="E34" s="190">
        <v>1174</v>
      </c>
      <c r="F34" s="191">
        <v>3</v>
      </c>
      <c r="G34" s="188">
        <v>2524000</v>
      </c>
    </row>
    <row r="35" spans="1:7" ht="12.75" x14ac:dyDescent="0.2">
      <c r="A35" s="189">
        <v>2</v>
      </c>
      <c r="B35" s="48" t="s">
        <v>611</v>
      </c>
      <c r="C35" s="190">
        <v>22</v>
      </c>
      <c r="D35" s="190">
        <v>597</v>
      </c>
      <c r="E35" s="190">
        <v>1174</v>
      </c>
      <c r="F35" s="191">
        <v>3</v>
      </c>
      <c r="G35" s="188">
        <v>2830000</v>
      </c>
    </row>
    <row r="36" spans="1:7" ht="15.75" customHeight="1" x14ac:dyDescent="0.3">
      <c r="A36" s="185"/>
      <c r="B36" s="195" t="s">
        <v>612</v>
      </c>
      <c r="C36" s="185"/>
      <c r="D36" s="185"/>
      <c r="E36" s="185"/>
      <c r="F36" s="196"/>
      <c r="G36" s="188" t="s">
        <v>589</v>
      </c>
    </row>
    <row r="37" spans="1:7" ht="12.75" x14ac:dyDescent="0.2">
      <c r="A37" s="189">
        <v>3</v>
      </c>
      <c r="B37" s="48" t="s">
        <v>613</v>
      </c>
      <c r="C37" s="190">
        <v>22</v>
      </c>
      <c r="D37" s="190">
        <v>447</v>
      </c>
      <c r="E37" s="190">
        <v>1280</v>
      </c>
      <c r="F37" s="191">
        <v>3</v>
      </c>
      <c r="G37" s="188">
        <v>2668000</v>
      </c>
    </row>
    <row r="38" spans="1:7" ht="12.75" x14ac:dyDescent="0.2">
      <c r="A38" s="189">
        <v>4</v>
      </c>
      <c r="B38" s="48" t="s">
        <v>614</v>
      </c>
      <c r="C38" s="190">
        <v>22</v>
      </c>
      <c r="D38" s="190">
        <v>597</v>
      </c>
      <c r="E38" s="190">
        <v>1280</v>
      </c>
      <c r="F38" s="191">
        <v>3</v>
      </c>
      <c r="G38" s="188">
        <v>2989000</v>
      </c>
    </row>
    <row r="39" spans="1:7" ht="15.75" customHeight="1" x14ac:dyDescent="0.3">
      <c r="A39" s="185"/>
      <c r="B39" s="195" t="s">
        <v>615</v>
      </c>
      <c r="C39" s="185"/>
      <c r="D39" s="185"/>
      <c r="E39" s="185"/>
      <c r="F39" s="196"/>
      <c r="G39" s="188" t="s">
        <v>589</v>
      </c>
    </row>
    <row r="40" spans="1:7" ht="12.75" x14ac:dyDescent="0.2">
      <c r="A40" s="189">
        <v>5</v>
      </c>
      <c r="B40" s="48" t="s">
        <v>616</v>
      </c>
      <c r="C40" s="190">
        <v>22</v>
      </c>
      <c r="D40" s="190">
        <v>447</v>
      </c>
      <c r="E40" s="190">
        <v>1530</v>
      </c>
      <c r="F40" s="191">
        <v>4</v>
      </c>
      <c r="G40" s="188">
        <v>3177000</v>
      </c>
    </row>
    <row r="41" spans="1:7" ht="12.75" x14ac:dyDescent="0.2">
      <c r="A41" s="189">
        <v>6</v>
      </c>
      <c r="B41" s="48" t="s">
        <v>617</v>
      </c>
      <c r="C41" s="190">
        <v>22</v>
      </c>
      <c r="D41" s="190">
        <v>597</v>
      </c>
      <c r="E41" s="190">
        <v>1530</v>
      </c>
      <c r="F41" s="191">
        <v>4</v>
      </c>
      <c r="G41" s="188">
        <v>3533000</v>
      </c>
    </row>
    <row r="42" spans="1:7" ht="20.25" x14ac:dyDescent="0.3">
      <c r="A42" s="185"/>
      <c r="B42" s="195" t="s">
        <v>618</v>
      </c>
      <c r="C42" s="185"/>
      <c r="D42" s="185"/>
      <c r="E42" s="185"/>
      <c r="F42" s="196"/>
      <c r="G42" s="188" t="s">
        <v>589</v>
      </c>
    </row>
    <row r="43" spans="1:7" ht="12.75" x14ac:dyDescent="0.2">
      <c r="A43" s="189">
        <v>5</v>
      </c>
      <c r="B43" s="48" t="s">
        <v>619</v>
      </c>
      <c r="C43" s="190">
        <v>22</v>
      </c>
      <c r="D43" s="190">
        <v>447</v>
      </c>
      <c r="E43" s="190">
        <v>2050</v>
      </c>
      <c r="F43" s="191">
        <v>5</v>
      </c>
      <c r="G43" s="188">
        <v>4053000</v>
      </c>
    </row>
    <row r="44" spans="1:7" ht="12.75" x14ac:dyDescent="0.2">
      <c r="A44" s="189">
        <v>6</v>
      </c>
      <c r="B44" s="48" t="s">
        <v>620</v>
      </c>
      <c r="C44" s="190">
        <v>22</v>
      </c>
      <c r="D44" s="190">
        <v>597</v>
      </c>
      <c r="E44" s="190">
        <v>2050</v>
      </c>
      <c r="F44" s="191">
        <v>5</v>
      </c>
      <c r="G44" s="188">
        <v>4483000</v>
      </c>
    </row>
    <row r="45" spans="1:7" ht="20.25" x14ac:dyDescent="0.3">
      <c r="A45" s="185"/>
      <c r="B45" s="195" t="s">
        <v>621</v>
      </c>
      <c r="C45" s="185"/>
      <c r="D45" s="185"/>
      <c r="E45" s="185"/>
      <c r="F45" s="196"/>
      <c r="G45" s="188" t="s">
        <v>589</v>
      </c>
    </row>
    <row r="46" spans="1:7" ht="12.75" x14ac:dyDescent="0.2">
      <c r="A46" s="189">
        <v>5</v>
      </c>
      <c r="B46" s="48" t="s">
        <v>622</v>
      </c>
      <c r="C46" s="190">
        <v>22</v>
      </c>
      <c r="D46" s="190">
        <v>447</v>
      </c>
      <c r="E46" s="190">
        <v>2300</v>
      </c>
      <c r="F46" s="191">
        <v>5</v>
      </c>
      <c r="G46" s="188">
        <v>4392000</v>
      </c>
    </row>
    <row r="47" spans="1:7" ht="12.75" x14ac:dyDescent="0.2">
      <c r="A47" s="189">
        <v>6</v>
      </c>
      <c r="B47" s="48" t="s">
        <v>623</v>
      </c>
      <c r="C47" s="190">
        <v>22</v>
      </c>
      <c r="D47" s="190">
        <v>597</v>
      </c>
      <c r="E47" s="190">
        <v>2300</v>
      </c>
      <c r="F47" s="191">
        <v>5</v>
      </c>
      <c r="G47" s="188">
        <v>4858000</v>
      </c>
    </row>
    <row r="48" spans="1:7" ht="20.25" x14ac:dyDescent="0.3">
      <c r="A48" s="185"/>
      <c r="B48" s="195" t="s">
        <v>624</v>
      </c>
      <c r="C48" s="185"/>
      <c r="D48" s="185"/>
      <c r="E48" s="185"/>
      <c r="F48" s="196"/>
      <c r="G48" s="188" t="s">
        <v>589</v>
      </c>
    </row>
    <row r="49" spans="1:7" ht="12.75" x14ac:dyDescent="0.2">
      <c r="A49" s="189">
        <v>1</v>
      </c>
      <c r="B49" s="48" t="s">
        <v>625</v>
      </c>
      <c r="C49" s="190">
        <v>22</v>
      </c>
      <c r="D49" s="190">
        <v>600</v>
      </c>
      <c r="E49" s="190">
        <v>180</v>
      </c>
      <c r="F49" s="191">
        <v>0</v>
      </c>
      <c r="G49" s="188">
        <v>834000</v>
      </c>
    </row>
    <row r="50" spans="1:7" ht="12.75" x14ac:dyDescent="0.2">
      <c r="A50" s="189">
        <v>2</v>
      </c>
      <c r="B50" s="48" t="s">
        <v>626</v>
      </c>
      <c r="C50" s="190">
        <v>22</v>
      </c>
      <c r="D50" s="190">
        <v>900</v>
      </c>
      <c r="E50" s="190">
        <v>180</v>
      </c>
      <c r="F50" s="191">
        <v>0</v>
      </c>
      <c r="G50" s="188">
        <v>1166000</v>
      </c>
    </row>
    <row r="51" spans="1:7" ht="20.25" x14ac:dyDescent="0.3">
      <c r="A51" s="185"/>
      <c r="B51" s="195" t="s">
        <v>627</v>
      </c>
      <c r="C51" s="185"/>
      <c r="D51" s="185"/>
      <c r="E51" s="185"/>
      <c r="F51" s="196"/>
      <c r="G51" s="188" t="s">
        <v>589</v>
      </c>
    </row>
    <row r="52" spans="1:7" ht="12.75" x14ac:dyDescent="0.2">
      <c r="A52" s="189">
        <v>1</v>
      </c>
      <c r="B52" s="48" t="s">
        <v>628</v>
      </c>
      <c r="C52" s="190">
        <v>22</v>
      </c>
      <c r="D52" s="190">
        <v>600</v>
      </c>
      <c r="E52" s="190">
        <v>360</v>
      </c>
      <c r="F52" s="191">
        <v>0</v>
      </c>
      <c r="G52" s="188">
        <v>1105000</v>
      </c>
    </row>
    <row r="53" spans="1:7" ht="12.75" x14ac:dyDescent="0.2">
      <c r="A53" s="189">
        <v>2</v>
      </c>
      <c r="B53" s="48" t="s">
        <v>629</v>
      </c>
      <c r="C53" s="190">
        <v>22</v>
      </c>
      <c r="D53" s="190">
        <v>900</v>
      </c>
      <c r="E53" s="190">
        <v>360</v>
      </c>
      <c r="F53" s="191">
        <v>0</v>
      </c>
      <c r="G53" s="188">
        <v>1488000</v>
      </c>
    </row>
  </sheetData>
  <mergeCells count="1">
    <mergeCell ref="C3:E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249"/>
  <sheetViews>
    <sheetView workbookViewId="0">
      <pane ySplit="4" topLeftCell="A133" activePane="bottomLeft" state="frozen"/>
      <selection pane="bottomLeft" activeCell="L179" sqref="L179"/>
    </sheetView>
  </sheetViews>
  <sheetFormatPr defaultColWidth="12.5703125" defaultRowHeight="15.75" customHeight="1" x14ac:dyDescent="0.2"/>
  <cols>
    <col min="1" max="1" width="62.140625" customWidth="1"/>
    <col min="2" max="2" width="17.7109375" customWidth="1"/>
    <col min="3" max="3" width="6.42578125" customWidth="1"/>
    <col min="4" max="4" width="5.140625" bestFit="1" customWidth="1"/>
    <col min="5" max="5" width="6.42578125" customWidth="1"/>
    <col min="6" max="6" width="15.140625" customWidth="1"/>
    <col min="7" max="7" width="6.42578125" customWidth="1"/>
    <col min="8" max="8" width="15.140625" customWidth="1"/>
    <col min="9" max="9" width="6.42578125" customWidth="1"/>
    <col min="10" max="10" width="15.140625" customWidth="1"/>
  </cols>
  <sheetData>
    <row r="1" spans="1:10" ht="15.75" customHeight="1" x14ac:dyDescent="0.4">
      <c r="A1" s="1" t="s">
        <v>409</v>
      </c>
      <c r="B1" s="197"/>
      <c r="C1" s="3"/>
      <c r="D1" s="3"/>
      <c r="E1" s="3"/>
      <c r="F1" s="3"/>
      <c r="G1" s="3"/>
      <c r="H1" s="32"/>
      <c r="I1" s="3"/>
      <c r="J1" s="32"/>
    </row>
    <row r="2" spans="1:10" ht="15.75" customHeight="1" x14ac:dyDescent="0.3">
      <c r="A2" s="198" t="s">
        <v>630</v>
      </c>
      <c r="B2" s="3"/>
      <c r="C2" s="3"/>
      <c r="D2" s="3"/>
      <c r="E2" s="3"/>
      <c r="F2" s="3"/>
      <c r="G2" s="3"/>
      <c r="H2" s="32"/>
      <c r="I2" s="3"/>
      <c r="J2" s="32"/>
    </row>
    <row r="3" spans="1:10" ht="15.75" customHeight="1" x14ac:dyDescent="0.3">
      <c r="A3" s="199">
        <v>46175</v>
      </c>
      <c r="B3" s="3"/>
      <c r="C3" s="3"/>
      <c r="D3" s="3"/>
      <c r="E3" s="3"/>
      <c r="F3" s="3"/>
      <c r="G3" s="3"/>
      <c r="H3" s="32"/>
      <c r="I3" s="3"/>
      <c r="J3" s="32"/>
    </row>
    <row r="4" spans="1:10" ht="15.75" customHeight="1" x14ac:dyDescent="0.25">
      <c r="A4" s="200" t="s">
        <v>631</v>
      </c>
      <c r="B4" s="3" t="s">
        <v>632</v>
      </c>
      <c r="C4" s="3"/>
      <c r="D4" s="3"/>
      <c r="E4" s="3"/>
      <c r="F4" s="3"/>
      <c r="G4" s="3"/>
      <c r="H4" s="3"/>
      <c r="I4" s="3"/>
      <c r="J4" s="3"/>
    </row>
    <row r="5" spans="1:10" ht="15.75" customHeight="1" x14ac:dyDescent="0.25">
      <c r="A5" s="336" t="s">
        <v>633</v>
      </c>
      <c r="B5" s="311"/>
      <c r="C5" s="311"/>
      <c r="D5" s="305"/>
      <c r="E5" s="202" t="s">
        <v>634</v>
      </c>
      <c r="F5" s="202" t="s">
        <v>635</v>
      </c>
      <c r="G5" s="3"/>
      <c r="H5" s="3"/>
      <c r="I5" s="3"/>
      <c r="J5" s="3"/>
    </row>
    <row r="6" spans="1:10" ht="15.75" customHeight="1" x14ac:dyDescent="0.25">
      <c r="A6" s="26" t="s">
        <v>636</v>
      </c>
      <c r="B6" s="203">
        <v>2000</v>
      </c>
      <c r="C6" s="63">
        <v>64</v>
      </c>
      <c r="D6" s="63">
        <v>64</v>
      </c>
      <c r="E6" s="204" t="s">
        <v>637</v>
      </c>
      <c r="F6" s="205">
        <v>1318000</v>
      </c>
      <c r="G6" s="3"/>
      <c r="H6" s="3"/>
      <c r="I6" s="3"/>
      <c r="J6" s="3"/>
    </row>
    <row r="7" spans="1:10" ht="15.75" customHeight="1" x14ac:dyDescent="0.25">
      <c r="A7" s="26" t="s">
        <v>638</v>
      </c>
      <c r="B7" s="203">
        <v>2400</v>
      </c>
      <c r="C7" s="63">
        <v>64</v>
      </c>
      <c r="D7" s="63">
        <v>64</v>
      </c>
      <c r="E7" s="204" t="s">
        <v>637</v>
      </c>
      <c r="F7" s="205">
        <v>1582000</v>
      </c>
      <c r="G7" s="3"/>
      <c r="H7" s="3"/>
      <c r="I7" s="3"/>
      <c r="J7" s="3"/>
    </row>
    <row r="8" spans="1:10" ht="15.75" customHeight="1" x14ac:dyDescent="0.25">
      <c r="A8" s="26" t="s">
        <v>639</v>
      </c>
      <c r="B8" s="203">
        <v>2560</v>
      </c>
      <c r="C8" s="63">
        <v>64</v>
      </c>
      <c r="D8" s="63">
        <v>64</v>
      </c>
      <c r="E8" s="204" t="s">
        <v>637</v>
      </c>
      <c r="F8" s="205">
        <v>1688000</v>
      </c>
      <c r="G8" s="3"/>
      <c r="H8" s="3"/>
      <c r="I8" s="3"/>
      <c r="J8" s="3"/>
    </row>
    <row r="9" spans="1:10" ht="15.75" customHeight="1" x14ac:dyDescent="0.25">
      <c r="A9" s="26" t="s">
        <v>640</v>
      </c>
      <c r="B9" s="203">
        <v>2720</v>
      </c>
      <c r="C9" s="63">
        <v>64</v>
      </c>
      <c r="D9" s="63">
        <v>64</v>
      </c>
      <c r="E9" s="204" t="s">
        <v>637</v>
      </c>
      <c r="F9" s="205">
        <v>1793000</v>
      </c>
      <c r="G9" s="3"/>
      <c r="H9" s="3"/>
      <c r="I9" s="3"/>
      <c r="J9" s="3"/>
    </row>
    <row r="10" spans="1:10" ht="15.75" customHeight="1" x14ac:dyDescent="0.25">
      <c r="A10" s="201" t="s">
        <v>641</v>
      </c>
      <c r="B10" s="206"/>
      <c r="C10" s="207"/>
      <c r="D10" s="116"/>
      <c r="E10" s="202" t="s">
        <v>634</v>
      </c>
      <c r="F10" s="202" t="s">
        <v>642</v>
      </c>
      <c r="G10" s="3"/>
      <c r="H10" s="3"/>
      <c r="I10" s="3"/>
      <c r="J10" s="3"/>
    </row>
    <row r="11" spans="1:10" ht="15.75" customHeight="1" x14ac:dyDescent="0.25">
      <c r="A11" s="26" t="s">
        <v>643</v>
      </c>
      <c r="B11" s="63">
        <v>480</v>
      </c>
      <c r="C11" s="63">
        <v>480</v>
      </c>
      <c r="D11" s="63">
        <v>100</v>
      </c>
      <c r="E11" s="204" t="s">
        <v>637</v>
      </c>
      <c r="F11" s="205">
        <v>646000</v>
      </c>
      <c r="G11" s="3"/>
      <c r="H11" s="3"/>
      <c r="I11" s="3"/>
      <c r="J11" s="3"/>
    </row>
    <row r="12" spans="1:10" ht="15.75" customHeight="1" x14ac:dyDescent="0.25">
      <c r="A12" s="26" t="s">
        <v>644</v>
      </c>
      <c r="B12" s="203">
        <v>480</v>
      </c>
      <c r="C12" s="63">
        <v>500</v>
      </c>
      <c r="D12" s="63">
        <v>100</v>
      </c>
      <c r="E12" s="204" t="s">
        <v>637</v>
      </c>
      <c r="F12" s="205">
        <v>650000</v>
      </c>
      <c r="G12" s="3"/>
      <c r="H12" s="3"/>
      <c r="I12" s="3"/>
      <c r="J12" s="3"/>
    </row>
    <row r="13" spans="1:10" ht="15.75" customHeight="1" x14ac:dyDescent="0.25">
      <c r="A13" s="26" t="s">
        <v>645</v>
      </c>
      <c r="B13" s="203">
        <v>480</v>
      </c>
      <c r="C13" s="63">
        <v>600</v>
      </c>
      <c r="D13" s="63">
        <v>100</v>
      </c>
      <c r="E13" s="204" t="s">
        <v>637</v>
      </c>
      <c r="F13" s="205">
        <v>666000</v>
      </c>
      <c r="G13" s="3"/>
      <c r="H13" s="3"/>
      <c r="I13" s="3"/>
      <c r="J13" s="3"/>
    </row>
    <row r="14" spans="1:10" ht="15.75" customHeight="1" x14ac:dyDescent="0.25">
      <c r="A14" s="26" t="s">
        <v>646</v>
      </c>
      <c r="B14" s="203">
        <v>480</v>
      </c>
      <c r="C14" s="63">
        <v>960</v>
      </c>
      <c r="D14" s="63">
        <v>100</v>
      </c>
      <c r="E14" s="204" t="s">
        <v>637</v>
      </c>
      <c r="F14" s="205">
        <v>726000</v>
      </c>
      <c r="G14" s="3"/>
      <c r="H14" s="3"/>
      <c r="I14" s="3"/>
      <c r="J14" s="3"/>
    </row>
    <row r="15" spans="1:10" ht="15.75" customHeight="1" x14ac:dyDescent="0.25">
      <c r="A15" s="26" t="s">
        <v>647</v>
      </c>
      <c r="B15" s="203">
        <v>480</v>
      </c>
      <c r="C15" s="63">
        <v>1000</v>
      </c>
      <c r="D15" s="63">
        <v>100</v>
      </c>
      <c r="E15" s="204" t="s">
        <v>637</v>
      </c>
      <c r="F15" s="205">
        <v>733000</v>
      </c>
      <c r="G15" s="3"/>
      <c r="H15" s="3"/>
      <c r="I15" s="3"/>
      <c r="J15" s="3"/>
    </row>
    <row r="16" spans="1:10" ht="15.75" customHeight="1" x14ac:dyDescent="0.25">
      <c r="A16" s="26" t="s">
        <v>648</v>
      </c>
      <c r="B16" s="203">
        <v>500</v>
      </c>
      <c r="C16" s="63">
        <v>500</v>
      </c>
      <c r="D16" s="63">
        <v>100</v>
      </c>
      <c r="E16" s="204" t="s">
        <v>637</v>
      </c>
      <c r="F16" s="205">
        <v>653000</v>
      </c>
      <c r="G16" s="3"/>
      <c r="H16" s="3"/>
      <c r="I16" s="3"/>
      <c r="J16" s="3"/>
    </row>
    <row r="17" spans="1:10" ht="15.75" customHeight="1" x14ac:dyDescent="0.25">
      <c r="A17" s="26" t="s">
        <v>649</v>
      </c>
      <c r="B17" s="63">
        <v>500</v>
      </c>
      <c r="C17" s="63">
        <v>600</v>
      </c>
      <c r="D17" s="63">
        <v>100</v>
      </c>
      <c r="E17" s="204" t="s">
        <v>637</v>
      </c>
      <c r="F17" s="205">
        <v>670000</v>
      </c>
      <c r="G17" s="3"/>
      <c r="H17" s="3"/>
      <c r="I17" s="3"/>
      <c r="J17" s="3"/>
    </row>
    <row r="18" spans="1:10" ht="15.75" customHeight="1" x14ac:dyDescent="0.25">
      <c r="A18" s="26" t="s">
        <v>650</v>
      </c>
      <c r="B18" s="63">
        <v>500</v>
      </c>
      <c r="C18" s="63">
        <v>960</v>
      </c>
      <c r="D18" s="63">
        <v>100</v>
      </c>
      <c r="E18" s="204" t="s">
        <v>637</v>
      </c>
      <c r="F18" s="205">
        <v>729000</v>
      </c>
      <c r="G18" s="3"/>
      <c r="H18" s="3"/>
      <c r="I18" s="3"/>
      <c r="J18" s="3"/>
    </row>
    <row r="19" spans="1:10" ht="15.75" customHeight="1" x14ac:dyDescent="0.25">
      <c r="A19" s="26" t="s">
        <v>651</v>
      </c>
      <c r="B19" s="63">
        <v>500</v>
      </c>
      <c r="C19" s="63">
        <v>1000</v>
      </c>
      <c r="D19" s="63">
        <v>100</v>
      </c>
      <c r="E19" s="204" t="s">
        <v>637</v>
      </c>
      <c r="F19" s="205">
        <v>736000</v>
      </c>
      <c r="G19" s="3"/>
      <c r="H19" s="3"/>
      <c r="I19" s="3"/>
      <c r="J19" s="3"/>
    </row>
    <row r="20" spans="1:10" ht="15.75" customHeight="1" x14ac:dyDescent="0.25">
      <c r="A20" s="26" t="s">
        <v>652</v>
      </c>
      <c r="B20" s="63">
        <v>600</v>
      </c>
      <c r="C20" s="63">
        <v>600</v>
      </c>
      <c r="D20" s="63">
        <v>100</v>
      </c>
      <c r="E20" s="204" t="s">
        <v>637</v>
      </c>
      <c r="F20" s="205">
        <v>686000</v>
      </c>
      <c r="G20" s="3"/>
      <c r="H20" s="3"/>
      <c r="I20" s="3"/>
      <c r="J20" s="3"/>
    </row>
    <row r="21" spans="1:10" ht="15.75" customHeight="1" x14ac:dyDescent="0.25">
      <c r="A21" s="26" t="s">
        <v>653</v>
      </c>
      <c r="B21" s="63">
        <v>600</v>
      </c>
      <c r="C21" s="63">
        <v>960</v>
      </c>
      <c r="D21" s="63">
        <v>100</v>
      </c>
      <c r="E21" s="204" t="s">
        <v>637</v>
      </c>
      <c r="F21" s="205">
        <v>746000</v>
      </c>
      <c r="G21" s="3"/>
      <c r="H21" s="3"/>
      <c r="I21" s="3"/>
      <c r="J21" s="3"/>
    </row>
    <row r="22" spans="1:10" ht="15.75" customHeight="1" x14ac:dyDescent="0.25">
      <c r="A22" s="26" t="s">
        <v>654</v>
      </c>
      <c r="B22" s="203">
        <v>600</v>
      </c>
      <c r="C22" s="63">
        <v>1000</v>
      </c>
      <c r="D22" s="63">
        <v>100</v>
      </c>
      <c r="E22" s="204" t="s">
        <v>637</v>
      </c>
      <c r="F22" s="205">
        <v>753000</v>
      </c>
      <c r="G22" s="3"/>
      <c r="H22" s="3"/>
      <c r="I22" s="3"/>
      <c r="J22" s="3"/>
    </row>
    <row r="23" spans="1:10" ht="15.75" customHeight="1" x14ac:dyDescent="0.25">
      <c r="A23" s="26" t="s">
        <v>655</v>
      </c>
      <c r="B23" s="203">
        <v>960</v>
      </c>
      <c r="C23" s="63">
        <v>960</v>
      </c>
      <c r="D23" s="63">
        <v>100</v>
      </c>
      <c r="E23" s="204" t="s">
        <v>637</v>
      </c>
      <c r="F23" s="205">
        <v>806000</v>
      </c>
      <c r="G23" s="3"/>
      <c r="H23" s="3"/>
      <c r="I23" s="3"/>
      <c r="J23" s="3"/>
    </row>
    <row r="24" spans="1:10" ht="15.75" customHeight="1" x14ac:dyDescent="0.25">
      <c r="A24" s="26" t="s">
        <v>656</v>
      </c>
      <c r="B24" s="203">
        <v>960</v>
      </c>
      <c r="C24" s="63">
        <v>1000</v>
      </c>
      <c r="D24" s="63">
        <v>100</v>
      </c>
      <c r="E24" s="204" t="s">
        <v>637</v>
      </c>
      <c r="F24" s="205">
        <v>812000</v>
      </c>
      <c r="G24" s="3"/>
      <c r="H24" s="3"/>
      <c r="I24" s="3"/>
      <c r="J24" s="3"/>
    </row>
    <row r="25" spans="1:10" ht="15.75" customHeight="1" x14ac:dyDescent="0.25">
      <c r="A25" s="26" t="s">
        <v>657</v>
      </c>
      <c r="B25" s="203">
        <v>1000</v>
      </c>
      <c r="C25" s="63">
        <v>1000</v>
      </c>
      <c r="D25" s="63">
        <v>100</v>
      </c>
      <c r="E25" s="204" t="s">
        <v>637</v>
      </c>
      <c r="F25" s="205">
        <v>819000</v>
      </c>
      <c r="G25" s="3"/>
      <c r="H25" s="3"/>
      <c r="I25" s="3"/>
      <c r="J25" s="3"/>
    </row>
    <row r="26" spans="1:10" ht="15.75" customHeight="1" x14ac:dyDescent="0.25">
      <c r="A26" s="337" t="s">
        <v>658</v>
      </c>
      <c r="B26" s="311"/>
      <c r="C26" s="305"/>
      <c r="D26" s="116"/>
      <c r="E26" s="202" t="s">
        <v>634</v>
      </c>
      <c r="F26" s="202" t="s">
        <v>642</v>
      </c>
      <c r="G26" s="3"/>
      <c r="H26" s="3"/>
      <c r="I26" s="3"/>
      <c r="J26" s="3"/>
    </row>
    <row r="27" spans="1:10" ht="15.75" customHeight="1" x14ac:dyDescent="0.25">
      <c r="A27" s="26" t="s">
        <v>659</v>
      </c>
      <c r="B27" s="203">
        <v>2150</v>
      </c>
      <c r="C27" s="63">
        <v>150</v>
      </c>
      <c r="D27" s="63">
        <v>18</v>
      </c>
      <c r="E27" s="204" t="s">
        <v>637</v>
      </c>
      <c r="F27" s="205">
        <v>795000</v>
      </c>
      <c r="G27" s="3"/>
      <c r="H27" s="3"/>
      <c r="I27" s="3"/>
      <c r="J27" s="3"/>
    </row>
    <row r="28" spans="1:10" ht="15.75" customHeight="1" x14ac:dyDescent="0.25">
      <c r="A28" s="26" t="s">
        <v>660</v>
      </c>
      <c r="B28" s="203">
        <v>2400</v>
      </c>
      <c r="C28" s="63">
        <v>150</v>
      </c>
      <c r="D28" s="63">
        <v>18</v>
      </c>
      <c r="E28" s="204" t="s">
        <v>637</v>
      </c>
      <c r="F28" s="205">
        <v>888000</v>
      </c>
      <c r="G28" s="3"/>
      <c r="H28" s="3"/>
      <c r="I28" s="3"/>
      <c r="J28" s="3"/>
    </row>
    <row r="29" spans="1:10" ht="15.75" customHeight="1" x14ac:dyDescent="0.25">
      <c r="A29" s="26" t="s">
        <v>661</v>
      </c>
      <c r="B29" s="203">
        <v>2560</v>
      </c>
      <c r="C29" s="63">
        <v>150</v>
      </c>
      <c r="D29" s="63">
        <v>18</v>
      </c>
      <c r="E29" s="204" t="s">
        <v>637</v>
      </c>
      <c r="F29" s="205">
        <v>947000</v>
      </c>
      <c r="G29" s="3"/>
      <c r="H29" s="3"/>
      <c r="I29" s="3"/>
      <c r="J29" s="3"/>
    </row>
    <row r="30" spans="1:10" ht="15.75" customHeight="1" x14ac:dyDescent="0.25">
      <c r="A30" s="26" t="s">
        <v>662</v>
      </c>
      <c r="B30" s="203">
        <v>2720</v>
      </c>
      <c r="C30" s="63">
        <v>150</v>
      </c>
      <c r="D30" s="63">
        <v>18</v>
      </c>
      <c r="E30" s="204" t="s">
        <v>637</v>
      </c>
      <c r="F30" s="205">
        <v>1006000</v>
      </c>
      <c r="G30" s="3"/>
      <c r="H30" s="3"/>
      <c r="I30" s="3"/>
      <c r="J30" s="3"/>
    </row>
    <row r="31" spans="1:10" ht="15.75" customHeight="1" x14ac:dyDescent="0.25">
      <c r="A31" s="26" t="s">
        <v>663</v>
      </c>
      <c r="B31" s="203">
        <v>3000</v>
      </c>
      <c r="C31" s="63">
        <v>150</v>
      </c>
      <c r="D31" s="63">
        <v>18</v>
      </c>
      <c r="E31" s="204" t="s">
        <v>637</v>
      </c>
      <c r="F31" s="205">
        <v>1110000</v>
      </c>
      <c r="G31" s="3"/>
      <c r="H31" s="3"/>
      <c r="I31" s="3"/>
      <c r="J31" s="3"/>
    </row>
    <row r="32" spans="1:10" ht="12.75" x14ac:dyDescent="0.2">
      <c r="A32" s="24"/>
      <c r="B32" s="51"/>
      <c r="C32" s="51"/>
      <c r="D32" s="51"/>
      <c r="E32" s="51"/>
      <c r="F32" s="51"/>
      <c r="G32" s="3"/>
      <c r="H32" s="3"/>
      <c r="I32" s="3"/>
      <c r="J32" s="3"/>
    </row>
    <row r="33" spans="1:10" ht="15.75" customHeight="1" x14ac:dyDescent="0.25">
      <c r="A33" s="338" t="s">
        <v>664</v>
      </c>
      <c r="B33" s="311"/>
      <c r="C33" s="208"/>
      <c r="D33" s="209"/>
      <c r="E33" s="210" t="s">
        <v>634</v>
      </c>
      <c r="F33" s="211" t="s">
        <v>642</v>
      </c>
      <c r="G33" s="3"/>
      <c r="H33" s="3"/>
      <c r="I33" s="3"/>
      <c r="J33" s="3"/>
    </row>
    <row r="34" spans="1:10" ht="15.75" customHeight="1" x14ac:dyDescent="0.25">
      <c r="A34" s="26" t="s">
        <v>665</v>
      </c>
      <c r="B34" s="212">
        <v>480</v>
      </c>
      <c r="C34" s="63">
        <v>100</v>
      </c>
      <c r="D34" s="63">
        <v>18</v>
      </c>
      <c r="E34" s="204" t="s">
        <v>637</v>
      </c>
      <c r="F34" s="205">
        <v>265000</v>
      </c>
      <c r="G34" s="3"/>
      <c r="H34" s="3"/>
      <c r="I34" s="3"/>
      <c r="J34" s="3"/>
    </row>
    <row r="35" spans="1:10" ht="15.75" customHeight="1" x14ac:dyDescent="0.25">
      <c r="A35" s="26" t="s">
        <v>666</v>
      </c>
      <c r="B35" s="212">
        <v>500</v>
      </c>
      <c r="C35" s="63">
        <v>100</v>
      </c>
      <c r="D35" s="63">
        <v>18</v>
      </c>
      <c r="E35" s="204" t="s">
        <v>637</v>
      </c>
      <c r="F35" s="205">
        <v>268000</v>
      </c>
      <c r="G35" s="3"/>
      <c r="H35" s="3"/>
      <c r="I35" s="3"/>
      <c r="J35" s="3"/>
    </row>
    <row r="36" spans="1:10" ht="15.75" customHeight="1" x14ac:dyDescent="0.25">
      <c r="A36" s="26" t="s">
        <v>667</v>
      </c>
      <c r="B36" s="212">
        <v>600</v>
      </c>
      <c r="C36" s="63">
        <v>100</v>
      </c>
      <c r="D36" s="63">
        <v>18</v>
      </c>
      <c r="E36" s="204" t="s">
        <v>637</v>
      </c>
      <c r="F36" s="205">
        <v>288000</v>
      </c>
      <c r="G36" s="3"/>
      <c r="H36" s="3"/>
      <c r="I36" s="3"/>
      <c r="J36" s="3"/>
    </row>
    <row r="37" spans="1:10" ht="15.75" customHeight="1" x14ac:dyDescent="0.25">
      <c r="A37" s="26" t="s">
        <v>668</v>
      </c>
      <c r="B37" s="212">
        <v>960</v>
      </c>
      <c r="C37" s="63">
        <v>100</v>
      </c>
      <c r="D37" s="63">
        <v>18</v>
      </c>
      <c r="E37" s="204" t="s">
        <v>637</v>
      </c>
      <c r="F37" s="205">
        <v>356000</v>
      </c>
      <c r="G37" s="3"/>
      <c r="H37" s="3"/>
      <c r="I37" s="3"/>
      <c r="J37" s="3"/>
    </row>
    <row r="38" spans="1:10" ht="15.75" customHeight="1" x14ac:dyDescent="0.25">
      <c r="A38" s="26" t="s">
        <v>669</v>
      </c>
      <c r="B38" s="205">
        <v>1000</v>
      </c>
      <c r="C38" s="63">
        <v>100</v>
      </c>
      <c r="D38" s="63">
        <v>18</v>
      </c>
      <c r="E38" s="204" t="s">
        <v>637</v>
      </c>
      <c r="F38" s="205">
        <v>364000</v>
      </c>
      <c r="G38" s="3"/>
      <c r="H38" s="3"/>
      <c r="I38" s="3"/>
      <c r="J38" s="3"/>
    </row>
    <row r="39" spans="1:10" ht="15.75" customHeight="1" x14ac:dyDescent="0.25">
      <c r="A39" s="26" t="s">
        <v>670</v>
      </c>
      <c r="B39" s="205">
        <v>1200</v>
      </c>
      <c r="C39" s="63">
        <v>100</v>
      </c>
      <c r="D39" s="63">
        <v>18</v>
      </c>
      <c r="E39" s="204" t="s">
        <v>637</v>
      </c>
      <c r="F39" s="205">
        <v>402000</v>
      </c>
      <c r="G39" s="3"/>
      <c r="H39" s="3"/>
      <c r="I39" s="3"/>
      <c r="J39" s="3"/>
    </row>
    <row r="40" spans="1:10" ht="12.75" x14ac:dyDescent="0.2">
      <c r="A40" s="45"/>
      <c r="B40" s="3"/>
      <c r="C40" s="3"/>
      <c r="D40" s="3"/>
      <c r="E40" s="3"/>
      <c r="F40" s="3"/>
      <c r="G40" s="3"/>
      <c r="H40" s="3"/>
      <c r="I40" s="3"/>
      <c r="J40" s="3"/>
    </row>
    <row r="41" spans="1:10" ht="15.75" customHeight="1" x14ac:dyDescent="0.3">
      <c r="A41" s="213" t="s">
        <v>671</v>
      </c>
      <c r="B41" s="335" t="s">
        <v>672</v>
      </c>
      <c r="C41" s="305"/>
      <c r="D41" s="214" t="s">
        <v>673</v>
      </c>
      <c r="E41" s="215" t="s">
        <v>517</v>
      </c>
      <c r="F41" s="214" t="s">
        <v>674</v>
      </c>
      <c r="G41" s="215" t="s">
        <v>517</v>
      </c>
      <c r="H41" s="214" t="s">
        <v>674</v>
      </c>
      <c r="I41" s="215" t="s">
        <v>517</v>
      </c>
      <c r="J41" s="214" t="s">
        <v>674</v>
      </c>
    </row>
    <row r="42" spans="1:10" ht="15.75" customHeight="1" x14ac:dyDescent="0.25">
      <c r="A42" s="216" t="s">
        <v>675</v>
      </c>
      <c r="B42" s="328">
        <v>480</v>
      </c>
      <c r="C42" s="318"/>
      <c r="D42" s="217">
        <v>18</v>
      </c>
      <c r="E42" s="218">
        <v>600</v>
      </c>
      <c r="F42" s="219">
        <v>243000</v>
      </c>
      <c r="G42" s="217">
        <v>450</v>
      </c>
      <c r="H42" s="219">
        <v>188000</v>
      </c>
      <c r="I42" s="217">
        <v>350</v>
      </c>
      <c r="J42" s="219">
        <v>152000</v>
      </c>
    </row>
    <row r="43" spans="1:10" ht="15.75" customHeight="1" x14ac:dyDescent="0.25">
      <c r="A43" s="220" t="s">
        <v>676</v>
      </c>
      <c r="B43" s="329">
        <v>600</v>
      </c>
      <c r="C43" s="318"/>
      <c r="D43" s="141">
        <v>18</v>
      </c>
      <c r="E43" s="221">
        <v>600</v>
      </c>
      <c r="F43" s="222">
        <v>299000</v>
      </c>
      <c r="G43" s="141">
        <v>450</v>
      </c>
      <c r="H43" s="222">
        <v>232000</v>
      </c>
      <c r="I43" s="141">
        <v>350</v>
      </c>
      <c r="J43" s="222">
        <v>187000</v>
      </c>
    </row>
    <row r="44" spans="1:10" ht="15.75" customHeight="1" x14ac:dyDescent="0.25">
      <c r="A44" s="223" t="s">
        <v>677</v>
      </c>
      <c r="B44" s="328">
        <v>720</v>
      </c>
      <c r="C44" s="318"/>
      <c r="D44" s="217">
        <v>18</v>
      </c>
      <c r="E44" s="218">
        <v>600</v>
      </c>
      <c r="F44" s="219">
        <v>356000</v>
      </c>
      <c r="G44" s="217">
        <v>450</v>
      </c>
      <c r="H44" s="219">
        <v>276000</v>
      </c>
      <c r="I44" s="217">
        <v>350</v>
      </c>
      <c r="J44" s="219">
        <v>223000</v>
      </c>
    </row>
    <row r="45" spans="1:10" ht="15.75" customHeight="1" x14ac:dyDescent="0.25">
      <c r="A45" s="220" t="s">
        <v>678</v>
      </c>
      <c r="B45" s="329">
        <v>800</v>
      </c>
      <c r="C45" s="318"/>
      <c r="D45" s="141">
        <v>18</v>
      </c>
      <c r="E45" s="221">
        <v>600</v>
      </c>
      <c r="F45" s="222">
        <v>394000</v>
      </c>
      <c r="G45" s="141">
        <v>450</v>
      </c>
      <c r="H45" s="222">
        <v>306000</v>
      </c>
      <c r="I45" s="141">
        <v>350</v>
      </c>
      <c r="J45" s="222">
        <v>247000</v>
      </c>
    </row>
    <row r="46" spans="1:10" x14ac:dyDescent="0.25">
      <c r="A46" s="223" t="s">
        <v>679</v>
      </c>
      <c r="B46" s="328">
        <v>1000</v>
      </c>
      <c r="C46" s="318"/>
      <c r="D46" s="217">
        <v>18</v>
      </c>
      <c r="E46" s="218">
        <v>600</v>
      </c>
      <c r="F46" s="219">
        <v>488000</v>
      </c>
      <c r="G46" s="217">
        <v>450</v>
      </c>
      <c r="H46" s="219">
        <v>379000</v>
      </c>
      <c r="I46" s="217">
        <v>350</v>
      </c>
      <c r="J46" s="219">
        <v>306000</v>
      </c>
    </row>
    <row r="47" spans="1:10" x14ac:dyDescent="0.25">
      <c r="A47" s="220" t="s">
        <v>680</v>
      </c>
      <c r="B47" s="329">
        <v>1200</v>
      </c>
      <c r="C47" s="318"/>
      <c r="D47" s="141">
        <v>18</v>
      </c>
      <c r="E47" s="221">
        <v>600</v>
      </c>
      <c r="F47" s="222">
        <v>583000</v>
      </c>
      <c r="G47" s="141">
        <v>450</v>
      </c>
      <c r="H47" s="222">
        <v>452000</v>
      </c>
      <c r="I47" s="141">
        <v>350</v>
      </c>
      <c r="J47" s="222">
        <v>365000</v>
      </c>
    </row>
    <row r="48" spans="1:10" x14ac:dyDescent="0.25">
      <c r="A48" s="223" t="s">
        <v>681</v>
      </c>
      <c r="B48" s="328">
        <v>1500</v>
      </c>
      <c r="C48" s="318"/>
      <c r="D48" s="217">
        <v>18</v>
      </c>
      <c r="E48" s="218">
        <v>600</v>
      </c>
      <c r="F48" s="219">
        <v>725000</v>
      </c>
      <c r="G48" s="217">
        <v>450</v>
      </c>
      <c r="H48" s="219">
        <v>563000</v>
      </c>
      <c r="I48" s="217">
        <v>350</v>
      </c>
      <c r="J48" s="219">
        <v>454000</v>
      </c>
    </row>
    <row r="49" spans="1:10" x14ac:dyDescent="0.25">
      <c r="A49" s="220" t="s">
        <v>682</v>
      </c>
      <c r="B49" s="329">
        <v>1800</v>
      </c>
      <c r="C49" s="318"/>
      <c r="D49" s="141">
        <v>18</v>
      </c>
      <c r="E49" s="221">
        <v>600</v>
      </c>
      <c r="F49" s="222">
        <v>867000</v>
      </c>
      <c r="G49" s="141">
        <v>450</v>
      </c>
      <c r="H49" s="222">
        <v>673000</v>
      </c>
      <c r="I49" s="141">
        <v>350</v>
      </c>
      <c r="J49" s="222">
        <v>543000</v>
      </c>
    </row>
    <row r="50" spans="1:10" x14ac:dyDescent="0.25">
      <c r="A50" s="223" t="s">
        <v>683</v>
      </c>
      <c r="B50" s="328">
        <v>2000</v>
      </c>
      <c r="C50" s="318"/>
      <c r="D50" s="217">
        <v>18</v>
      </c>
      <c r="E50" s="218">
        <v>600</v>
      </c>
      <c r="F50" s="219">
        <v>961000</v>
      </c>
      <c r="G50" s="217">
        <v>450</v>
      </c>
      <c r="H50" s="219">
        <v>746000</v>
      </c>
      <c r="I50" s="217">
        <v>350</v>
      </c>
      <c r="J50" s="219">
        <v>603000</v>
      </c>
    </row>
    <row r="51" spans="1:10" x14ac:dyDescent="0.25">
      <c r="A51" s="220" t="s">
        <v>684</v>
      </c>
      <c r="B51" s="329">
        <v>2200</v>
      </c>
      <c r="C51" s="318"/>
      <c r="D51" s="141">
        <v>18</v>
      </c>
      <c r="E51" s="221">
        <v>600</v>
      </c>
      <c r="F51" s="222">
        <v>1056000</v>
      </c>
      <c r="G51" s="141">
        <v>450</v>
      </c>
      <c r="H51" s="222">
        <v>820000</v>
      </c>
      <c r="I51" s="141">
        <v>350</v>
      </c>
      <c r="J51" s="222">
        <v>662000</v>
      </c>
    </row>
    <row r="52" spans="1:10" x14ac:dyDescent="0.25">
      <c r="A52" s="223" t="s">
        <v>685</v>
      </c>
      <c r="B52" s="328">
        <v>2400</v>
      </c>
      <c r="C52" s="318"/>
      <c r="D52" s="217">
        <v>18</v>
      </c>
      <c r="E52" s="218">
        <v>600</v>
      </c>
      <c r="F52" s="219">
        <v>1150000</v>
      </c>
      <c r="G52" s="217">
        <v>450</v>
      </c>
      <c r="H52" s="219">
        <v>893000</v>
      </c>
      <c r="I52" s="217">
        <v>350</v>
      </c>
      <c r="J52" s="219">
        <v>722000</v>
      </c>
    </row>
    <row r="53" spans="1:10" x14ac:dyDescent="0.25">
      <c r="A53" s="220" t="s">
        <v>686</v>
      </c>
      <c r="B53" s="329">
        <v>2560</v>
      </c>
      <c r="C53" s="318"/>
      <c r="D53" s="141">
        <v>18</v>
      </c>
      <c r="E53" s="221">
        <v>600</v>
      </c>
      <c r="F53" s="222">
        <v>1226000</v>
      </c>
      <c r="G53" s="141">
        <v>450</v>
      </c>
      <c r="H53" s="222">
        <v>952000</v>
      </c>
      <c r="I53" s="141">
        <v>350</v>
      </c>
      <c r="J53" s="222">
        <v>769000</v>
      </c>
    </row>
    <row r="54" spans="1:10" x14ac:dyDescent="0.25">
      <c r="A54" s="224" t="s">
        <v>687</v>
      </c>
      <c r="B54" s="330">
        <v>2720</v>
      </c>
      <c r="C54" s="277"/>
      <c r="D54" s="225">
        <v>18</v>
      </c>
      <c r="E54" s="226">
        <v>600</v>
      </c>
      <c r="F54" s="227">
        <v>1301000</v>
      </c>
      <c r="G54" s="226">
        <v>450</v>
      </c>
      <c r="H54" s="228">
        <v>1011000</v>
      </c>
      <c r="I54" s="225">
        <v>350</v>
      </c>
      <c r="J54" s="227">
        <v>817000</v>
      </c>
    </row>
    <row r="55" spans="1:10" ht="12.75" x14ac:dyDescent="0.2">
      <c r="A55" s="61"/>
      <c r="B55" s="61"/>
      <c r="C55" s="61"/>
      <c r="D55" s="61"/>
      <c r="E55" s="3"/>
      <c r="F55" s="3"/>
      <c r="G55" s="61"/>
      <c r="H55" s="3"/>
      <c r="I55" s="61"/>
      <c r="J55" s="3"/>
    </row>
    <row r="56" spans="1:10" ht="18" x14ac:dyDescent="0.25">
      <c r="A56" s="229" t="s">
        <v>688</v>
      </c>
      <c r="B56" s="335" t="s">
        <v>689</v>
      </c>
      <c r="C56" s="305"/>
      <c r="D56" s="214" t="s">
        <v>673</v>
      </c>
      <c r="E56" s="215" t="s">
        <v>517</v>
      </c>
      <c r="F56" s="215" t="s">
        <v>674</v>
      </c>
      <c r="G56" s="215" t="s">
        <v>517</v>
      </c>
      <c r="H56" s="215" t="s">
        <v>674</v>
      </c>
      <c r="I56" s="215" t="s">
        <v>517</v>
      </c>
      <c r="J56" s="215" t="s">
        <v>674</v>
      </c>
    </row>
    <row r="57" spans="1:10" x14ac:dyDescent="0.25">
      <c r="A57" s="216" t="s">
        <v>690</v>
      </c>
      <c r="B57" s="332">
        <v>480</v>
      </c>
      <c r="C57" s="299"/>
      <c r="D57" s="230">
        <v>18</v>
      </c>
      <c r="E57" s="231">
        <v>600</v>
      </c>
      <c r="F57" s="232">
        <v>289000</v>
      </c>
      <c r="G57" s="233">
        <v>450</v>
      </c>
      <c r="H57" s="232">
        <v>235000</v>
      </c>
      <c r="I57" s="233">
        <v>350</v>
      </c>
      <c r="J57" s="232">
        <v>199000</v>
      </c>
    </row>
    <row r="58" spans="1:10" x14ac:dyDescent="0.25">
      <c r="A58" s="220" t="s">
        <v>691</v>
      </c>
      <c r="B58" s="329">
        <v>600</v>
      </c>
      <c r="C58" s="318"/>
      <c r="D58" s="117">
        <v>18</v>
      </c>
      <c r="E58" s="221">
        <v>600</v>
      </c>
      <c r="F58" s="234">
        <v>350000</v>
      </c>
      <c r="G58" s="141">
        <v>450</v>
      </c>
      <c r="H58" s="222">
        <v>283000</v>
      </c>
      <c r="I58" s="141">
        <v>350</v>
      </c>
      <c r="J58" s="222">
        <v>238000</v>
      </c>
    </row>
    <row r="59" spans="1:10" x14ac:dyDescent="0.25">
      <c r="A59" s="223" t="s">
        <v>692</v>
      </c>
      <c r="B59" s="328">
        <v>800</v>
      </c>
      <c r="C59" s="318"/>
      <c r="D59" s="235">
        <v>18</v>
      </c>
      <c r="E59" s="218">
        <v>600</v>
      </c>
      <c r="F59" s="232">
        <v>452000</v>
      </c>
      <c r="G59" s="217">
        <v>450</v>
      </c>
      <c r="H59" s="219">
        <v>364000</v>
      </c>
      <c r="I59" s="217">
        <v>350</v>
      </c>
      <c r="J59" s="219">
        <v>305000</v>
      </c>
    </row>
    <row r="60" spans="1:10" x14ac:dyDescent="0.25">
      <c r="A60" s="220" t="s">
        <v>693</v>
      </c>
      <c r="B60" s="329">
        <v>960</v>
      </c>
      <c r="C60" s="318"/>
      <c r="D60" s="117">
        <v>18</v>
      </c>
      <c r="E60" s="221">
        <v>600</v>
      </c>
      <c r="F60" s="234">
        <v>533000</v>
      </c>
      <c r="G60" s="141">
        <v>450</v>
      </c>
      <c r="H60" s="222">
        <v>428000</v>
      </c>
      <c r="I60" s="141">
        <v>350</v>
      </c>
      <c r="J60" s="222">
        <v>358000</v>
      </c>
    </row>
    <row r="61" spans="1:10" x14ac:dyDescent="0.25">
      <c r="A61" s="223" t="s">
        <v>694</v>
      </c>
      <c r="B61" s="328">
        <v>1000</v>
      </c>
      <c r="C61" s="318"/>
      <c r="D61" s="235">
        <v>18</v>
      </c>
      <c r="E61" s="218">
        <v>600</v>
      </c>
      <c r="F61" s="232">
        <v>554000</v>
      </c>
      <c r="G61" s="217">
        <v>450</v>
      </c>
      <c r="H61" s="219">
        <v>444000</v>
      </c>
      <c r="I61" s="217">
        <v>350</v>
      </c>
      <c r="J61" s="219">
        <v>371000</v>
      </c>
    </row>
    <row r="62" spans="1:10" x14ac:dyDescent="0.25">
      <c r="A62" s="26" t="s">
        <v>695</v>
      </c>
      <c r="B62" s="334">
        <v>1200</v>
      </c>
      <c r="C62" s="277"/>
      <c r="D62" s="63">
        <v>18</v>
      </c>
      <c r="E62" s="236">
        <v>600</v>
      </c>
      <c r="F62" s="205">
        <v>655000</v>
      </c>
      <c r="G62" s="62">
        <v>450</v>
      </c>
      <c r="H62" s="237">
        <v>525000</v>
      </c>
      <c r="I62" s="62">
        <v>350</v>
      </c>
      <c r="J62" s="237">
        <v>438000</v>
      </c>
    </row>
    <row r="63" spans="1:10" ht="12.7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18" x14ac:dyDescent="0.25">
      <c r="A64" s="238" t="s">
        <v>696</v>
      </c>
      <c r="B64" s="333" t="s">
        <v>689</v>
      </c>
      <c r="C64" s="305"/>
      <c r="D64" s="239" t="s">
        <v>673</v>
      </c>
      <c r="E64" s="240" t="s">
        <v>517</v>
      </c>
      <c r="F64" s="240" t="s">
        <v>674</v>
      </c>
      <c r="G64" s="240" t="s">
        <v>517</v>
      </c>
      <c r="H64" s="240" t="s">
        <v>674</v>
      </c>
      <c r="I64" s="240" t="s">
        <v>517</v>
      </c>
      <c r="J64" s="240" t="s">
        <v>674</v>
      </c>
    </row>
    <row r="65" spans="1:10" x14ac:dyDescent="0.25">
      <c r="A65" s="216" t="s">
        <v>697</v>
      </c>
      <c r="B65" s="328">
        <v>450</v>
      </c>
      <c r="C65" s="318"/>
      <c r="D65" s="233">
        <v>8</v>
      </c>
      <c r="E65" s="233">
        <v>600</v>
      </c>
      <c r="F65" s="232">
        <v>411000</v>
      </c>
      <c r="G65" s="233">
        <v>450</v>
      </c>
      <c r="H65" s="232">
        <v>318000</v>
      </c>
      <c r="I65" s="233">
        <v>350</v>
      </c>
      <c r="J65" s="232">
        <v>256000</v>
      </c>
    </row>
    <row r="66" spans="1:10" x14ac:dyDescent="0.25">
      <c r="A66" s="220" t="s">
        <v>698</v>
      </c>
      <c r="B66" s="329">
        <v>600</v>
      </c>
      <c r="C66" s="318"/>
      <c r="D66" s="141">
        <v>8</v>
      </c>
      <c r="E66" s="141">
        <v>600</v>
      </c>
      <c r="F66" s="222">
        <v>536000</v>
      </c>
      <c r="G66" s="141">
        <v>450</v>
      </c>
      <c r="H66" s="222">
        <v>411000</v>
      </c>
      <c r="I66" s="141">
        <v>350</v>
      </c>
      <c r="J66" s="222">
        <v>328000</v>
      </c>
    </row>
    <row r="67" spans="1:10" x14ac:dyDescent="0.25">
      <c r="A67" s="223" t="s">
        <v>699</v>
      </c>
      <c r="B67" s="328">
        <v>900</v>
      </c>
      <c r="C67" s="318"/>
      <c r="D67" s="217">
        <v>8</v>
      </c>
      <c r="E67" s="217">
        <v>600</v>
      </c>
      <c r="F67" s="232">
        <v>831000</v>
      </c>
      <c r="G67" s="217">
        <v>450</v>
      </c>
      <c r="H67" s="232">
        <v>645000</v>
      </c>
      <c r="I67" s="217">
        <v>350</v>
      </c>
      <c r="J67" s="232">
        <v>520000</v>
      </c>
    </row>
    <row r="68" spans="1:10" x14ac:dyDescent="0.25">
      <c r="A68" s="220" t="s">
        <v>700</v>
      </c>
      <c r="B68" s="329">
        <v>1000</v>
      </c>
      <c r="C68" s="318"/>
      <c r="D68" s="141">
        <v>8</v>
      </c>
      <c r="E68" s="141">
        <v>600</v>
      </c>
      <c r="F68" s="222">
        <v>915000</v>
      </c>
      <c r="G68" s="141">
        <v>450</v>
      </c>
      <c r="H68" s="222">
        <v>707000</v>
      </c>
      <c r="I68" s="141">
        <v>350</v>
      </c>
      <c r="J68" s="222">
        <v>568000</v>
      </c>
    </row>
    <row r="69" spans="1:10" x14ac:dyDescent="0.25">
      <c r="A69" s="224" t="s">
        <v>701</v>
      </c>
      <c r="B69" s="330">
        <v>1200</v>
      </c>
      <c r="C69" s="277"/>
      <c r="D69" s="225">
        <v>8</v>
      </c>
      <c r="E69" s="225">
        <v>600</v>
      </c>
      <c r="F69" s="227">
        <v>1081000</v>
      </c>
      <c r="G69" s="225">
        <v>450</v>
      </c>
      <c r="H69" s="227">
        <v>831000</v>
      </c>
      <c r="I69" s="225">
        <v>350</v>
      </c>
      <c r="J69" s="227">
        <v>665000</v>
      </c>
    </row>
    <row r="70" spans="1:10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ht="18" x14ac:dyDescent="0.25">
      <c r="A71" s="238" t="s">
        <v>702</v>
      </c>
      <c r="B71" s="333" t="s">
        <v>689</v>
      </c>
      <c r="C71" s="305"/>
      <c r="D71" s="239" t="s">
        <v>673</v>
      </c>
      <c r="E71" s="240" t="s">
        <v>517</v>
      </c>
      <c r="F71" s="240" t="s">
        <v>674</v>
      </c>
      <c r="G71" s="240" t="s">
        <v>517</v>
      </c>
      <c r="H71" s="240" t="s">
        <v>674</v>
      </c>
      <c r="I71" s="240" t="s">
        <v>517</v>
      </c>
      <c r="J71" s="240" t="s">
        <v>674</v>
      </c>
    </row>
    <row r="72" spans="1:10" x14ac:dyDescent="0.25">
      <c r="A72" s="216" t="s">
        <v>703</v>
      </c>
      <c r="B72" s="328">
        <v>450</v>
      </c>
      <c r="C72" s="318"/>
      <c r="D72" s="233">
        <v>8</v>
      </c>
      <c r="E72" s="233">
        <v>600</v>
      </c>
      <c r="F72" s="232">
        <v>1271000</v>
      </c>
      <c r="G72" s="233">
        <v>450</v>
      </c>
      <c r="H72" s="232">
        <v>963000</v>
      </c>
      <c r="I72" s="233">
        <v>350</v>
      </c>
      <c r="J72" s="232">
        <v>757000</v>
      </c>
    </row>
    <row r="73" spans="1:10" x14ac:dyDescent="0.25">
      <c r="A73" s="220" t="s">
        <v>704</v>
      </c>
      <c r="B73" s="329">
        <v>600</v>
      </c>
      <c r="C73" s="318"/>
      <c r="D73" s="141">
        <v>8</v>
      </c>
      <c r="E73" s="141">
        <v>600</v>
      </c>
      <c r="F73" s="222">
        <v>1682000</v>
      </c>
      <c r="G73" s="141">
        <v>450</v>
      </c>
      <c r="H73" s="222">
        <v>1271000</v>
      </c>
      <c r="I73" s="141">
        <v>350</v>
      </c>
      <c r="J73" s="222">
        <v>997000</v>
      </c>
    </row>
    <row r="74" spans="1:10" x14ac:dyDescent="0.25">
      <c r="A74" s="223" t="s">
        <v>705</v>
      </c>
      <c r="B74" s="328">
        <v>900</v>
      </c>
      <c r="C74" s="318"/>
      <c r="D74" s="217">
        <v>8</v>
      </c>
      <c r="E74" s="217">
        <v>600</v>
      </c>
      <c r="F74" s="232">
        <v>2551000</v>
      </c>
      <c r="G74" s="217">
        <v>450</v>
      </c>
      <c r="H74" s="232">
        <v>1934000</v>
      </c>
      <c r="I74" s="217">
        <v>350</v>
      </c>
      <c r="J74" s="232">
        <v>1523000</v>
      </c>
    </row>
    <row r="75" spans="1:10" x14ac:dyDescent="0.25">
      <c r="A75" s="220" t="s">
        <v>706</v>
      </c>
      <c r="B75" s="329">
        <v>1000</v>
      </c>
      <c r="C75" s="318"/>
      <c r="D75" s="141">
        <v>8</v>
      </c>
      <c r="E75" s="141">
        <v>600</v>
      </c>
      <c r="F75" s="222">
        <v>2825000</v>
      </c>
      <c r="G75" s="141">
        <v>450</v>
      </c>
      <c r="H75" s="222">
        <v>2140000</v>
      </c>
      <c r="I75" s="141">
        <v>350</v>
      </c>
      <c r="J75" s="222">
        <v>1683000</v>
      </c>
    </row>
    <row r="76" spans="1:10" x14ac:dyDescent="0.25">
      <c r="A76" s="224" t="s">
        <v>707</v>
      </c>
      <c r="B76" s="330">
        <v>1200</v>
      </c>
      <c r="C76" s="277"/>
      <c r="D76" s="225">
        <v>8</v>
      </c>
      <c r="E76" s="225">
        <v>600</v>
      </c>
      <c r="F76" s="227">
        <v>3374000</v>
      </c>
      <c r="G76" s="225">
        <v>450</v>
      </c>
      <c r="H76" s="227">
        <v>2551000</v>
      </c>
      <c r="I76" s="225">
        <v>350</v>
      </c>
      <c r="J76" s="227">
        <v>2003000</v>
      </c>
    </row>
    <row r="77" spans="1:10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ht="18" x14ac:dyDescent="0.25">
      <c r="A78" s="238" t="s">
        <v>708</v>
      </c>
      <c r="B78" s="333" t="s">
        <v>689</v>
      </c>
      <c r="C78" s="305"/>
      <c r="D78" s="239" t="s">
        <v>673</v>
      </c>
      <c r="E78" s="240" t="s">
        <v>517</v>
      </c>
      <c r="F78" s="240" t="s">
        <v>674</v>
      </c>
      <c r="G78" s="240" t="s">
        <v>517</v>
      </c>
      <c r="H78" s="240" t="s">
        <v>674</v>
      </c>
      <c r="I78" s="240" t="s">
        <v>517</v>
      </c>
      <c r="J78" s="240" t="s">
        <v>674</v>
      </c>
    </row>
    <row r="79" spans="1:10" x14ac:dyDescent="0.25">
      <c r="A79" s="216" t="s">
        <v>709</v>
      </c>
      <c r="B79" s="328">
        <v>450</v>
      </c>
      <c r="C79" s="318"/>
      <c r="D79" s="233">
        <v>8</v>
      </c>
      <c r="E79" s="233">
        <v>600</v>
      </c>
      <c r="F79" s="232">
        <v>584000</v>
      </c>
      <c r="G79" s="233">
        <v>450</v>
      </c>
      <c r="H79" s="232">
        <v>447000</v>
      </c>
      <c r="I79" s="233">
        <v>350</v>
      </c>
      <c r="J79" s="232">
        <v>356000</v>
      </c>
    </row>
    <row r="80" spans="1:10" x14ac:dyDescent="0.25">
      <c r="A80" s="220" t="s">
        <v>710</v>
      </c>
      <c r="B80" s="329">
        <v>600</v>
      </c>
      <c r="C80" s="318"/>
      <c r="D80" s="141">
        <v>8</v>
      </c>
      <c r="E80" s="141">
        <v>600</v>
      </c>
      <c r="F80" s="222">
        <v>766000</v>
      </c>
      <c r="G80" s="141">
        <v>450</v>
      </c>
      <c r="H80" s="222">
        <v>584000</v>
      </c>
      <c r="I80" s="141">
        <v>350</v>
      </c>
      <c r="J80" s="222">
        <v>463000</v>
      </c>
    </row>
    <row r="81" spans="1:10" x14ac:dyDescent="0.25">
      <c r="A81" s="223" t="s">
        <v>711</v>
      </c>
      <c r="B81" s="328">
        <v>900</v>
      </c>
      <c r="C81" s="318"/>
      <c r="D81" s="217">
        <v>8</v>
      </c>
      <c r="E81" s="217">
        <v>600</v>
      </c>
      <c r="F81" s="232">
        <v>1177000</v>
      </c>
      <c r="G81" s="217">
        <v>450</v>
      </c>
      <c r="H81" s="232">
        <v>904000</v>
      </c>
      <c r="I81" s="217">
        <v>350</v>
      </c>
      <c r="J81" s="232">
        <v>722000</v>
      </c>
    </row>
    <row r="82" spans="1:10" x14ac:dyDescent="0.25">
      <c r="A82" s="220" t="s">
        <v>712</v>
      </c>
      <c r="B82" s="329">
        <v>1000</v>
      </c>
      <c r="C82" s="318"/>
      <c r="D82" s="141">
        <v>8</v>
      </c>
      <c r="E82" s="141">
        <v>600</v>
      </c>
      <c r="F82" s="222">
        <v>1299000</v>
      </c>
      <c r="G82" s="141">
        <v>450</v>
      </c>
      <c r="H82" s="222">
        <v>995000</v>
      </c>
      <c r="I82" s="141">
        <v>350</v>
      </c>
      <c r="J82" s="222">
        <v>792000</v>
      </c>
    </row>
    <row r="83" spans="1:10" x14ac:dyDescent="0.25">
      <c r="A83" s="224" t="s">
        <v>713</v>
      </c>
      <c r="B83" s="330">
        <v>1200</v>
      </c>
      <c r="C83" s="277"/>
      <c r="D83" s="225">
        <v>8</v>
      </c>
      <c r="E83" s="225">
        <v>600</v>
      </c>
      <c r="F83" s="227">
        <v>1541000</v>
      </c>
      <c r="G83" s="225">
        <v>450</v>
      </c>
      <c r="H83" s="227">
        <v>1177000</v>
      </c>
      <c r="I83" s="225">
        <v>350</v>
      </c>
      <c r="J83" s="227">
        <v>934000</v>
      </c>
    </row>
    <row r="84" spans="1:10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20.25" x14ac:dyDescent="0.3">
      <c r="A85" s="241" t="s">
        <v>714</v>
      </c>
      <c r="B85" s="331" t="s">
        <v>689</v>
      </c>
      <c r="C85" s="305"/>
      <c r="D85" s="242" t="s">
        <v>673</v>
      </c>
      <c r="E85" s="243" t="s">
        <v>517</v>
      </c>
      <c r="F85" s="244" t="s">
        <v>674</v>
      </c>
      <c r="G85" s="245" t="s">
        <v>517</v>
      </c>
      <c r="H85" s="244" t="s">
        <v>674</v>
      </c>
      <c r="I85" s="245" t="s">
        <v>517</v>
      </c>
      <c r="J85" s="244" t="s">
        <v>674</v>
      </c>
    </row>
    <row r="86" spans="1:10" x14ac:dyDescent="0.25">
      <c r="A86" s="216" t="s">
        <v>715</v>
      </c>
      <c r="B86" s="332">
        <v>480</v>
      </c>
      <c r="C86" s="299"/>
      <c r="D86" s="230">
        <v>30</v>
      </c>
      <c r="E86" s="231">
        <v>600</v>
      </c>
      <c r="F86" s="246">
        <v>339000</v>
      </c>
      <c r="G86" s="233">
        <v>450</v>
      </c>
      <c r="H86" s="246">
        <v>265000</v>
      </c>
      <c r="I86" s="233">
        <v>350</v>
      </c>
      <c r="J86" s="246">
        <v>216000</v>
      </c>
    </row>
    <row r="87" spans="1:10" x14ac:dyDescent="0.25">
      <c r="A87" s="220" t="s">
        <v>716</v>
      </c>
      <c r="B87" s="329">
        <v>500</v>
      </c>
      <c r="C87" s="318"/>
      <c r="D87" s="117">
        <v>30</v>
      </c>
      <c r="E87" s="221">
        <v>600</v>
      </c>
      <c r="F87" s="234">
        <v>352000</v>
      </c>
      <c r="G87" s="141">
        <v>450</v>
      </c>
      <c r="H87" s="234">
        <v>275000</v>
      </c>
      <c r="I87" s="141">
        <v>350</v>
      </c>
      <c r="J87" s="234">
        <v>224000</v>
      </c>
    </row>
    <row r="88" spans="1:10" x14ac:dyDescent="0.25">
      <c r="A88" s="223" t="s">
        <v>717</v>
      </c>
      <c r="B88" s="328">
        <v>600</v>
      </c>
      <c r="C88" s="318"/>
      <c r="D88" s="235">
        <v>30</v>
      </c>
      <c r="E88" s="218">
        <v>600</v>
      </c>
      <c r="F88" s="232">
        <v>417000</v>
      </c>
      <c r="G88" s="217">
        <v>450</v>
      </c>
      <c r="H88" s="232">
        <v>326000</v>
      </c>
      <c r="I88" s="217">
        <v>350</v>
      </c>
      <c r="J88" s="232">
        <v>265000</v>
      </c>
    </row>
    <row r="89" spans="1:10" x14ac:dyDescent="0.25">
      <c r="A89" s="220" t="s">
        <v>718</v>
      </c>
      <c r="B89" s="329">
        <v>800</v>
      </c>
      <c r="C89" s="318"/>
      <c r="D89" s="117">
        <v>30</v>
      </c>
      <c r="E89" s="221">
        <v>600</v>
      </c>
      <c r="F89" s="234">
        <v>547000</v>
      </c>
      <c r="G89" s="141">
        <v>450</v>
      </c>
      <c r="H89" s="234">
        <v>428000</v>
      </c>
      <c r="I89" s="141">
        <v>350</v>
      </c>
      <c r="J89" s="234">
        <v>349000</v>
      </c>
    </row>
    <row r="90" spans="1:10" x14ac:dyDescent="0.25">
      <c r="A90" s="223" t="s">
        <v>719</v>
      </c>
      <c r="B90" s="328">
        <v>960</v>
      </c>
      <c r="C90" s="318"/>
      <c r="D90" s="235">
        <v>30</v>
      </c>
      <c r="E90" s="218">
        <v>600</v>
      </c>
      <c r="F90" s="232">
        <v>651000</v>
      </c>
      <c r="G90" s="217">
        <v>450</v>
      </c>
      <c r="H90" s="232">
        <v>509000</v>
      </c>
      <c r="I90" s="217">
        <v>350</v>
      </c>
      <c r="J90" s="232">
        <v>415000</v>
      </c>
    </row>
    <row r="91" spans="1:10" x14ac:dyDescent="0.25">
      <c r="A91" s="220" t="s">
        <v>720</v>
      </c>
      <c r="B91" s="329">
        <v>1000</v>
      </c>
      <c r="C91" s="318"/>
      <c r="D91" s="117">
        <v>30</v>
      </c>
      <c r="E91" s="221">
        <v>600</v>
      </c>
      <c r="F91" s="234">
        <v>677000</v>
      </c>
      <c r="G91" s="141">
        <v>450</v>
      </c>
      <c r="H91" s="234">
        <v>530000</v>
      </c>
      <c r="I91" s="141">
        <v>350</v>
      </c>
      <c r="J91" s="234">
        <v>432000</v>
      </c>
    </row>
    <row r="92" spans="1:10" x14ac:dyDescent="0.25">
      <c r="A92" s="223" t="s">
        <v>721</v>
      </c>
      <c r="B92" s="328">
        <v>1200</v>
      </c>
      <c r="C92" s="318"/>
      <c r="D92" s="235">
        <v>30</v>
      </c>
      <c r="E92" s="218">
        <v>600</v>
      </c>
      <c r="F92" s="232">
        <v>806000</v>
      </c>
      <c r="G92" s="217">
        <v>450</v>
      </c>
      <c r="H92" s="232">
        <v>632000</v>
      </c>
      <c r="I92" s="217">
        <v>350</v>
      </c>
      <c r="J92" s="232">
        <v>515000</v>
      </c>
    </row>
    <row r="93" spans="1:10" x14ac:dyDescent="0.25">
      <c r="A93" s="220" t="s">
        <v>722</v>
      </c>
      <c r="B93" s="329">
        <v>1500</v>
      </c>
      <c r="C93" s="318"/>
      <c r="D93" s="117">
        <v>30</v>
      </c>
      <c r="E93" s="221">
        <v>600</v>
      </c>
      <c r="F93" s="234">
        <v>1001000</v>
      </c>
      <c r="G93" s="141">
        <v>450</v>
      </c>
      <c r="H93" s="234">
        <v>784000</v>
      </c>
      <c r="I93" s="141">
        <v>350</v>
      </c>
      <c r="J93" s="234">
        <v>640000</v>
      </c>
    </row>
    <row r="94" spans="1:10" x14ac:dyDescent="0.25">
      <c r="A94" s="223" t="s">
        <v>723</v>
      </c>
      <c r="B94" s="328">
        <v>1800</v>
      </c>
      <c r="C94" s="318"/>
      <c r="D94" s="235">
        <v>30</v>
      </c>
      <c r="E94" s="218">
        <v>600</v>
      </c>
      <c r="F94" s="232">
        <v>1196000</v>
      </c>
      <c r="G94" s="217">
        <v>450</v>
      </c>
      <c r="H94" s="232">
        <v>937000</v>
      </c>
      <c r="I94" s="217">
        <v>350</v>
      </c>
      <c r="J94" s="232">
        <v>764000</v>
      </c>
    </row>
    <row r="95" spans="1:10" x14ac:dyDescent="0.25">
      <c r="A95" s="26" t="s">
        <v>724</v>
      </c>
      <c r="B95" s="334">
        <v>1920</v>
      </c>
      <c r="C95" s="277"/>
      <c r="D95" s="63">
        <v>30</v>
      </c>
      <c r="E95" s="236">
        <v>600</v>
      </c>
      <c r="F95" s="205">
        <v>1274000</v>
      </c>
      <c r="G95" s="62">
        <v>450</v>
      </c>
      <c r="H95" s="205">
        <v>998000</v>
      </c>
      <c r="I95" s="62">
        <v>350</v>
      </c>
      <c r="J95" s="205">
        <v>814000</v>
      </c>
    </row>
    <row r="96" spans="1:10" ht="12.75" x14ac:dyDescent="0.2">
      <c r="A96" s="61"/>
      <c r="B96" s="61"/>
      <c r="C96" s="61"/>
      <c r="D96" s="61"/>
      <c r="E96" s="3"/>
      <c r="F96" s="3"/>
      <c r="G96" s="61"/>
      <c r="H96" s="3"/>
      <c r="I96" s="61"/>
      <c r="J96" s="3"/>
    </row>
    <row r="97" spans="1:10" ht="18" x14ac:dyDescent="0.25">
      <c r="A97" s="247" t="s">
        <v>725</v>
      </c>
      <c r="B97" s="242" t="s">
        <v>726</v>
      </c>
      <c r="C97" s="242" t="s">
        <v>727</v>
      </c>
      <c r="D97" s="242"/>
      <c r="E97" s="242" t="s">
        <v>517</v>
      </c>
      <c r="F97" s="248" t="s">
        <v>674</v>
      </c>
      <c r="G97" s="242" t="s">
        <v>517</v>
      </c>
      <c r="H97" s="248" t="s">
        <v>674</v>
      </c>
      <c r="I97" s="242" t="s">
        <v>517</v>
      </c>
      <c r="J97" s="248" t="s">
        <v>674</v>
      </c>
    </row>
    <row r="98" spans="1:10" x14ac:dyDescent="0.25">
      <c r="A98" s="216" t="s">
        <v>728</v>
      </c>
      <c r="B98" s="230">
        <v>300</v>
      </c>
      <c r="C98" s="230">
        <v>300</v>
      </c>
      <c r="D98" s="249"/>
      <c r="E98" s="231">
        <v>600</v>
      </c>
      <c r="F98" s="246">
        <v>1177000</v>
      </c>
      <c r="G98" s="233">
        <v>450</v>
      </c>
      <c r="H98" s="246">
        <v>852000</v>
      </c>
      <c r="I98" s="233">
        <v>350</v>
      </c>
      <c r="J98" s="246">
        <v>611000</v>
      </c>
    </row>
    <row r="99" spans="1:10" x14ac:dyDescent="0.25">
      <c r="A99" s="220" t="s">
        <v>729</v>
      </c>
      <c r="B99" s="117">
        <v>300</v>
      </c>
      <c r="C99" s="117">
        <v>480</v>
      </c>
      <c r="D99" s="250"/>
      <c r="E99" s="221">
        <v>600</v>
      </c>
      <c r="F99" s="234">
        <v>1294000</v>
      </c>
      <c r="G99" s="141">
        <v>450</v>
      </c>
      <c r="H99" s="234">
        <v>944000</v>
      </c>
      <c r="I99" s="141">
        <v>350</v>
      </c>
      <c r="J99" s="234">
        <v>686000</v>
      </c>
    </row>
    <row r="100" spans="1:10" x14ac:dyDescent="0.25">
      <c r="A100" s="223" t="s">
        <v>730</v>
      </c>
      <c r="B100" s="235">
        <v>300</v>
      </c>
      <c r="C100" s="235">
        <v>600</v>
      </c>
      <c r="D100" s="251"/>
      <c r="E100" s="218">
        <v>600</v>
      </c>
      <c r="F100" s="232">
        <v>1372000</v>
      </c>
      <c r="G100" s="217">
        <v>450</v>
      </c>
      <c r="H100" s="232">
        <v>1005000</v>
      </c>
      <c r="I100" s="217">
        <v>350</v>
      </c>
      <c r="J100" s="232">
        <v>736000</v>
      </c>
    </row>
    <row r="101" spans="1:10" x14ac:dyDescent="0.25">
      <c r="A101" s="220" t="s">
        <v>731</v>
      </c>
      <c r="B101" s="117">
        <v>300</v>
      </c>
      <c r="C101" s="117">
        <v>960</v>
      </c>
      <c r="D101" s="250"/>
      <c r="E101" s="221">
        <v>600</v>
      </c>
      <c r="F101" s="234">
        <v>1606000</v>
      </c>
      <c r="G101" s="141">
        <v>450</v>
      </c>
      <c r="H101" s="234">
        <v>1188000</v>
      </c>
      <c r="I101" s="141">
        <v>350</v>
      </c>
      <c r="J101" s="234">
        <v>885000</v>
      </c>
    </row>
    <row r="102" spans="1:10" x14ac:dyDescent="0.25">
      <c r="A102" s="223" t="s">
        <v>732</v>
      </c>
      <c r="B102" s="235">
        <v>480</v>
      </c>
      <c r="C102" s="235">
        <v>480</v>
      </c>
      <c r="D102" s="251"/>
      <c r="E102" s="218">
        <v>600</v>
      </c>
      <c r="F102" s="232">
        <v>1411000</v>
      </c>
      <c r="G102" s="217">
        <v>450</v>
      </c>
      <c r="H102" s="232">
        <v>1035000</v>
      </c>
      <c r="I102" s="217">
        <v>350</v>
      </c>
      <c r="J102" s="232">
        <v>761000</v>
      </c>
    </row>
    <row r="103" spans="1:10" x14ac:dyDescent="0.25">
      <c r="A103" s="220" t="s">
        <v>733</v>
      </c>
      <c r="B103" s="117">
        <v>480</v>
      </c>
      <c r="C103" s="117">
        <v>600</v>
      </c>
      <c r="D103" s="250"/>
      <c r="E103" s="221">
        <v>600</v>
      </c>
      <c r="F103" s="234">
        <v>1489000</v>
      </c>
      <c r="G103" s="141">
        <v>450</v>
      </c>
      <c r="H103" s="234">
        <v>1097000</v>
      </c>
      <c r="I103" s="141">
        <v>350</v>
      </c>
      <c r="J103" s="234">
        <v>811000</v>
      </c>
    </row>
    <row r="104" spans="1:10" x14ac:dyDescent="0.25">
      <c r="A104" s="223" t="s">
        <v>734</v>
      </c>
      <c r="B104" s="235">
        <v>480</v>
      </c>
      <c r="C104" s="235">
        <v>960</v>
      </c>
      <c r="D104" s="251"/>
      <c r="E104" s="218">
        <v>600</v>
      </c>
      <c r="F104" s="232">
        <v>1723000</v>
      </c>
      <c r="G104" s="217">
        <v>450</v>
      </c>
      <c r="H104" s="232">
        <v>1280000</v>
      </c>
      <c r="I104" s="217">
        <v>350</v>
      </c>
      <c r="J104" s="232">
        <v>960000</v>
      </c>
    </row>
    <row r="105" spans="1:10" x14ac:dyDescent="0.25">
      <c r="A105" s="220" t="s">
        <v>735</v>
      </c>
      <c r="B105" s="117">
        <v>600</v>
      </c>
      <c r="C105" s="117">
        <v>600</v>
      </c>
      <c r="D105" s="250"/>
      <c r="E105" s="221">
        <v>600</v>
      </c>
      <c r="F105" s="234">
        <v>1567000</v>
      </c>
      <c r="G105" s="141">
        <v>450</v>
      </c>
      <c r="H105" s="234">
        <v>1158000</v>
      </c>
      <c r="I105" s="141">
        <v>350</v>
      </c>
      <c r="J105" s="234">
        <v>860000</v>
      </c>
    </row>
    <row r="106" spans="1:10" x14ac:dyDescent="0.25">
      <c r="A106" s="223" t="s">
        <v>736</v>
      </c>
      <c r="B106" s="235">
        <v>600</v>
      </c>
      <c r="C106" s="235">
        <v>960</v>
      </c>
      <c r="D106" s="251"/>
      <c r="E106" s="218">
        <v>600</v>
      </c>
      <c r="F106" s="232">
        <v>1801000</v>
      </c>
      <c r="G106" s="217">
        <v>450</v>
      </c>
      <c r="H106" s="232">
        <v>1341000</v>
      </c>
      <c r="I106" s="217">
        <v>350</v>
      </c>
      <c r="J106" s="232">
        <v>1010000</v>
      </c>
    </row>
    <row r="107" spans="1:10" x14ac:dyDescent="0.25">
      <c r="A107" s="26" t="s">
        <v>737</v>
      </c>
      <c r="B107" s="63">
        <v>960</v>
      </c>
      <c r="C107" s="63">
        <v>960</v>
      </c>
      <c r="D107" s="203"/>
      <c r="E107" s="236">
        <v>600</v>
      </c>
      <c r="F107" s="205">
        <v>2035000</v>
      </c>
      <c r="G107" s="62">
        <v>450</v>
      </c>
      <c r="H107" s="205">
        <v>1524000</v>
      </c>
      <c r="I107" s="62">
        <v>350</v>
      </c>
      <c r="J107" s="205">
        <v>1160000</v>
      </c>
    </row>
    <row r="108" spans="1:10" ht="12.75" x14ac:dyDescent="0.2">
      <c r="A108" s="61"/>
      <c r="B108" s="61"/>
      <c r="C108" s="61"/>
      <c r="D108" s="61"/>
      <c r="E108" s="3"/>
      <c r="F108" s="3"/>
      <c r="G108" s="3"/>
      <c r="H108" s="3"/>
      <c r="I108" s="3"/>
      <c r="J108" s="3"/>
    </row>
    <row r="109" spans="1:10" ht="18" x14ac:dyDescent="0.25">
      <c r="A109" s="247" t="s">
        <v>738</v>
      </c>
      <c r="B109" s="341" t="s">
        <v>689</v>
      </c>
      <c r="C109" s="305"/>
      <c r="D109" s="248" t="s">
        <v>673</v>
      </c>
      <c r="E109" s="252"/>
      <c r="F109" s="248" t="s">
        <v>674</v>
      </c>
      <c r="G109" s="3"/>
      <c r="H109" s="3"/>
      <c r="I109" s="3"/>
      <c r="J109" s="3"/>
    </row>
    <row r="110" spans="1:10" x14ac:dyDescent="0.25">
      <c r="A110" s="216" t="s">
        <v>739</v>
      </c>
      <c r="B110" s="230">
        <v>1650</v>
      </c>
      <c r="C110" s="230">
        <v>1650</v>
      </c>
      <c r="D110" s="230">
        <v>30</v>
      </c>
      <c r="E110" s="230"/>
      <c r="F110" s="232">
        <v>2765000</v>
      </c>
      <c r="G110" s="3"/>
      <c r="H110" s="3"/>
      <c r="I110" s="3"/>
      <c r="J110" s="3"/>
    </row>
    <row r="111" spans="1:10" x14ac:dyDescent="0.25">
      <c r="A111" s="26" t="s">
        <v>740</v>
      </c>
      <c r="B111" s="63">
        <v>1500</v>
      </c>
      <c r="C111" s="63">
        <v>1500</v>
      </c>
      <c r="D111" s="63">
        <v>30</v>
      </c>
      <c r="E111" s="63"/>
      <c r="F111" s="205">
        <v>2303000</v>
      </c>
      <c r="G111" s="3"/>
      <c r="H111" s="3"/>
      <c r="I111" s="3"/>
      <c r="J111" s="3"/>
    </row>
    <row r="112" spans="1:10" ht="12.75" x14ac:dyDescent="0.2">
      <c r="A112" s="159"/>
      <c r="B112" s="3"/>
      <c r="C112" s="3"/>
      <c r="D112" s="3"/>
      <c r="E112" s="3"/>
      <c r="F112" s="24"/>
      <c r="G112" s="3"/>
      <c r="H112" s="3"/>
      <c r="I112" s="3"/>
      <c r="J112" s="3"/>
    </row>
    <row r="113" spans="1:10" ht="18" x14ac:dyDescent="0.25">
      <c r="A113" s="253" t="s">
        <v>741</v>
      </c>
      <c r="B113" s="341" t="s">
        <v>689</v>
      </c>
      <c r="C113" s="305"/>
      <c r="D113" s="248" t="s">
        <v>673</v>
      </c>
      <c r="E113" s="242" t="s">
        <v>517</v>
      </c>
      <c r="F113" s="254" t="s">
        <v>674</v>
      </c>
      <c r="G113" s="242" t="s">
        <v>517</v>
      </c>
      <c r="H113" s="242" t="s">
        <v>674</v>
      </c>
      <c r="I113" s="242" t="s">
        <v>517</v>
      </c>
      <c r="J113" s="242" t="s">
        <v>674</v>
      </c>
    </row>
    <row r="114" spans="1:10" x14ac:dyDescent="0.25">
      <c r="A114" s="216" t="s">
        <v>690</v>
      </c>
      <c r="B114" s="332">
        <v>480</v>
      </c>
      <c r="C114" s="299"/>
      <c r="D114" s="230">
        <v>30</v>
      </c>
      <c r="E114" s="231">
        <v>600</v>
      </c>
      <c r="F114" s="232">
        <v>391000</v>
      </c>
      <c r="G114" s="233">
        <v>450</v>
      </c>
      <c r="H114" s="232">
        <v>317000</v>
      </c>
      <c r="I114" s="233">
        <v>350</v>
      </c>
      <c r="J114" s="232">
        <v>268000</v>
      </c>
    </row>
    <row r="115" spans="1:10" x14ac:dyDescent="0.25">
      <c r="A115" s="220" t="s">
        <v>691</v>
      </c>
      <c r="B115" s="329">
        <v>600</v>
      </c>
      <c r="C115" s="318"/>
      <c r="D115" s="117">
        <v>30</v>
      </c>
      <c r="E115" s="221">
        <v>600</v>
      </c>
      <c r="F115" s="234">
        <v>475000</v>
      </c>
      <c r="G115" s="141">
        <v>450</v>
      </c>
      <c r="H115" s="222">
        <v>384000</v>
      </c>
      <c r="I115" s="141">
        <v>350</v>
      </c>
      <c r="J115" s="222">
        <v>323000</v>
      </c>
    </row>
    <row r="116" spans="1:10" x14ac:dyDescent="0.25">
      <c r="A116" s="223" t="s">
        <v>692</v>
      </c>
      <c r="B116" s="328">
        <v>800</v>
      </c>
      <c r="C116" s="318"/>
      <c r="D116" s="235">
        <v>30</v>
      </c>
      <c r="E116" s="218">
        <v>600</v>
      </c>
      <c r="F116" s="232">
        <v>614000</v>
      </c>
      <c r="G116" s="217">
        <v>450</v>
      </c>
      <c r="H116" s="219">
        <v>495000</v>
      </c>
      <c r="I116" s="217">
        <v>350</v>
      </c>
      <c r="J116" s="219">
        <v>416000</v>
      </c>
    </row>
    <row r="117" spans="1:10" x14ac:dyDescent="0.25">
      <c r="A117" s="220" t="s">
        <v>693</v>
      </c>
      <c r="B117" s="329">
        <v>960</v>
      </c>
      <c r="C117" s="318"/>
      <c r="D117" s="117">
        <v>30</v>
      </c>
      <c r="E117" s="221">
        <v>600</v>
      </c>
      <c r="F117" s="234">
        <v>725000</v>
      </c>
      <c r="G117" s="141">
        <v>450</v>
      </c>
      <c r="H117" s="222">
        <v>584000</v>
      </c>
      <c r="I117" s="141">
        <v>350</v>
      </c>
      <c r="J117" s="222">
        <v>490000</v>
      </c>
    </row>
    <row r="118" spans="1:10" x14ac:dyDescent="0.25">
      <c r="A118" s="223" t="s">
        <v>694</v>
      </c>
      <c r="B118" s="328">
        <v>1000</v>
      </c>
      <c r="C118" s="318"/>
      <c r="D118" s="235">
        <v>30</v>
      </c>
      <c r="E118" s="218">
        <v>600</v>
      </c>
      <c r="F118" s="232">
        <v>753000</v>
      </c>
      <c r="G118" s="217">
        <v>450</v>
      </c>
      <c r="H118" s="219">
        <v>606000</v>
      </c>
      <c r="I118" s="217">
        <v>350</v>
      </c>
      <c r="J118" s="219">
        <v>508000</v>
      </c>
    </row>
    <row r="119" spans="1:10" x14ac:dyDescent="0.25">
      <c r="A119" s="26" t="s">
        <v>695</v>
      </c>
      <c r="B119" s="334">
        <v>1200</v>
      </c>
      <c r="C119" s="277"/>
      <c r="D119" s="63">
        <v>30</v>
      </c>
      <c r="E119" s="236">
        <v>600</v>
      </c>
      <c r="F119" s="205">
        <v>893000</v>
      </c>
      <c r="G119" s="62">
        <v>450</v>
      </c>
      <c r="H119" s="237">
        <v>718000</v>
      </c>
      <c r="I119" s="62">
        <v>350</v>
      </c>
      <c r="J119" s="237">
        <v>601000</v>
      </c>
    </row>
    <row r="120" spans="1:10" ht="12.75" x14ac:dyDescent="0.2">
      <c r="A120" s="24"/>
      <c r="B120" s="51"/>
      <c r="C120" s="51"/>
      <c r="D120" s="61"/>
      <c r="E120" s="3"/>
      <c r="F120" s="3"/>
      <c r="G120" s="61"/>
      <c r="H120" s="3"/>
      <c r="I120" s="61"/>
      <c r="J120" s="3"/>
    </row>
    <row r="121" spans="1:10" ht="18" x14ac:dyDescent="0.25">
      <c r="A121" s="247" t="s">
        <v>742</v>
      </c>
      <c r="B121" s="341" t="s">
        <v>689</v>
      </c>
      <c r="C121" s="305"/>
      <c r="D121" s="248" t="s">
        <v>673</v>
      </c>
      <c r="E121" s="242" t="s">
        <v>517</v>
      </c>
      <c r="F121" s="248" t="s">
        <v>674</v>
      </c>
      <c r="G121" s="242" t="s">
        <v>517</v>
      </c>
      <c r="H121" s="242" t="s">
        <v>674</v>
      </c>
      <c r="I121" s="242" t="s">
        <v>517</v>
      </c>
      <c r="J121" s="242" t="s">
        <v>674</v>
      </c>
    </row>
    <row r="122" spans="1:10" x14ac:dyDescent="0.25">
      <c r="A122" s="216" t="s">
        <v>743</v>
      </c>
      <c r="B122" s="230">
        <v>300</v>
      </c>
      <c r="C122" s="230">
        <v>300</v>
      </c>
      <c r="D122" s="230">
        <v>30</v>
      </c>
      <c r="E122" s="231">
        <v>600</v>
      </c>
      <c r="F122" s="246">
        <v>1237000</v>
      </c>
      <c r="G122" s="233">
        <v>450</v>
      </c>
      <c r="H122" s="246">
        <v>832000</v>
      </c>
      <c r="I122" s="233">
        <v>350</v>
      </c>
      <c r="J122" s="246">
        <v>609000</v>
      </c>
    </row>
    <row r="123" spans="1:10" x14ac:dyDescent="0.25">
      <c r="A123" s="220" t="s">
        <v>744</v>
      </c>
      <c r="B123" s="117">
        <v>300</v>
      </c>
      <c r="C123" s="117">
        <v>480</v>
      </c>
      <c r="D123" s="117">
        <v>30</v>
      </c>
      <c r="E123" s="221">
        <v>600</v>
      </c>
      <c r="F123" s="234">
        <v>1354000</v>
      </c>
      <c r="G123" s="141">
        <v>450</v>
      </c>
      <c r="H123" s="222">
        <v>924000</v>
      </c>
      <c r="I123" s="141">
        <v>350</v>
      </c>
      <c r="J123" s="222">
        <v>684000</v>
      </c>
    </row>
    <row r="124" spans="1:10" x14ac:dyDescent="0.25">
      <c r="A124" s="223" t="s">
        <v>745</v>
      </c>
      <c r="B124" s="235">
        <v>399</v>
      </c>
      <c r="C124" s="235">
        <v>600</v>
      </c>
      <c r="D124" s="235">
        <v>30</v>
      </c>
      <c r="E124" s="218">
        <v>600</v>
      </c>
      <c r="F124" s="232">
        <v>1497000</v>
      </c>
      <c r="G124" s="217">
        <v>450</v>
      </c>
      <c r="H124" s="219">
        <v>1036000</v>
      </c>
      <c r="I124" s="217">
        <v>350</v>
      </c>
      <c r="J124" s="219">
        <v>775000</v>
      </c>
    </row>
    <row r="125" spans="1:10" x14ac:dyDescent="0.25">
      <c r="A125" s="220" t="s">
        <v>746</v>
      </c>
      <c r="B125" s="117">
        <v>300</v>
      </c>
      <c r="C125" s="117">
        <v>960</v>
      </c>
      <c r="D125" s="117">
        <v>30</v>
      </c>
      <c r="E125" s="221">
        <v>600</v>
      </c>
      <c r="F125" s="234">
        <v>1666000</v>
      </c>
      <c r="G125" s="141">
        <v>450</v>
      </c>
      <c r="H125" s="222">
        <v>1168000</v>
      </c>
      <c r="I125" s="141">
        <v>350</v>
      </c>
      <c r="J125" s="222">
        <v>883000</v>
      </c>
    </row>
    <row r="126" spans="1:10" x14ac:dyDescent="0.25">
      <c r="A126" s="223" t="s">
        <v>747</v>
      </c>
      <c r="B126" s="235">
        <v>480</v>
      </c>
      <c r="C126" s="235">
        <v>480</v>
      </c>
      <c r="D126" s="235">
        <v>30</v>
      </c>
      <c r="E126" s="218">
        <v>600</v>
      </c>
      <c r="F126" s="232">
        <v>1471000</v>
      </c>
      <c r="G126" s="217">
        <v>450</v>
      </c>
      <c r="H126" s="219">
        <v>1016000</v>
      </c>
      <c r="I126" s="217">
        <v>350</v>
      </c>
      <c r="J126" s="219">
        <v>759000</v>
      </c>
    </row>
    <row r="127" spans="1:10" x14ac:dyDescent="0.25">
      <c r="A127" s="220" t="s">
        <v>748</v>
      </c>
      <c r="B127" s="117">
        <v>480</v>
      </c>
      <c r="C127" s="117">
        <v>600</v>
      </c>
      <c r="D127" s="117">
        <v>30</v>
      </c>
      <c r="E127" s="221">
        <v>600</v>
      </c>
      <c r="F127" s="234">
        <v>1549000</v>
      </c>
      <c r="G127" s="141">
        <v>450</v>
      </c>
      <c r="H127" s="222">
        <v>1077000</v>
      </c>
      <c r="I127" s="141">
        <v>350</v>
      </c>
      <c r="J127" s="222">
        <v>809000</v>
      </c>
    </row>
    <row r="128" spans="1:10" x14ac:dyDescent="0.25">
      <c r="A128" s="223" t="s">
        <v>749</v>
      </c>
      <c r="B128" s="235">
        <v>480</v>
      </c>
      <c r="C128" s="235">
        <v>960</v>
      </c>
      <c r="D128" s="235">
        <v>30</v>
      </c>
      <c r="E128" s="218">
        <v>600</v>
      </c>
      <c r="F128" s="232">
        <v>1783000</v>
      </c>
      <c r="G128" s="217">
        <v>450</v>
      </c>
      <c r="H128" s="219">
        <v>1260000</v>
      </c>
      <c r="I128" s="217">
        <v>350</v>
      </c>
      <c r="J128" s="219">
        <v>958000</v>
      </c>
    </row>
    <row r="129" spans="1:10" x14ac:dyDescent="0.25">
      <c r="A129" s="220" t="s">
        <v>750</v>
      </c>
      <c r="B129" s="117">
        <v>600</v>
      </c>
      <c r="C129" s="117">
        <v>600</v>
      </c>
      <c r="D129" s="117">
        <v>30</v>
      </c>
      <c r="E129" s="221">
        <v>600</v>
      </c>
      <c r="F129" s="234">
        <v>1627000</v>
      </c>
      <c r="G129" s="141">
        <v>450</v>
      </c>
      <c r="H129" s="222">
        <v>1138000</v>
      </c>
      <c r="I129" s="141">
        <v>350</v>
      </c>
      <c r="J129" s="222">
        <v>859000</v>
      </c>
    </row>
    <row r="130" spans="1:10" x14ac:dyDescent="0.25">
      <c r="A130" s="223" t="s">
        <v>751</v>
      </c>
      <c r="B130" s="235">
        <v>600</v>
      </c>
      <c r="C130" s="235">
        <v>960</v>
      </c>
      <c r="D130" s="235">
        <v>30</v>
      </c>
      <c r="E130" s="218">
        <v>600</v>
      </c>
      <c r="F130" s="232">
        <v>1861000</v>
      </c>
      <c r="G130" s="217">
        <v>450</v>
      </c>
      <c r="H130" s="219">
        <v>1321000</v>
      </c>
      <c r="I130" s="217">
        <v>350</v>
      </c>
      <c r="J130" s="219">
        <v>1008000</v>
      </c>
    </row>
    <row r="131" spans="1:10" x14ac:dyDescent="0.25">
      <c r="A131" s="26" t="s">
        <v>752</v>
      </c>
      <c r="B131" s="63">
        <v>960</v>
      </c>
      <c r="C131" s="63">
        <v>960</v>
      </c>
      <c r="D131" s="63">
        <v>30</v>
      </c>
      <c r="E131" s="236">
        <v>600</v>
      </c>
      <c r="F131" s="205">
        <v>2095000</v>
      </c>
      <c r="G131" s="62">
        <v>450</v>
      </c>
      <c r="H131" s="237">
        <v>1505000</v>
      </c>
      <c r="I131" s="62">
        <v>350</v>
      </c>
      <c r="J131" s="237">
        <v>1158000</v>
      </c>
    </row>
    <row r="132" spans="1:10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8" x14ac:dyDescent="0.25">
      <c r="A133" s="255" t="s">
        <v>753</v>
      </c>
      <c r="B133" s="342" t="s">
        <v>689</v>
      </c>
      <c r="C133" s="311"/>
      <c r="D133" s="305"/>
      <c r="E133" s="256" t="s">
        <v>517</v>
      </c>
      <c r="F133" s="256" t="s">
        <v>674</v>
      </c>
      <c r="G133" s="256" t="s">
        <v>517</v>
      </c>
      <c r="H133" s="256" t="s">
        <v>674</v>
      </c>
    </row>
    <row r="134" spans="1:10" x14ac:dyDescent="0.25">
      <c r="A134" s="216" t="s">
        <v>690</v>
      </c>
      <c r="B134" s="332">
        <v>480</v>
      </c>
      <c r="C134" s="340"/>
      <c r="D134" s="299"/>
      <c r="E134" s="231">
        <v>600</v>
      </c>
      <c r="F134" s="232">
        <v>1055000</v>
      </c>
      <c r="G134" s="233">
        <v>450</v>
      </c>
      <c r="H134" s="232">
        <v>937000</v>
      </c>
    </row>
    <row r="135" spans="1:10" x14ac:dyDescent="0.25">
      <c r="A135" s="220" t="s">
        <v>691</v>
      </c>
      <c r="B135" s="329">
        <v>600</v>
      </c>
      <c r="C135" s="271"/>
      <c r="D135" s="318"/>
      <c r="E135" s="221">
        <v>600</v>
      </c>
      <c r="F135" s="234">
        <v>1179000</v>
      </c>
      <c r="G135" s="141">
        <v>450</v>
      </c>
      <c r="H135" s="234">
        <v>1044000</v>
      </c>
    </row>
    <row r="136" spans="1:10" x14ac:dyDescent="0.25">
      <c r="A136" s="223" t="s">
        <v>692</v>
      </c>
      <c r="B136" s="328">
        <v>800</v>
      </c>
      <c r="C136" s="271"/>
      <c r="D136" s="318"/>
      <c r="E136" s="218">
        <v>600</v>
      </c>
      <c r="F136" s="232">
        <v>1386000</v>
      </c>
      <c r="G136" s="217">
        <v>450</v>
      </c>
      <c r="H136" s="232">
        <v>1223000</v>
      </c>
    </row>
    <row r="137" spans="1:10" x14ac:dyDescent="0.25">
      <c r="A137" s="220" t="s">
        <v>693</v>
      </c>
      <c r="B137" s="329">
        <v>960</v>
      </c>
      <c r="C137" s="271"/>
      <c r="D137" s="318"/>
      <c r="E137" s="221">
        <v>600</v>
      </c>
      <c r="F137" s="234">
        <v>1552000</v>
      </c>
      <c r="G137" s="141">
        <v>450</v>
      </c>
      <c r="H137" s="234">
        <v>1367000</v>
      </c>
    </row>
    <row r="138" spans="1:10" x14ac:dyDescent="0.25">
      <c r="A138" s="223" t="s">
        <v>694</v>
      </c>
      <c r="B138" s="328">
        <v>1000</v>
      </c>
      <c r="C138" s="271"/>
      <c r="D138" s="318"/>
      <c r="E138" s="218">
        <v>600</v>
      </c>
      <c r="F138" s="232">
        <v>1593000</v>
      </c>
      <c r="G138" s="217">
        <v>450</v>
      </c>
      <c r="H138" s="232">
        <v>1403000</v>
      </c>
    </row>
    <row r="139" spans="1:10" x14ac:dyDescent="0.25">
      <c r="A139" s="26" t="s">
        <v>695</v>
      </c>
      <c r="B139" s="334">
        <v>1200</v>
      </c>
      <c r="C139" s="286"/>
      <c r="D139" s="277"/>
      <c r="E139" s="236">
        <v>600</v>
      </c>
      <c r="F139" s="205">
        <v>1800000</v>
      </c>
      <c r="G139" s="62">
        <v>450</v>
      </c>
      <c r="H139" s="205">
        <v>1582000</v>
      </c>
    </row>
    <row r="140" spans="1:10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20.25" x14ac:dyDescent="0.3">
      <c r="A141" s="257" t="s">
        <v>754</v>
      </c>
      <c r="B141" s="258" t="s">
        <v>518</v>
      </c>
      <c r="C141" s="258" t="s">
        <v>519</v>
      </c>
      <c r="D141" s="259"/>
      <c r="E141" s="260" t="s">
        <v>755</v>
      </c>
      <c r="F141" s="261" t="s">
        <v>642</v>
      </c>
      <c r="G141" s="260" t="s">
        <v>755</v>
      </c>
      <c r="H141" s="259" t="s">
        <v>642</v>
      </c>
      <c r="I141" s="3"/>
      <c r="J141" s="3"/>
    </row>
    <row r="142" spans="1:10" ht="18" x14ac:dyDescent="0.25">
      <c r="A142" s="262" t="s">
        <v>756</v>
      </c>
      <c r="B142" s="339" t="s">
        <v>757</v>
      </c>
      <c r="C142" s="340"/>
      <c r="D142" s="340"/>
      <c r="E142" s="48"/>
      <c r="F142" s="263" t="s">
        <v>674</v>
      </c>
      <c r="G142" s="264"/>
      <c r="H142" s="50" t="s">
        <v>674</v>
      </c>
      <c r="I142" s="3"/>
      <c r="J142" s="3"/>
    </row>
    <row r="143" spans="1:10" x14ac:dyDescent="0.25">
      <c r="A143" s="216" t="s">
        <v>758</v>
      </c>
      <c r="B143" s="230">
        <v>480</v>
      </c>
      <c r="C143" s="230">
        <v>480</v>
      </c>
      <c r="D143" s="249"/>
      <c r="E143" s="231">
        <v>8</v>
      </c>
      <c r="F143" s="167">
        <v>93000</v>
      </c>
      <c r="G143" s="230">
        <v>18</v>
      </c>
      <c r="H143" s="167">
        <v>203000</v>
      </c>
      <c r="I143" s="3"/>
      <c r="J143" s="3"/>
    </row>
    <row r="144" spans="1:10" x14ac:dyDescent="0.25">
      <c r="A144" s="220" t="s">
        <v>759</v>
      </c>
      <c r="B144" s="117">
        <v>500</v>
      </c>
      <c r="C144" s="117">
        <v>480</v>
      </c>
      <c r="D144" s="250"/>
      <c r="E144" s="221">
        <v>8</v>
      </c>
      <c r="F144" s="265">
        <v>97000</v>
      </c>
      <c r="G144" s="117">
        <v>18</v>
      </c>
      <c r="H144" s="234">
        <v>212000</v>
      </c>
      <c r="I144" s="3"/>
      <c r="J144" s="3"/>
    </row>
    <row r="145" spans="1:10" x14ac:dyDescent="0.25">
      <c r="A145" s="223" t="s">
        <v>760</v>
      </c>
      <c r="B145" s="235">
        <v>600</v>
      </c>
      <c r="C145" s="235">
        <v>480</v>
      </c>
      <c r="D145" s="251"/>
      <c r="E145" s="218">
        <v>8</v>
      </c>
      <c r="F145" s="167">
        <v>116000</v>
      </c>
      <c r="G145" s="235">
        <v>18</v>
      </c>
      <c r="H145" s="232">
        <v>254000</v>
      </c>
      <c r="I145" s="3"/>
      <c r="J145" s="3"/>
    </row>
    <row r="146" spans="1:10" x14ac:dyDescent="0.25">
      <c r="A146" s="220" t="s">
        <v>761</v>
      </c>
      <c r="B146" s="117">
        <v>800</v>
      </c>
      <c r="C146" s="117">
        <v>480</v>
      </c>
      <c r="D146" s="250"/>
      <c r="E146" s="221">
        <v>8</v>
      </c>
      <c r="F146" s="265">
        <v>155000</v>
      </c>
      <c r="G146" s="117">
        <v>18</v>
      </c>
      <c r="H146" s="234">
        <v>338000</v>
      </c>
      <c r="I146" s="3"/>
      <c r="J146" s="3"/>
    </row>
    <row r="147" spans="1:10" x14ac:dyDescent="0.25">
      <c r="A147" s="223" t="s">
        <v>762</v>
      </c>
      <c r="B147" s="235">
        <v>960</v>
      </c>
      <c r="C147" s="235">
        <v>480</v>
      </c>
      <c r="D147" s="251"/>
      <c r="E147" s="218">
        <v>8</v>
      </c>
      <c r="F147" s="167">
        <v>186000</v>
      </c>
      <c r="G147" s="235">
        <v>18</v>
      </c>
      <c r="H147" s="232">
        <v>406000</v>
      </c>
      <c r="I147" s="3"/>
      <c r="J147" s="3"/>
    </row>
    <row r="148" spans="1:10" x14ac:dyDescent="0.25">
      <c r="A148" s="220" t="s">
        <v>763</v>
      </c>
      <c r="B148" s="117">
        <v>1000</v>
      </c>
      <c r="C148" s="117">
        <v>480</v>
      </c>
      <c r="D148" s="250"/>
      <c r="E148" s="221">
        <v>8</v>
      </c>
      <c r="F148" s="265">
        <v>193000</v>
      </c>
      <c r="G148" s="117">
        <v>18</v>
      </c>
      <c r="H148" s="234">
        <v>423000</v>
      </c>
      <c r="I148" s="3"/>
      <c r="J148" s="3"/>
    </row>
    <row r="149" spans="1:10" x14ac:dyDescent="0.25">
      <c r="A149" s="223" t="s">
        <v>764</v>
      </c>
      <c r="B149" s="235">
        <v>1200</v>
      </c>
      <c r="C149" s="235">
        <v>480</v>
      </c>
      <c r="D149" s="251"/>
      <c r="E149" s="218">
        <v>8</v>
      </c>
      <c r="F149" s="167">
        <v>232000</v>
      </c>
      <c r="G149" s="235">
        <v>18</v>
      </c>
      <c r="H149" s="232">
        <v>507000</v>
      </c>
      <c r="I149" s="3"/>
      <c r="J149" s="3"/>
    </row>
    <row r="150" spans="1:10" x14ac:dyDescent="0.25">
      <c r="A150" s="26" t="s">
        <v>765</v>
      </c>
      <c r="B150" s="63">
        <v>1500</v>
      </c>
      <c r="C150" s="63">
        <v>480</v>
      </c>
      <c r="D150" s="203"/>
      <c r="E150" s="236">
        <v>8</v>
      </c>
      <c r="F150" s="266">
        <v>290000</v>
      </c>
      <c r="G150" s="63">
        <v>18</v>
      </c>
      <c r="H150" s="205">
        <v>634000</v>
      </c>
      <c r="I150" s="3"/>
      <c r="J150" s="3"/>
    </row>
    <row r="151" spans="1:10" ht="18" x14ac:dyDescent="0.25">
      <c r="A151" s="262" t="s">
        <v>766</v>
      </c>
      <c r="B151" s="99"/>
      <c r="C151" s="99"/>
      <c r="D151" s="3"/>
      <c r="E151" s="3"/>
      <c r="F151" s="92"/>
      <c r="G151" s="264"/>
      <c r="H151" s="99"/>
      <c r="I151" s="3"/>
      <c r="J151" s="3"/>
    </row>
    <row r="152" spans="1:10" x14ac:dyDescent="0.25">
      <c r="A152" s="216" t="s">
        <v>758</v>
      </c>
      <c r="B152" s="230">
        <v>480</v>
      </c>
      <c r="C152" s="230">
        <v>600</v>
      </c>
      <c r="D152" s="249"/>
      <c r="E152" s="231">
        <v>8</v>
      </c>
      <c r="F152" s="267">
        <v>116000</v>
      </c>
      <c r="G152" s="230">
        <v>18</v>
      </c>
      <c r="H152" s="267">
        <v>254000</v>
      </c>
      <c r="I152" s="3"/>
      <c r="J152" s="3"/>
    </row>
    <row r="153" spans="1:10" x14ac:dyDescent="0.25">
      <c r="A153" s="220" t="s">
        <v>759</v>
      </c>
      <c r="B153" s="117">
        <v>500</v>
      </c>
      <c r="C153" s="117">
        <v>600</v>
      </c>
      <c r="D153" s="250"/>
      <c r="E153" s="221">
        <v>8</v>
      </c>
      <c r="F153" s="222">
        <v>121000</v>
      </c>
      <c r="G153" s="117">
        <v>18</v>
      </c>
      <c r="H153" s="222">
        <v>264000</v>
      </c>
      <c r="I153" s="3"/>
      <c r="J153" s="3"/>
    </row>
    <row r="154" spans="1:10" x14ac:dyDescent="0.25">
      <c r="A154" s="223" t="s">
        <v>760</v>
      </c>
      <c r="B154" s="235">
        <v>600</v>
      </c>
      <c r="C154" s="235">
        <v>600</v>
      </c>
      <c r="D154" s="251"/>
      <c r="E154" s="218">
        <v>8</v>
      </c>
      <c r="F154" s="219">
        <v>145000</v>
      </c>
      <c r="G154" s="235">
        <v>18</v>
      </c>
      <c r="H154" s="219">
        <v>317000</v>
      </c>
      <c r="I154" s="3"/>
      <c r="J154" s="3"/>
    </row>
    <row r="155" spans="1:10" x14ac:dyDescent="0.25">
      <c r="A155" s="220" t="s">
        <v>761</v>
      </c>
      <c r="B155" s="117">
        <v>800</v>
      </c>
      <c r="C155" s="117">
        <v>600</v>
      </c>
      <c r="D155" s="250"/>
      <c r="E155" s="221">
        <v>8</v>
      </c>
      <c r="F155" s="222">
        <v>193000</v>
      </c>
      <c r="G155" s="117">
        <v>18</v>
      </c>
      <c r="H155" s="222">
        <v>423000</v>
      </c>
      <c r="I155" s="3"/>
      <c r="J155" s="3"/>
    </row>
    <row r="156" spans="1:10" x14ac:dyDescent="0.25">
      <c r="A156" s="223" t="s">
        <v>762</v>
      </c>
      <c r="B156" s="235">
        <v>960</v>
      </c>
      <c r="C156" s="235">
        <v>600</v>
      </c>
      <c r="D156" s="251"/>
      <c r="E156" s="218">
        <v>8</v>
      </c>
      <c r="F156" s="219">
        <v>232000</v>
      </c>
      <c r="G156" s="235">
        <v>18</v>
      </c>
      <c r="H156" s="219">
        <v>507000</v>
      </c>
      <c r="I156" s="3"/>
      <c r="J156" s="3"/>
    </row>
    <row r="157" spans="1:10" x14ac:dyDescent="0.25">
      <c r="A157" s="220" t="s">
        <v>763</v>
      </c>
      <c r="B157" s="117">
        <v>1000</v>
      </c>
      <c r="C157" s="117">
        <v>600</v>
      </c>
      <c r="D157" s="250"/>
      <c r="E157" s="221">
        <v>8</v>
      </c>
      <c r="F157" s="222">
        <v>242000</v>
      </c>
      <c r="G157" s="117">
        <v>18</v>
      </c>
      <c r="H157" s="222">
        <v>528000</v>
      </c>
      <c r="I157" s="3"/>
      <c r="J157" s="3"/>
    </row>
    <row r="158" spans="1:10" x14ac:dyDescent="0.25">
      <c r="A158" s="223" t="s">
        <v>764</v>
      </c>
      <c r="B158" s="235">
        <v>1200</v>
      </c>
      <c r="C158" s="235">
        <v>600</v>
      </c>
      <c r="D158" s="251"/>
      <c r="E158" s="218">
        <v>8</v>
      </c>
      <c r="F158" s="219">
        <v>290000</v>
      </c>
      <c r="G158" s="235">
        <v>18</v>
      </c>
      <c r="H158" s="219">
        <v>634000</v>
      </c>
      <c r="I158" s="3"/>
      <c r="J158" s="3"/>
    </row>
    <row r="159" spans="1:10" x14ac:dyDescent="0.25">
      <c r="A159" s="26" t="s">
        <v>765</v>
      </c>
      <c r="B159" s="63">
        <v>1500</v>
      </c>
      <c r="C159" s="63">
        <v>600</v>
      </c>
      <c r="D159" s="203"/>
      <c r="E159" s="236">
        <v>8</v>
      </c>
      <c r="F159" s="237">
        <v>362000</v>
      </c>
      <c r="G159" s="63">
        <v>18</v>
      </c>
      <c r="H159" s="237">
        <v>792000</v>
      </c>
      <c r="I159" s="3"/>
      <c r="J159" s="3"/>
    </row>
    <row r="160" spans="1:10" ht="18" x14ac:dyDescent="0.25">
      <c r="A160" s="262" t="s">
        <v>767</v>
      </c>
      <c r="B160" s="99"/>
      <c r="C160" s="99"/>
      <c r="D160" s="3"/>
      <c r="E160" s="3"/>
      <c r="F160" s="92"/>
      <c r="G160" s="264"/>
      <c r="H160" s="99"/>
      <c r="I160" s="3"/>
      <c r="J160" s="3"/>
    </row>
    <row r="161" spans="1:10" x14ac:dyDescent="0.25">
      <c r="A161" s="216" t="s">
        <v>758</v>
      </c>
      <c r="B161" s="230">
        <v>480</v>
      </c>
      <c r="C161" s="230">
        <v>800</v>
      </c>
      <c r="D161" s="249"/>
      <c r="E161" s="231">
        <v>8</v>
      </c>
      <c r="F161" s="267">
        <v>155000</v>
      </c>
      <c r="G161" s="230">
        <v>18</v>
      </c>
      <c r="H161" s="267">
        <v>338000</v>
      </c>
      <c r="I161" s="3"/>
      <c r="J161" s="3"/>
    </row>
    <row r="162" spans="1:10" x14ac:dyDescent="0.25">
      <c r="A162" s="220" t="s">
        <v>759</v>
      </c>
      <c r="B162" s="117">
        <v>500</v>
      </c>
      <c r="C162" s="117">
        <v>800</v>
      </c>
      <c r="D162" s="250"/>
      <c r="E162" s="221">
        <v>8</v>
      </c>
      <c r="F162" s="222">
        <v>161000</v>
      </c>
      <c r="G162" s="117">
        <v>18</v>
      </c>
      <c r="H162" s="222">
        <v>352000</v>
      </c>
      <c r="I162" s="3"/>
      <c r="J162" s="3"/>
    </row>
    <row r="163" spans="1:10" x14ac:dyDescent="0.25">
      <c r="A163" s="223" t="s">
        <v>760</v>
      </c>
      <c r="B163" s="235">
        <v>600</v>
      </c>
      <c r="C163" s="235">
        <v>800</v>
      </c>
      <c r="D163" s="251"/>
      <c r="E163" s="218">
        <v>8</v>
      </c>
      <c r="F163" s="219">
        <v>193000</v>
      </c>
      <c r="G163" s="235">
        <v>18</v>
      </c>
      <c r="H163" s="219">
        <v>423000</v>
      </c>
      <c r="I163" s="3"/>
      <c r="J163" s="3"/>
    </row>
    <row r="164" spans="1:10" x14ac:dyDescent="0.25">
      <c r="A164" s="220" t="s">
        <v>761</v>
      </c>
      <c r="B164" s="117">
        <v>800</v>
      </c>
      <c r="C164" s="117">
        <v>800</v>
      </c>
      <c r="D164" s="250"/>
      <c r="E164" s="221">
        <v>8</v>
      </c>
      <c r="F164" s="222">
        <v>258000</v>
      </c>
      <c r="G164" s="117">
        <v>18</v>
      </c>
      <c r="H164" s="222">
        <v>564000</v>
      </c>
      <c r="I164" s="3"/>
      <c r="J164" s="3"/>
    </row>
    <row r="165" spans="1:10" x14ac:dyDescent="0.25">
      <c r="A165" s="223" t="s">
        <v>762</v>
      </c>
      <c r="B165" s="235">
        <v>960</v>
      </c>
      <c r="C165" s="235">
        <v>800</v>
      </c>
      <c r="D165" s="251"/>
      <c r="E165" s="218">
        <v>8</v>
      </c>
      <c r="F165" s="219">
        <v>309000</v>
      </c>
      <c r="G165" s="235">
        <v>18</v>
      </c>
      <c r="H165" s="219">
        <v>676000</v>
      </c>
      <c r="I165" s="3"/>
      <c r="J165" s="3"/>
    </row>
    <row r="166" spans="1:10" x14ac:dyDescent="0.25">
      <c r="A166" s="220" t="s">
        <v>763</v>
      </c>
      <c r="B166" s="117">
        <v>1000</v>
      </c>
      <c r="C166" s="117">
        <v>800</v>
      </c>
      <c r="D166" s="250"/>
      <c r="E166" s="221">
        <v>8</v>
      </c>
      <c r="F166" s="222">
        <v>322000</v>
      </c>
      <c r="G166" s="117">
        <v>18</v>
      </c>
      <c r="H166" s="222">
        <v>704000</v>
      </c>
      <c r="I166" s="3"/>
      <c r="J166" s="3"/>
    </row>
    <row r="167" spans="1:10" x14ac:dyDescent="0.25">
      <c r="A167" s="223" t="s">
        <v>764</v>
      </c>
      <c r="B167" s="235">
        <v>1200</v>
      </c>
      <c r="C167" s="235">
        <v>800</v>
      </c>
      <c r="D167" s="251"/>
      <c r="E167" s="218">
        <v>8</v>
      </c>
      <c r="F167" s="219">
        <v>386000</v>
      </c>
      <c r="G167" s="235">
        <v>18</v>
      </c>
      <c r="H167" s="219">
        <v>845000</v>
      </c>
      <c r="I167" s="3"/>
      <c r="J167" s="3"/>
    </row>
    <row r="168" spans="1:10" x14ac:dyDescent="0.25">
      <c r="A168" s="26" t="s">
        <v>765</v>
      </c>
      <c r="B168" s="63">
        <v>1500</v>
      </c>
      <c r="C168" s="63">
        <v>800</v>
      </c>
      <c r="D168" s="203"/>
      <c r="E168" s="236">
        <v>8</v>
      </c>
      <c r="F168" s="237">
        <v>483000</v>
      </c>
      <c r="G168" s="63">
        <v>18</v>
      </c>
      <c r="H168" s="237">
        <v>1056000</v>
      </c>
      <c r="I168" s="3"/>
      <c r="J168" s="3"/>
    </row>
    <row r="169" spans="1:10" ht="18" x14ac:dyDescent="0.25">
      <c r="A169" s="262" t="s">
        <v>768</v>
      </c>
      <c r="B169" s="99"/>
      <c r="C169" s="99"/>
      <c r="D169" s="3"/>
      <c r="E169" s="3"/>
      <c r="F169" s="92"/>
      <c r="G169" s="264"/>
      <c r="H169" s="99"/>
      <c r="I169" s="3"/>
      <c r="J169" s="3"/>
    </row>
    <row r="170" spans="1:10" x14ac:dyDescent="0.25">
      <c r="A170" s="216" t="s">
        <v>758</v>
      </c>
      <c r="B170" s="230">
        <v>480</v>
      </c>
      <c r="C170" s="230">
        <v>1000</v>
      </c>
      <c r="D170" s="249"/>
      <c r="E170" s="231">
        <v>8</v>
      </c>
      <c r="F170" s="267">
        <v>193000</v>
      </c>
      <c r="G170" s="230">
        <v>18</v>
      </c>
      <c r="H170" s="267">
        <v>423000</v>
      </c>
      <c r="I170" s="3"/>
      <c r="J170" s="3"/>
    </row>
    <row r="171" spans="1:10" x14ac:dyDescent="0.25">
      <c r="A171" s="220" t="s">
        <v>759</v>
      </c>
      <c r="B171" s="117">
        <v>500</v>
      </c>
      <c r="C171" s="117">
        <v>1000</v>
      </c>
      <c r="D171" s="250"/>
      <c r="E171" s="221">
        <v>8</v>
      </c>
      <c r="F171" s="222">
        <v>201000</v>
      </c>
      <c r="G171" s="117">
        <v>18</v>
      </c>
      <c r="H171" s="222">
        <v>440000</v>
      </c>
      <c r="I171" s="3"/>
      <c r="J171" s="3"/>
    </row>
    <row r="172" spans="1:10" x14ac:dyDescent="0.25">
      <c r="A172" s="223" t="s">
        <v>760</v>
      </c>
      <c r="B172" s="235">
        <v>600</v>
      </c>
      <c r="C172" s="235">
        <v>1000</v>
      </c>
      <c r="D172" s="251"/>
      <c r="E172" s="218">
        <v>8</v>
      </c>
      <c r="F172" s="219">
        <v>242000</v>
      </c>
      <c r="G172" s="235">
        <v>18</v>
      </c>
      <c r="H172" s="219">
        <v>528000</v>
      </c>
      <c r="I172" s="3"/>
      <c r="J172" s="3"/>
    </row>
    <row r="173" spans="1:10" x14ac:dyDescent="0.25">
      <c r="A173" s="220" t="s">
        <v>761</v>
      </c>
      <c r="B173" s="117">
        <v>800</v>
      </c>
      <c r="C173" s="117">
        <v>1000</v>
      </c>
      <c r="D173" s="250"/>
      <c r="E173" s="221">
        <v>8</v>
      </c>
      <c r="F173" s="222">
        <v>322000</v>
      </c>
      <c r="G173" s="117">
        <v>18</v>
      </c>
      <c r="H173" s="222">
        <v>704000</v>
      </c>
      <c r="I173" s="3"/>
      <c r="J173" s="3"/>
    </row>
    <row r="174" spans="1:10" x14ac:dyDescent="0.25">
      <c r="A174" s="223" t="s">
        <v>762</v>
      </c>
      <c r="B174" s="235">
        <v>960</v>
      </c>
      <c r="C174" s="235">
        <v>1000</v>
      </c>
      <c r="D174" s="251"/>
      <c r="E174" s="218">
        <v>8</v>
      </c>
      <c r="F174" s="219">
        <v>386000</v>
      </c>
      <c r="G174" s="235">
        <v>18</v>
      </c>
      <c r="H174" s="219">
        <v>845000</v>
      </c>
      <c r="I174" s="3"/>
      <c r="J174" s="3"/>
    </row>
    <row r="175" spans="1:10" x14ac:dyDescent="0.25">
      <c r="A175" s="220" t="s">
        <v>763</v>
      </c>
      <c r="B175" s="117">
        <v>1000</v>
      </c>
      <c r="C175" s="117">
        <v>1000</v>
      </c>
      <c r="D175" s="250"/>
      <c r="E175" s="221">
        <v>8</v>
      </c>
      <c r="F175" s="222">
        <v>402000</v>
      </c>
      <c r="G175" s="117">
        <v>18</v>
      </c>
      <c r="H175" s="222">
        <v>880000</v>
      </c>
      <c r="I175" s="3"/>
      <c r="J175" s="3"/>
    </row>
    <row r="176" spans="1:10" x14ac:dyDescent="0.25">
      <c r="A176" s="223" t="s">
        <v>764</v>
      </c>
      <c r="B176" s="235">
        <v>1200</v>
      </c>
      <c r="C176" s="235">
        <v>1000</v>
      </c>
      <c r="D176" s="251"/>
      <c r="E176" s="218">
        <v>8</v>
      </c>
      <c r="F176" s="219">
        <v>483000</v>
      </c>
      <c r="G176" s="235">
        <v>18</v>
      </c>
      <c r="H176" s="219">
        <v>1056000</v>
      </c>
      <c r="I176" s="3"/>
      <c r="J176" s="3"/>
    </row>
    <row r="177" spans="1:10" x14ac:dyDescent="0.25">
      <c r="A177" s="26" t="s">
        <v>765</v>
      </c>
      <c r="B177" s="63">
        <v>1500</v>
      </c>
      <c r="C177" s="63">
        <v>1000</v>
      </c>
      <c r="D177" s="203"/>
      <c r="E177" s="236">
        <v>8</v>
      </c>
      <c r="F177" s="237">
        <v>603000</v>
      </c>
      <c r="G177" s="63">
        <v>18</v>
      </c>
      <c r="H177" s="237">
        <v>1320000</v>
      </c>
      <c r="I177" s="3"/>
      <c r="J177" s="3"/>
    </row>
    <row r="178" spans="1:10" ht="18" x14ac:dyDescent="0.25">
      <c r="A178" s="262" t="s">
        <v>769</v>
      </c>
      <c r="B178" s="99"/>
      <c r="C178" s="99"/>
      <c r="D178" s="3"/>
      <c r="E178" s="3"/>
      <c r="F178" s="92"/>
      <c r="G178" s="264"/>
      <c r="H178" s="99"/>
      <c r="I178" s="3"/>
      <c r="J178" s="3"/>
    </row>
    <row r="179" spans="1:10" x14ac:dyDescent="0.25">
      <c r="A179" s="216" t="s">
        <v>758</v>
      </c>
      <c r="B179" s="230">
        <v>480</v>
      </c>
      <c r="C179" s="230">
        <v>1200</v>
      </c>
      <c r="D179" s="249"/>
      <c r="E179" s="231">
        <v>8</v>
      </c>
      <c r="F179" s="267">
        <v>232000</v>
      </c>
      <c r="G179" s="230">
        <v>18</v>
      </c>
      <c r="H179" s="267">
        <v>507000</v>
      </c>
      <c r="I179" s="3"/>
      <c r="J179" s="3"/>
    </row>
    <row r="180" spans="1:10" x14ac:dyDescent="0.25">
      <c r="A180" s="220" t="s">
        <v>759</v>
      </c>
      <c r="B180" s="117">
        <v>500</v>
      </c>
      <c r="C180" s="117">
        <v>1200</v>
      </c>
      <c r="D180" s="250"/>
      <c r="E180" s="221">
        <v>8</v>
      </c>
      <c r="F180" s="222">
        <v>242000</v>
      </c>
      <c r="G180" s="117">
        <v>18</v>
      </c>
      <c r="H180" s="222">
        <v>528000</v>
      </c>
      <c r="I180" s="3"/>
      <c r="J180" s="3"/>
    </row>
    <row r="181" spans="1:10" x14ac:dyDescent="0.25">
      <c r="A181" s="223" t="s">
        <v>760</v>
      </c>
      <c r="B181" s="235">
        <v>600</v>
      </c>
      <c r="C181" s="235">
        <v>1200</v>
      </c>
      <c r="D181" s="251"/>
      <c r="E181" s="218">
        <v>8</v>
      </c>
      <c r="F181" s="219">
        <v>290000</v>
      </c>
      <c r="G181" s="235">
        <v>18</v>
      </c>
      <c r="H181" s="219">
        <v>634000</v>
      </c>
      <c r="I181" s="3"/>
      <c r="J181" s="3"/>
    </row>
    <row r="182" spans="1:10" x14ac:dyDescent="0.25">
      <c r="A182" s="220" t="s">
        <v>761</v>
      </c>
      <c r="B182" s="117">
        <v>800</v>
      </c>
      <c r="C182" s="117">
        <v>1200</v>
      </c>
      <c r="D182" s="250"/>
      <c r="E182" s="221">
        <v>8</v>
      </c>
      <c r="F182" s="222">
        <v>386000</v>
      </c>
      <c r="G182" s="117">
        <v>18</v>
      </c>
      <c r="H182" s="222">
        <v>845000</v>
      </c>
      <c r="I182" s="3"/>
      <c r="J182" s="3"/>
    </row>
    <row r="183" spans="1:10" x14ac:dyDescent="0.25">
      <c r="A183" s="223" t="s">
        <v>762</v>
      </c>
      <c r="B183" s="235">
        <v>960</v>
      </c>
      <c r="C183" s="235">
        <v>1200</v>
      </c>
      <c r="D183" s="251"/>
      <c r="E183" s="218">
        <v>8</v>
      </c>
      <c r="F183" s="219">
        <v>463000</v>
      </c>
      <c r="G183" s="235">
        <v>18</v>
      </c>
      <c r="H183" s="219">
        <v>1014000</v>
      </c>
      <c r="I183" s="3"/>
      <c r="J183" s="3"/>
    </row>
    <row r="184" spans="1:10" x14ac:dyDescent="0.25">
      <c r="A184" s="220" t="s">
        <v>763</v>
      </c>
      <c r="B184" s="117">
        <v>1000</v>
      </c>
      <c r="C184" s="117">
        <v>1200</v>
      </c>
      <c r="D184" s="250"/>
      <c r="E184" s="221">
        <v>8</v>
      </c>
      <c r="F184" s="222">
        <v>483000</v>
      </c>
      <c r="G184" s="117">
        <v>18</v>
      </c>
      <c r="H184" s="222">
        <v>1056000</v>
      </c>
      <c r="I184" s="3"/>
      <c r="J184" s="3"/>
    </row>
    <row r="185" spans="1:10" x14ac:dyDescent="0.25">
      <c r="A185" s="223" t="s">
        <v>764</v>
      </c>
      <c r="B185" s="235">
        <v>1200</v>
      </c>
      <c r="C185" s="235">
        <v>1200</v>
      </c>
      <c r="D185" s="251"/>
      <c r="E185" s="218">
        <v>8</v>
      </c>
      <c r="F185" s="219">
        <v>579000</v>
      </c>
      <c r="G185" s="235">
        <v>18</v>
      </c>
      <c r="H185" s="219">
        <v>1268000</v>
      </c>
      <c r="I185" s="3"/>
      <c r="J185" s="3"/>
    </row>
    <row r="186" spans="1:10" x14ac:dyDescent="0.25">
      <c r="A186" s="26" t="s">
        <v>765</v>
      </c>
      <c r="B186" s="63">
        <v>1500</v>
      </c>
      <c r="C186" s="63">
        <v>1200</v>
      </c>
      <c r="D186" s="203"/>
      <c r="E186" s="236">
        <v>8</v>
      </c>
      <c r="F186" s="237">
        <v>724000</v>
      </c>
      <c r="G186" s="63">
        <v>18</v>
      </c>
      <c r="H186" s="237">
        <v>1584000</v>
      </c>
      <c r="I186" s="3"/>
      <c r="J186" s="3"/>
    </row>
    <row r="187" spans="1:10" ht="18" x14ac:dyDescent="0.25">
      <c r="A187" s="262" t="s">
        <v>770</v>
      </c>
      <c r="B187" s="99"/>
      <c r="C187" s="99"/>
      <c r="D187" s="3"/>
      <c r="E187" s="3"/>
      <c r="F187" s="92"/>
      <c r="G187" s="264"/>
      <c r="H187" s="99"/>
      <c r="I187" s="3"/>
      <c r="J187" s="3"/>
    </row>
    <row r="188" spans="1:10" x14ac:dyDescent="0.25">
      <c r="A188" s="216" t="s">
        <v>758</v>
      </c>
      <c r="B188" s="230">
        <v>480</v>
      </c>
      <c r="C188" s="230">
        <v>1500</v>
      </c>
      <c r="D188" s="249"/>
      <c r="E188" s="231">
        <v>8</v>
      </c>
      <c r="F188" s="267">
        <v>290000</v>
      </c>
      <c r="G188" s="230">
        <v>18</v>
      </c>
      <c r="H188" s="267">
        <v>634000</v>
      </c>
      <c r="I188" s="3"/>
      <c r="J188" s="3"/>
    </row>
    <row r="189" spans="1:10" x14ac:dyDescent="0.25">
      <c r="A189" s="220" t="s">
        <v>759</v>
      </c>
      <c r="B189" s="117">
        <v>500</v>
      </c>
      <c r="C189" s="117">
        <v>1500</v>
      </c>
      <c r="D189" s="250"/>
      <c r="E189" s="221">
        <v>8</v>
      </c>
      <c r="F189" s="222">
        <v>302000</v>
      </c>
      <c r="G189" s="117">
        <v>18</v>
      </c>
      <c r="H189" s="222">
        <v>660000</v>
      </c>
      <c r="I189" s="3"/>
      <c r="J189" s="3"/>
    </row>
    <row r="190" spans="1:10" x14ac:dyDescent="0.25">
      <c r="A190" s="223" t="s">
        <v>760</v>
      </c>
      <c r="B190" s="235">
        <v>600</v>
      </c>
      <c r="C190" s="235">
        <v>1500</v>
      </c>
      <c r="D190" s="251"/>
      <c r="E190" s="218">
        <v>8</v>
      </c>
      <c r="F190" s="219">
        <v>362000</v>
      </c>
      <c r="G190" s="235">
        <v>18</v>
      </c>
      <c r="H190" s="219">
        <v>792000</v>
      </c>
      <c r="I190" s="3"/>
      <c r="J190" s="3"/>
    </row>
    <row r="191" spans="1:10" x14ac:dyDescent="0.25">
      <c r="A191" s="220" t="s">
        <v>761</v>
      </c>
      <c r="B191" s="117">
        <v>800</v>
      </c>
      <c r="C191" s="117">
        <v>1500</v>
      </c>
      <c r="D191" s="250"/>
      <c r="E191" s="221">
        <v>8</v>
      </c>
      <c r="F191" s="222">
        <v>483000</v>
      </c>
      <c r="G191" s="117">
        <v>18</v>
      </c>
      <c r="H191" s="222">
        <v>1056000</v>
      </c>
      <c r="I191" s="3"/>
      <c r="J191" s="3"/>
    </row>
    <row r="192" spans="1:10" x14ac:dyDescent="0.25">
      <c r="A192" s="223" t="s">
        <v>762</v>
      </c>
      <c r="B192" s="235">
        <v>960</v>
      </c>
      <c r="C192" s="235">
        <v>1500</v>
      </c>
      <c r="D192" s="251"/>
      <c r="E192" s="218">
        <v>8</v>
      </c>
      <c r="F192" s="219">
        <v>579000</v>
      </c>
      <c r="G192" s="235">
        <v>18</v>
      </c>
      <c r="H192" s="219">
        <v>1268000</v>
      </c>
      <c r="I192" s="3"/>
      <c r="J192" s="3"/>
    </row>
    <row r="193" spans="1:10" x14ac:dyDescent="0.25">
      <c r="A193" s="220" t="s">
        <v>763</v>
      </c>
      <c r="B193" s="117">
        <v>1000</v>
      </c>
      <c r="C193" s="117">
        <v>1500</v>
      </c>
      <c r="D193" s="250"/>
      <c r="E193" s="221">
        <v>8</v>
      </c>
      <c r="F193" s="222">
        <v>603000</v>
      </c>
      <c r="G193" s="117">
        <v>18</v>
      </c>
      <c r="H193" s="222">
        <v>1320000</v>
      </c>
      <c r="I193" s="3"/>
      <c r="J193" s="3"/>
    </row>
    <row r="194" spans="1:10" x14ac:dyDescent="0.25">
      <c r="A194" s="223" t="s">
        <v>764</v>
      </c>
      <c r="B194" s="235">
        <v>1200</v>
      </c>
      <c r="C194" s="235">
        <v>1500</v>
      </c>
      <c r="D194" s="251"/>
      <c r="E194" s="218">
        <v>8</v>
      </c>
      <c r="F194" s="219">
        <v>724000</v>
      </c>
      <c r="G194" s="235">
        <v>18</v>
      </c>
      <c r="H194" s="219">
        <v>1584000</v>
      </c>
      <c r="I194" s="3"/>
      <c r="J194" s="3"/>
    </row>
    <row r="195" spans="1:10" x14ac:dyDescent="0.25">
      <c r="A195" s="26" t="s">
        <v>765</v>
      </c>
      <c r="B195" s="63">
        <v>1500</v>
      </c>
      <c r="C195" s="63">
        <v>1500</v>
      </c>
      <c r="D195" s="203"/>
      <c r="E195" s="236">
        <v>8</v>
      </c>
      <c r="F195" s="237">
        <v>904000</v>
      </c>
      <c r="G195" s="63">
        <v>18</v>
      </c>
      <c r="H195" s="237">
        <v>1980000</v>
      </c>
      <c r="I195" s="3"/>
      <c r="J195" s="3"/>
    </row>
    <row r="196" spans="1:10" ht="18" x14ac:dyDescent="0.25">
      <c r="A196" s="262" t="s">
        <v>771</v>
      </c>
      <c r="B196" s="99"/>
      <c r="C196" s="99"/>
      <c r="D196" s="3"/>
      <c r="E196" s="3"/>
      <c r="F196" s="92"/>
      <c r="G196" s="264"/>
      <c r="H196" s="99"/>
      <c r="I196" s="3"/>
      <c r="J196" s="3"/>
    </row>
    <row r="197" spans="1:10" x14ac:dyDescent="0.25">
      <c r="A197" s="216" t="s">
        <v>758</v>
      </c>
      <c r="B197" s="230">
        <v>480</v>
      </c>
      <c r="C197" s="230">
        <v>1800</v>
      </c>
      <c r="D197" s="249"/>
      <c r="E197" s="231">
        <v>8</v>
      </c>
      <c r="F197" s="267">
        <v>348000</v>
      </c>
      <c r="G197" s="230">
        <v>18</v>
      </c>
      <c r="H197" s="267">
        <v>761000</v>
      </c>
      <c r="I197" s="3"/>
      <c r="J197" s="3"/>
    </row>
    <row r="198" spans="1:10" x14ac:dyDescent="0.25">
      <c r="A198" s="220" t="s">
        <v>759</v>
      </c>
      <c r="B198" s="117">
        <v>500</v>
      </c>
      <c r="C198" s="117">
        <v>1800</v>
      </c>
      <c r="D198" s="250"/>
      <c r="E198" s="221">
        <v>8</v>
      </c>
      <c r="F198" s="222">
        <v>362000</v>
      </c>
      <c r="G198" s="117">
        <v>18</v>
      </c>
      <c r="H198" s="222">
        <v>792000</v>
      </c>
      <c r="I198" s="3"/>
      <c r="J198" s="3"/>
    </row>
    <row r="199" spans="1:10" x14ac:dyDescent="0.25">
      <c r="A199" s="223" t="s">
        <v>760</v>
      </c>
      <c r="B199" s="235">
        <v>600</v>
      </c>
      <c r="C199" s="235">
        <v>1800</v>
      </c>
      <c r="D199" s="251"/>
      <c r="E199" s="218">
        <v>8</v>
      </c>
      <c r="F199" s="219">
        <v>434000</v>
      </c>
      <c r="G199" s="235">
        <v>18</v>
      </c>
      <c r="H199" s="219">
        <v>951000</v>
      </c>
      <c r="I199" s="3"/>
      <c r="J199" s="3"/>
    </row>
    <row r="200" spans="1:10" x14ac:dyDescent="0.25">
      <c r="A200" s="220" t="s">
        <v>761</v>
      </c>
      <c r="B200" s="117">
        <v>800</v>
      </c>
      <c r="C200" s="117">
        <v>1800</v>
      </c>
      <c r="D200" s="250"/>
      <c r="E200" s="221">
        <v>8</v>
      </c>
      <c r="F200" s="222">
        <v>579000</v>
      </c>
      <c r="G200" s="117">
        <v>18</v>
      </c>
      <c r="H200" s="222">
        <v>1268000</v>
      </c>
      <c r="I200" s="3"/>
      <c r="J200" s="3"/>
    </row>
    <row r="201" spans="1:10" x14ac:dyDescent="0.25">
      <c r="A201" s="223" t="s">
        <v>762</v>
      </c>
      <c r="B201" s="235">
        <v>960</v>
      </c>
      <c r="C201" s="235">
        <v>1800</v>
      </c>
      <c r="D201" s="251"/>
      <c r="E201" s="218">
        <v>8</v>
      </c>
      <c r="F201" s="219">
        <v>695000</v>
      </c>
      <c r="G201" s="235">
        <v>18</v>
      </c>
      <c r="H201" s="219">
        <v>1521000</v>
      </c>
      <c r="I201" s="3"/>
      <c r="J201" s="3"/>
    </row>
    <row r="202" spans="1:10" x14ac:dyDescent="0.25">
      <c r="A202" s="220" t="s">
        <v>763</v>
      </c>
      <c r="B202" s="117">
        <v>1000</v>
      </c>
      <c r="C202" s="117">
        <v>1800</v>
      </c>
      <c r="D202" s="250"/>
      <c r="E202" s="221">
        <v>8</v>
      </c>
      <c r="F202" s="222">
        <v>724000</v>
      </c>
      <c r="G202" s="117">
        <v>18</v>
      </c>
      <c r="H202" s="222">
        <v>1584000</v>
      </c>
      <c r="I202" s="3"/>
      <c r="J202" s="3"/>
    </row>
    <row r="203" spans="1:10" x14ac:dyDescent="0.25">
      <c r="A203" s="223" t="s">
        <v>764</v>
      </c>
      <c r="B203" s="235">
        <v>1200</v>
      </c>
      <c r="C203" s="235">
        <v>1800</v>
      </c>
      <c r="D203" s="251"/>
      <c r="E203" s="218">
        <v>8</v>
      </c>
      <c r="F203" s="219">
        <v>868000</v>
      </c>
      <c r="G203" s="235">
        <v>18</v>
      </c>
      <c r="H203" s="219">
        <v>1901000</v>
      </c>
      <c r="I203" s="3"/>
      <c r="J203" s="3"/>
    </row>
    <row r="204" spans="1:10" x14ac:dyDescent="0.25">
      <c r="A204" s="26" t="s">
        <v>765</v>
      </c>
      <c r="B204" s="63">
        <v>1500</v>
      </c>
      <c r="C204" s="63">
        <v>1800</v>
      </c>
      <c r="D204" s="203"/>
      <c r="E204" s="236">
        <v>8</v>
      </c>
      <c r="F204" s="237">
        <v>1085000</v>
      </c>
      <c r="G204" s="63">
        <v>18</v>
      </c>
      <c r="H204" s="237">
        <v>2376000</v>
      </c>
      <c r="I204" s="3"/>
      <c r="J204" s="3"/>
    </row>
    <row r="205" spans="1:10" ht="18" x14ac:dyDescent="0.25">
      <c r="A205" s="262" t="s">
        <v>772</v>
      </c>
      <c r="B205" s="99"/>
      <c r="C205" s="99"/>
      <c r="D205" s="3"/>
      <c r="E205" s="3"/>
      <c r="F205" s="92"/>
      <c r="G205" s="264"/>
      <c r="H205" s="99"/>
      <c r="I205" s="3"/>
      <c r="J205" s="3"/>
    </row>
    <row r="206" spans="1:10" x14ac:dyDescent="0.25">
      <c r="A206" s="216" t="s">
        <v>758</v>
      </c>
      <c r="B206" s="230">
        <v>480</v>
      </c>
      <c r="C206" s="230">
        <v>2000</v>
      </c>
      <c r="D206" s="249"/>
      <c r="E206" s="231">
        <v>8</v>
      </c>
      <c r="F206" s="267">
        <v>386000</v>
      </c>
      <c r="G206" s="230">
        <v>18</v>
      </c>
      <c r="H206" s="267">
        <v>845000</v>
      </c>
      <c r="I206" s="3"/>
      <c r="J206" s="3"/>
    </row>
    <row r="207" spans="1:10" x14ac:dyDescent="0.25">
      <c r="A207" s="220" t="s">
        <v>759</v>
      </c>
      <c r="B207" s="117">
        <v>500</v>
      </c>
      <c r="C207" s="117">
        <v>2000</v>
      </c>
      <c r="D207" s="250"/>
      <c r="E207" s="221">
        <v>8</v>
      </c>
      <c r="F207" s="222">
        <v>402000</v>
      </c>
      <c r="G207" s="117">
        <v>18</v>
      </c>
      <c r="H207" s="222">
        <v>880000</v>
      </c>
      <c r="I207" s="3"/>
      <c r="J207" s="3"/>
    </row>
    <row r="208" spans="1:10" x14ac:dyDescent="0.25">
      <c r="A208" s="223" t="s">
        <v>760</v>
      </c>
      <c r="B208" s="235">
        <v>600</v>
      </c>
      <c r="C208" s="235">
        <v>2000</v>
      </c>
      <c r="D208" s="251"/>
      <c r="E208" s="218">
        <v>8</v>
      </c>
      <c r="F208" s="219">
        <v>483000</v>
      </c>
      <c r="G208" s="235">
        <v>18</v>
      </c>
      <c r="H208" s="219">
        <v>1056000</v>
      </c>
      <c r="I208" s="3"/>
      <c r="J208" s="3"/>
    </row>
    <row r="209" spans="1:10" x14ac:dyDescent="0.25">
      <c r="A209" s="220" t="s">
        <v>761</v>
      </c>
      <c r="B209" s="117">
        <v>800</v>
      </c>
      <c r="C209" s="117">
        <v>2000</v>
      </c>
      <c r="D209" s="250"/>
      <c r="E209" s="221">
        <v>8</v>
      </c>
      <c r="F209" s="222">
        <v>643000</v>
      </c>
      <c r="G209" s="117">
        <v>18</v>
      </c>
      <c r="H209" s="222">
        <v>1408000</v>
      </c>
      <c r="I209" s="3"/>
      <c r="J209" s="3"/>
    </row>
    <row r="210" spans="1:10" x14ac:dyDescent="0.25">
      <c r="A210" s="223" t="s">
        <v>762</v>
      </c>
      <c r="B210" s="235">
        <v>960</v>
      </c>
      <c r="C210" s="235">
        <v>2000</v>
      </c>
      <c r="D210" s="251"/>
      <c r="E210" s="218">
        <v>8</v>
      </c>
      <c r="F210" s="219">
        <v>772000</v>
      </c>
      <c r="G210" s="235">
        <v>18</v>
      </c>
      <c r="H210" s="219">
        <v>1690000</v>
      </c>
      <c r="I210" s="3"/>
      <c r="J210" s="3"/>
    </row>
    <row r="211" spans="1:10" x14ac:dyDescent="0.25">
      <c r="A211" s="220" t="s">
        <v>763</v>
      </c>
      <c r="B211" s="117">
        <v>1000</v>
      </c>
      <c r="C211" s="117">
        <v>2000</v>
      </c>
      <c r="D211" s="250"/>
      <c r="E211" s="221">
        <v>8</v>
      </c>
      <c r="F211" s="222">
        <v>804000</v>
      </c>
      <c r="G211" s="117">
        <v>18</v>
      </c>
      <c r="H211" s="222">
        <v>1760000</v>
      </c>
      <c r="I211" s="3"/>
      <c r="J211" s="3"/>
    </row>
    <row r="212" spans="1:10" x14ac:dyDescent="0.25">
      <c r="A212" s="223" t="s">
        <v>764</v>
      </c>
      <c r="B212" s="235">
        <v>1200</v>
      </c>
      <c r="C212" s="235">
        <v>2000</v>
      </c>
      <c r="D212" s="251"/>
      <c r="E212" s="218">
        <v>8</v>
      </c>
      <c r="F212" s="219">
        <v>965000</v>
      </c>
      <c r="G212" s="235">
        <v>18</v>
      </c>
      <c r="H212" s="219">
        <v>2112000</v>
      </c>
      <c r="I212" s="3"/>
      <c r="J212" s="3"/>
    </row>
    <row r="213" spans="1:10" x14ac:dyDescent="0.25">
      <c r="A213" s="26" t="s">
        <v>765</v>
      </c>
      <c r="B213" s="63">
        <v>1500</v>
      </c>
      <c r="C213" s="63">
        <v>2000</v>
      </c>
      <c r="D213" s="203"/>
      <c r="E213" s="236">
        <v>8</v>
      </c>
      <c r="F213" s="237">
        <v>1206000</v>
      </c>
      <c r="G213" s="63">
        <v>18</v>
      </c>
      <c r="H213" s="237">
        <v>2640000</v>
      </c>
      <c r="I213" s="3"/>
      <c r="J213" s="3"/>
    </row>
    <row r="214" spans="1:10" ht="18" x14ac:dyDescent="0.25">
      <c r="A214" s="262" t="s">
        <v>773</v>
      </c>
      <c r="B214" s="99"/>
      <c r="C214" s="99"/>
      <c r="D214" s="3"/>
      <c r="E214" s="3"/>
      <c r="F214" s="92"/>
      <c r="G214" s="264"/>
      <c r="H214" s="99"/>
      <c r="I214" s="3"/>
      <c r="J214" s="3"/>
    </row>
    <row r="215" spans="1:10" x14ac:dyDescent="0.25">
      <c r="A215" s="216" t="s">
        <v>758</v>
      </c>
      <c r="B215" s="230">
        <v>480</v>
      </c>
      <c r="C215" s="230">
        <v>2200</v>
      </c>
      <c r="D215" s="249"/>
      <c r="E215" s="231">
        <v>8</v>
      </c>
      <c r="F215" s="267">
        <v>425000</v>
      </c>
      <c r="G215" s="230">
        <v>18</v>
      </c>
      <c r="H215" s="267">
        <v>930000</v>
      </c>
      <c r="I215" s="3"/>
      <c r="J215" s="3"/>
    </row>
    <row r="216" spans="1:10" x14ac:dyDescent="0.25">
      <c r="A216" s="220" t="s">
        <v>759</v>
      </c>
      <c r="B216" s="117">
        <v>500</v>
      </c>
      <c r="C216" s="117">
        <v>2200</v>
      </c>
      <c r="D216" s="250"/>
      <c r="E216" s="221">
        <v>8</v>
      </c>
      <c r="F216" s="222">
        <v>442000</v>
      </c>
      <c r="G216" s="117">
        <v>18</v>
      </c>
      <c r="H216" s="222">
        <v>968000</v>
      </c>
      <c r="I216" s="3"/>
      <c r="J216" s="3"/>
    </row>
    <row r="217" spans="1:10" x14ac:dyDescent="0.25">
      <c r="A217" s="223" t="s">
        <v>760</v>
      </c>
      <c r="B217" s="235">
        <v>600</v>
      </c>
      <c r="C217" s="235">
        <v>2200</v>
      </c>
      <c r="D217" s="251"/>
      <c r="E217" s="218">
        <v>8</v>
      </c>
      <c r="F217" s="219">
        <v>531000</v>
      </c>
      <c r="G217" s="235">
        <v>18</v>
      </c>
      <c r="H217" s="219">
        <v>1162000</v>
      </c>
      <c r="I217" s="3"/>
      <c r="J217" s="3"/>
    </row>
    <row r="218" spans="1:10" x14ac:dyDescent="0.25">
      <c r="A218" s="220" t="s">
        <v>761</v>
      </c>
      <c r="B218" s="117">
        <v>800</v>
      </c>
      <c r="C218" s="117">
        <v>2200</v>
      </c>
      <c r="D218" s="250"/>
      <c r="E218" s="221">
        <v>8</v>
      </c>
      <c r="F218" s="222">
        <v>708000</v>
      </c>
      <c r="G218" s="117">
        <v>18</v>
      </c>
      <c r="H218" s="222">
        <v>1549000</v>
      </c>
      <c r="I218" s="3"/>
      <c r="J218" s="3"/>
    </row>
    <row r="219" spans="1:10" x14ac:dyDescent="0.25">
      <c r="A219" s="223" t="s">
        <v>762</v>
      </c>
      <c r="B219" s="235">
        <v>960</v>
      </c>
      <c r="C219" s="235">
        <v>2200</v>
      </c>
      <c r="D219" s="251"/>
      <c r="E219" s="218">
        <v>8</v>
      </c>
      <c r="F219" s="219">
        <v>849000</v>
      </c>
      <c r="G219" s="235">
        <v>18</v>
      </c>
      <c r="H219" s="219">
        <v>1859000</v>
      </c>
      <c r="I219" s="3"/>
      <c r="J219" s="3"/>
    </row>
    <row r="220" spans="1:10" x14ac:dyDescent="0.25">
      <c r="A220" s="220" t="s">
        <v>763</v>
      </c>
      <c r="B220" s="117">
        <v>1000</v>
      </c>
      <c r="C220" s="117">
        <v>2200</v>
      </c>
      <c r="D220" s="250"/>
      <c r="E220" s="221">
        <v>8</v>
      </c>
      <c r="F220" s="222">
        <v>884000</v>
      </c>
      <c r="G220" s="117">
        <v>18</v>
      </c>
      <c r="H220" s="222">
        <v>1936000</v>
      </c>
      <c r="I220" s="3"/>
      <c r="J220" s="3"/>
    </row>
    <row r="221" spans="1:10" x14ac:dyDescent="0.25">
      <c r="A221" s="223" t="s">
        <v>764</v>
      </c>
      <c r="B221" s="235">
        <v>1200</v>
      </c>
      <c r="C221" s="235">
        <v>2200</v>
      </c>
      <c r="D221" s="251"/>
      <c r="E221" s="218">
        <v>8</v>
      </c>
      <c r="F221" s="219">
        <v>1061000</v>
      </c>
      <c r="G221" s="235">
        <v>18</v>
      </c>
      <c r="H221" s="219">
        <v>2323000</v>
      </c>
      <c r="I221" s="3"/>
      <c r="J221" s="3"/>
    </row>
    <row r="222" spans="1:10" x14ac:dyDescent="0.25">
      <c r="A222" s="26" t="s">
        <v>765</v>
      </c>
      <c r="B222" s="63">
        <v>1500</v>
      </c>
      <c r="C222" s="63">
        <v>2200</v>
      </c>
      <c r="D222" s="203"/>
      <c r="E222" s="236">
        <v>8</v>
      </c>
      <c r="F222" s="237">
        <v>1326000</v>
      </c>
      <c r="G222" s="63">
        <v>18</v>
      </c>
      <c r="H222" s="237">
        <v>2904000</v>
      </c>
      <c r="I222" s="3"/>
      <c r="J222" s="3"/>
    </row>
    <row r="223" spans="1:10" ht="18" x14ac:dyDescent="0.25">
      <c r="A223" s="262" t="s">
        <v>774</v>
      </c>
      <c r="B223" s="99"/>
      <c r="C223" s="99"/>
      <c r="D223" s="3"/>
      <c r="E223" s="3"/>
      <c r="F223" s="92"/>
      <c r="G223" s="264"/>
      <c r="H223" s="99"/>
      <c r="I223" s="3"/>
      <c r="J223" s="3"/>
    </row>
    <row r="224" spans="1:10" x14ac:dyDescent="0.25">
      <c r="A224" s="216" t="s">
        <v>758</v>
      </c>
      <c r="B224" s="230">
        <v>480</v>
      </c>
      <c r="C224" s="230">
        <v>2400</v>
      </c>
      <c r="D224" s="249"/>
      <c r="E224" s="231">
        <v>8</v>
      </c>
      <c r="F224" s="267">
        <v>463000</v>
      </c>
      <c r="G224" s="230">
        <v>18</v>
      </c>
      <c r="H224" s="267">
        <v>1014000</v>
      </c>
      <c r="I224" s="3"/>
      <c r="J224" s="3"/>
    </row>
    <row r="225" spans="1:10" x14ac:dyDescent="0.25">
      <c r="A225" s="220" t="s">
        <v>759</v>
      </c>
      <c r="B225" s="117">
        <v>500</v>
      </c>
      <c r="C225" s="117">
        <v>2400</v>
      </c>
      <c r="D225" s="250"/>
      <c r="E225" s="221">
        <v>8</v>
      </c>
      <c r="F225" s="222">
        <v>483000</v>
      </c>
      <c r="G225" s="117">
        <v>18</v>
      </c>
      <c r="H225" s="222">
        <v>1056000</v>
      </c>
      <c r="I225" s="3"/>
      <c r="J225" s="3"/>
    </row>
    <row r="226" spans="1:10" x14ac:dyDescent="0.25">
      <c r="A226" s="223" t="s">
        <v>760</v>
      </c>
      <c r="B226" s="235">
        <v>600</v>
      </c>
      <c r="C226" s="235">
        <v>2400</v>
      </c>
      <c r="D226" s="251"/>
      <c r="E226" s="218">
        <v>8</v>
      </c>
      <c r="F226" s="219">
        <v>579000</v>
      </c>
      <c r="G226" s="235">
        <v>18</v>
      </c>
      <c r="H226" s="219">
        <v>1268000</v>
      </c>
      <c r="I226" s="3"/>
      <c r="J226" s="3"/>
    </row>
    <row r="227" spans="1:10" x14ac:dyDescent="0.25">
      <c r="A227" s="220" t="s">
        <v>761</v>
      </c>
      <c r="B227" s="117">
        <v>800</v>
      </c>
      <c r="C227" s="117">
        <v>2400</v>
      </c>
      <c r="D227" s="250"/>
      <c r="E227" s="221">
        <v>8</v>
      </c>
      <c r="F227" s="222">
        <v>772000</v>
      </c>
      <c r="G227" s="117">
        <v>18</v>
      </c>
      <c r="H227" s="222">
        <v>1690000</v>
      </c>
      <c r="I227" s="3"/>
      <c r="J227" s="3"/>
    </row>
    <row r="228" spans="1:10" x14ac:dyDescent="0.25">
      <c r="A228" s="223" t="s">
        <v>762</v>
      </c>
      <c r="B228" s="235">
        <v>960</v>
      </c>
      <c r="C228" s="235">
        <v>2400</v>
      </c>
      <c r="D228" s="251"/>
      <c r="E228" s="218">
        <v>8</v>
      </c>
      <c r="F228" s="219">
        <v>926000</v>
      </c>
      <c r="G228" s="235">
        <v>18</v>
      </c>
      <c r="H228" s="219">
        <v>2028000</v>
      </c>
      <c r="I228" s="3"/>
      <c r="J228" s="3"/>
    </row>
    <row r="229" spans="1:10" x14ac:dyDescent="0.25">
      <c r="A229" s="220" t="s">
        <v>763</v>
      </c>
      <c r="B229" s="117">
        <v>1000</v>
      </c>
      <c r="C229" s="117">
        <v>2400</v>
      </c>
      <c r="D229" s="250"/>
      <c r="E229" s="221">
        <v>8</v>
      </c>
      <c r="F229" s="222">
        <v>965000</v>
      </c>
      <c r="G229" s="117">
        <v>18</v>
      </c>
      <c r="H229" s="222">
        <v>2112000</v>
      </c>
      <c r="I229" s="3"/>
      <c r="J229" s="3"/>
    </row>
    <row r="230" spans="1:10" x14ac:dyDescent="0.25">
      <c r="A230" s="223" t="s">
        <v>764</v>
      </c>
      <c r="B230" s="235">
        <v>1200</v>
      </c>
      <c r="C230" s="235">
        <v>2400</v>
      </c>
      <c r="D230" s="251"/>
      <c r="E230" s="218">
        <v>8</v>
      </c>
      <c r="F230" s="219">
        <v>1158000</v>
      </c>
      <c r="G230" s="235">
        <v>18</v>
      </c>
      <c r="H230" s="219">
        <v>2535000</v>
      </c>
      <c r="I230" s="3"/>
      <c r="J230" s="3"/>
    </row>
    <row r="231" spans="1:10" x14ac:dyDescent="0.25">
      <c r="A231" s="26" t="s">
        <v>765</v>
      </c>
      <c r="B231" s="63">
        <v>1500</v>
      </c>
      <c r="C231" s="63">
        <v>2400</v>
      </c>
      <c r="D231" s="203"/>
      <c r="E231" s="236">
        <v>8</v>
      </c>
      <c r="F231" s="237">
        <v>1447000</v>
      </c>
      <c r="G231" s="63">
        <v>18</v>
      </c>
      <c r="H231" s="237">
        <v>3168000</v>
      </c>
      <c r="I231" s="3"/>
      <c r="J231" s="3"/>
    </row>
    <row r="232" spans="1:10" ht="18" x14ac:dyDescent="0.25">
      <c r="A232" s="262" t="s">
        <v>775</v>
      </c>
      <c r="B232" s="99"/>
      <c r="C232" s="99"/>
      <c r="D232" s="3"/>
      <c r="E232" s="3"/>
      <c r="F232" s="92"/>
      <c r="G232" s="264"/>
      <c r="H232" s="99"/>
      <c r="I232" s="3"/>
      <c r="J232" s="3"/>
    </row>
    <row r="233" spans="1:10" x14ac:dyDescent="0.25">
      <c r="A233" s="216" t="s">
        <v>758</v>
      </c>
      <c r="B233" s="230">
        <v>480</v>
      </c>
      <c r="C233" s="230">
        <v>2560</v>
      </c>
      <c r="D233" s="249"/>
      <c r="E233" s="231">
        <v>8</v>
      </c>
      <c r="F233" s="267">
        <v>494000</v>
      </c>
      <c r="G233" s="230">
        <v>18</v>
      </c>
      <c r="H233" s="267">
        <v>1082000</v>
      </c>
      <c r="I233" s="3"/>
      <c r="J233" s="3"/>
    </row>
    <row r="234" spans="1:10" x14ac:dyDescent="0.25">
      <c r="A234" s="220" t="s">
        <v>759</v>
      </c>
      <c r="B234" s="117">
        <v>500</v>
      </c>
      <c r="C234" s="117">
        <v>2560</v>
      </c>
      <c r="D234" s="250"/>
      <c r="E234" s="221">
        <v>8</v>
      </c>
      <c r="F234" s="222">
        <v>515000</v>
      </c>
      <c r="G234" s="117">
        <v>18</v>
      </c>
      <c r="H234" s="222">
        <v>1127000</v>
      </c>
      <c r="I234" s="3"/>
      <c r="J234" s="3"/>
    </row>
    <row r="235" spans="1:10" x14ac:dyDescent="0.25">
      <c r="A235" s="223" t="s">
        <v>760</v>
      </c>
      <c r="B235" s="235">
        <v>600</v>
      </c>
      <c r="C235" s="235">
        <v>2560</v>
      </c>
      <c r="D235" s="251"/>
      <c r="E235" s="218">
        <v>8</v>
      </c>
      <c r="F235" s="219">
        <v>618000</v>
      </c>
      <c r="G235" s="235">
        <v>18</v>
      </c>
      <c r="H235" s="219">
        <v>1352000</v>
      </c>
      <c r="I235" s="3"/>
      <c r="J235" s="3"/>
    </row>
    <row r="236" spans="1:10" x14ac:dyDescent="0.25">
      <c r="A236" s="220" t="s">
        <v>761</v>
      </c>
      <c r="B236" s="117">
        <v>800</v>
      </c>
      <c r="C236" s="117">
        <v>2560</v>
      </c>
      <c r="D236" s="250"/>
      <c r="E236" s="221">
        <v>8</v>
      </c>
      <c r="F236" s="222">
        <v>823000</v>
      </c>
      <c r="G236" s="117">
        <v>18</v>
      </c>
      <c r="H236" s="222">
        <v>1802000</v>
      </c>
      <c r="I236" s="3"/>
      <c r="J236" s="3"/>
    </row>
    <row r="237" spans="1:10" x14ac:dyDescent="0.25">
      <c r="A237" s="223" t="s">
        <v>762</v>
      </c>
      <c r="B237" s="235">
        <v>960</v>
      </c>
      <c r="C237" s="235">
        <v>2560</v>
      </c>
      <c r="D237" s="251"/>
      <c r="E237" s="218">
        <v>8</v>
      </c>
      <c r="F237" s="219">
        <v>988000</v>
      </c>
      <c r="G237" s="235">
        <v>18</v>
      </c>
      <c r="H237" s="219">
        <v>2163000</v>
      </c>
      <c r="I237" s="3"/>
      <c r="J237" s="3"/>
    </row>
    <row r="238" spans="1:10" x14ac:dyDescent="0.25">
      <c r="A238" s="220" t="s">
        <v>763</v>
      </c>
      <c r="B238" s="117">
        <v>1000</v>
      </c>
      <c r="C238" s="117">
        <v>2560</v>
      </c>
      <c r="D238" s="250"/>
      <c r="E238" s="221">
        <v>8</v>
      </c>
      <c r="F238" s="222">
        <v>1029000</v>
      </c>
      <c r="G238" s="117">
        <v>18</v>
      </c>
      <c r="H238" s="222">
        <v>2253000</v>
      </c>
      <c r="I238" s="3"/>
      <c r="J238" s="3"/>
    </row>
    <row r="239" spans="1:10" x14ac:dyDescent="0.25">
      <c r="A239" s="223" t="s">
        <v>764</v>
      </c>
      <c r="B239" s="235">
        <v>1200</v>
      </c>
      <c r="C239" s="235">
        <v>2560</v>
      </c>
      <c r="D239" s="251"/>
      <c r="E239" s="218">
        <v>8</v>
      </c>
      <c r="F239" s="219">
        <v>1235000</v>
      </c>
      <c r="G239" s="235">
        <v>18</v>
      </c>
      <c r="H239" s="219">
        <v>2703000</v>
      </c>
      <c r="I239" s="3"/>
      <c r="J239" s="3"/>
    </row>
    <row r="240" spans="1:10" x14ac:dyDescent="0.25">
      <c r="A240" s="26" t="s">
        <v>765</v>
      </c>
      <c r="B240" s="63">
        <v>1500</v>
      </c>
      <c r="C240" s="63">
        <v>2560</v>
      </c>
      <c r="D240" s="203"/>
      <c r="E240" s="236">
        <v>8</v>
      </c>
      <c r="F240" s="237">
        <v>1543000</v>
      </c>
      <c r="G240" s="63">
        <v>18</v>
      </c>
      <c r="H240" s="237">
        <v>3379000</v>
      </c>
      <c r="I240" s="3"/>
      <c r="J240" s="3"/>
    </row>
    <row r="241" spans="1:10" ht="18" x14ac:dyDescent="0.25">
      <c r="A241" s="262" t="s">
        <v>776</v>
      </c>
      <c r="B241" s="99"/>
      <c r="C241" s="99"/>
      <c r="D241" s="3"/>
      <c r="E241" s="3"/>
      <c r="F241" s="92"/>
      <c r="G241" s="264"/>
      <c r="H241" s="99"/>
      <c r="I241" s="3"/>
      <c r="J241" s="3"/>
    </row>
    <row r="242" spans="1:10" x14ac:dyDescent="0.25">
      <c r="A242" s="216" t="s">
        <v>758</v>
      </c>
      <c r="B242" s="230">
        <v>480</v>
      </c>
      <c r="C242" s="230">
        <v>2720</v>
      </c>
      <c r="D242" s="249"/>
      <c r="E242" s="231">
        <v>8</v>
      </c>
      <c r="F242" s="267">
        <v>525000</v>
      </c>
      <c r="G242" s="230">
        <v>18</v>
      </c>
      <c r="H242" s="267">
        <v>1149000</v>
      </c>
      <c r="I242" s="3"/>
      <c r="J242" s="3"/>
    </row>
    <row r="243" spans="1:10" x14ac:dyDescent="0.25">
      <c r="A243" s="220" t="s">
        <v>759</v>
      </c>
      <c r="B243" s="117">
        <v>500</v>
      </c>
      <c r="C243" s="117">
        <v>2720</v>
      </c>
      <c r="D243" s="250"/>
      <c r="E243" s="221">
        <v>8</v>
      </c>
      <c r="F243" s="222">
        <v>547000</v>
      </c>
      <c r="G243" s="117">
        <v>18</v>
      </c>
      <c r="H243" s="222">
        <v>1197000</v>
      </c>
      <c r="I243" s="3"/>
      <c r="J243" s="3"/>
    </row>
    <row r="244" spans="1:10" x14ac:dyDescent="0.25">
      <c r="A244" s="223" t="s">
        <v>760</v>
      </c>
      <c r="B244" s="235">
        <v>600</v>
      </c>
      <c r="C244" s="235">
        <v>2720</v>
      </c>
      <c r="D244" s="251"/>
      <c r="E244" s="218">
        <v>8</v>
      </c>
      <c r="F244" s="219">
        <v>656000</v>
      </c>
      <c r="G244" s="235">
        <v>18</v>
      </c>
      <c r="H244" s="219">
        <v>1436000</v>
      </c>
      <c r="I244" s="3"/>
      <c r="J244" s="3"/>
    </row>
    <row r="245" spans="1:10" x14ac:dyDescent="0.25">
      <c r="A245" s="220" t="s">
        <v>761</v>
      </c>
      <c r="B245" s="117">
        <v>800</v>
      </c>
      <c r="C245" s="117">
        <v>2720</v>
      </c>
      <c r="D245" s="250"/>
      <c r="E245" s="221">
        <v>8</v>
      </c>
      <c r="F245" s="222">
        <v>875000</v>
      </c>
      <c r="G245" s="117">
        <v>18</v>
      </c>
      <c r="H245" s="222">
        <v>1915000</v>
      </c>
      <c r="I245" s="3"/>
      <c r="J245" s="3"/>
    </row>
    <row r="246" spans="1:10" x14ac:dyDescent="0.25">
      <c r="A246" s="223" t="s">
        <v>762</v>
      </c>
      <c r="B246" s="235">
        <v>960</v>
      </c>
      <c r="C246" s="235">
        <v>2720</v>
      </c>
      <c r="D246" s="251"/>
      <c r="E246" s="218">
        <v>8</v>
      </c>
      <c r="F246" s="219">
        <v>1050000</v>
      </c>
      <c r="G246" s="235">
        <v>18</v>
      </c>
      <c r="H246" s="219">
        <v>2298000</v>
      </c>
      <c r="I246" s="3"/>
      <c r="J246" s="3"/>
    </row>
    <row r="247" spans="1:10" x14ac:dyDescent="0.25">
      <c r="A247" s="220" t="s">
        <v>763</v>
      </c>
      <c r="B247" s="117">
        <v>1000</v>
      </c>
      <c r="C247" s="117">
        <v>2720</v>
      </c>
      <c r="D247" s="250"/>
      <c r="E247" s="221">
        <v>8</v>
      </c>
      <c r="F247" s="222">
        <v>1093000</v>
      </c>
      <c r="G247" s="117">
        <v>18</v>
      </c>
      <c r="H247" s="222">
        <v>2394000</v>
      </c>
      <c r="I247" s="3"/>
      <c r="J247" s="3"/>
    </row>
    <row r="248" spans="1:10" x14ac:dyDescent="0.25">
      <c r="A248" s="223" t="s">
        <v>764</v>
      </c>
      <c r="B248" s="235">
        <v>1200</v>
      </c>
      <c r="C248" s="235">
        <v>2720</v>
      </c>
      <c r="D248" s="251"/>
      <c r="E248" s="218">
        <v>8</v>
      </c>
      <c r="F248" s="219">
        <v>1312000</v>
      </c>
      <c r="G248" s="235">
        <v>18</v>
      </c>
      <c r="H248" s="219">
        <v>2872000</v>
      </c>
      <c r="I248" s="3"/>
      <c r="J248" s="3"/>
    </row>
    <row r="249" spans="1:10" x14ac:dyDescent="0.25">
      <c r="A249" s="26" t="s">
        <v>765</v>
      </c>
      <c r="B249" s="63">
        <v>1500</v>
      </c>
      <c r="C249" s="63">
        <v>2720</v>
      </c>
      <c r="D249" s="203"/>
      <c r="E249" s="236">
        <v>8</v>
      </c>
      <c r="F249" s="237">
        <v>1640000</v>
      </c>
      <c r="G249" s="63">
        <v>18</v>
      </c>
      <c r="H249" s="237">
        <v>3590000</v>
      </c>
      <c r="I249" s="3"/>
      <c r="J249" s="3"/>
    </row>
  </sheetData>
  <mergeCells count="70">
    <mergeCell ref="B92:C92"/>
    <mergeCell ref="B93:C93"/>
    <mergeCell ref="B94:C94"/>
    <mergeCell ref="B95:C95"/>
    <mergeCell ref="B109:C109"/>
    <mergeCell ref="B113:C113"/>
    <mergeCell ref="B114:C114"/>
    <mergeCell ref="B134:D134"/>
    <mergeCell ref="B135:D135"/>
    <mergeCell ref="B136:D136"/>
    <mergeCell ref="B137:D137"/>
    <mergeCell ref="B138:D138"/>
    <mergeCell ref="B139:D139"/>
    <mergeCell ref="B142:D142"/>
    <mergeCell ref="B115:C115"/>
    <mergeCell ref="B116:C116"/>
    <mergeCell ref="B117:C117"/>
    <mergeCell ref="B118:C118"/>
    <mergeCell ref="B119:C119"/>
    <mergeCell ref="B121:C121"/>
    <mergeCell ref="B133:D133"/>
    <mergeCell ref="A5:D5"/>
    <mergeCell ref="A26:C26"/>
    <mergeCell ref="A33:B33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6:C56"/>
    <mergeCell ref="B57:C57"/>
    <mergeCell ref="B58:C58"/>
    <mergeCell ref="B59:C59"/>
    <mergeCell ref="B60:C60"/>
    <mergeCell ref="B61:C61"/>
    <mergeCell ref="B62:C62"/>
    <mergeCell ref="B64:C64"/>
    <mergeCell ref="B65:C65"/>
    <mergeCell ref="B66:C66"/>
    <mergeCell ref="B67:C67"/>
    <mergeCell ref="B68:C68"/>
    <mergeCell ref="B69:C69"/>
    <mergeCell ref="B71:C71"/>
    <mergeCell ref="B72:C72"/>
    <mergeCell ref="B73:C73"/>
    <mergeCell ref="B74:C74"/>
    <mergeCell ref="B75:C75"/>
    <mergeCell ref="B76:C76"/>
    <mergeCell ref="B78:C78"/>
    <mergeCell ref="B79:C79"/>
    <mergeCell ref="B80:C80"/>
    <mergeCell ref="B81:C81"/>
    <mergeCell ref="B88:C88"/>
    <mergeCell ref="B89:C89"/>
    <mergeCell ref="B90:C90"/>
    <mergeCell ref="B91:C91"/>
    <mergeCell ref="B82:C82"/>
    <mergeCell ref="B83:C83"/>
    <mergeCell ref="B85:C85"/>
    <mergeCell ref="B86:C86"/>
    <mergeCell ref="B87:C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SWINGDOOR110 Panel</vt:lpstr>
      <vt:lpstr>SWINGDOOR170 Panel</vt:lpstr>
      <vt:lpstr>SLIDING PANEL</vt:lpstr>
      <vt:lpstr>SWINGGLASS</vt:lpstr>
      <vt:lpstr>SLIDINGGLASS</vt:lpstr>
      <vt:lpstr>UPPERCAB</vt:lpstr>
      <vt:lpstr>UPPERCABMIRROR</vt:lpstr>
      <vt:lpstr>BASEINTERNAL BLUM</vt:lpstr>
      <vt:lpstr>BASEINTERNAL STD</vt:lpstr>
      <vt:lpstr>MARBLEDOORFRAME</vt:lpstr>
      <vt:lpstr>WD COMP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Gerald Untario</cp:lastModifiedBy>
  <dcterms:modified xsi:type="dcterms:W3CDTF">2026-06-09T19:31:52Z</dcterms:modified>
</cp:coreProperties>
</file>