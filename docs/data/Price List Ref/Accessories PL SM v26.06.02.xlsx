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100.98.130.67\Projects\Stella Mobili BOM Tool\docs\data\Price List Ref\"/>
    </mc:Choice>
  </mc:AlternateContent>
  <xr:revisionPtr revIDLastSave="0" documentId="13_ncr:1_{48EC9ABC-0B8B-44FB-8E5F-61C3F8A712A5}" xr6:coauthVersionLast="47" xr6:coauthVersionMax="47" xr10:uidLastSave="{00000000-0000-0000-0000-000000000000}"/>
  <bookViews>
    <workbookView xWindow="-120" yWindow="-120" windowWidth="29040" windowHeight="15720" tabRatio="720" activeTab="1" xr2:uid="{00000000-000D-0000-FFFF-FFFF00000000}"/>
  </bookViews>
  <sheets>
    <sheet name="Validation Report" sheetId="16" r:id="rId1"/>
    <sheet name="Solid Surface (FLAT)" sheetId="10" r:id="rId2"/>
    <sheet name="Lighting (FLAT)" sheetId="11" r:id="rId3"/>
    <sheet name="Wardrobe Acc (FLAT)" sheetId="12" r:id="rId4"/>
    <sheet name="Kitchen Acc (FLAT)" sheetId="13" r:id="rId5"/>
    <sheet name="Handles (FLAT)" sheetId="14" r:id="rId6"/>
    <sheet name="Mirror LED (FLAT)" sheetId="15"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 i="16" l="1"/>
  <c r="G12" i="16"/>
  <c r="F12" i="16"/>
  <c r="E12" i="16"/>
  <c r="D12" i="16"/>
  <c r="C12" i="16"/>
  <c r="B12" i="16"/>
</calcChain>
</file>

<file path=xl/sharedStrings.xml><?xml version="1.0" encoding="utf-8"?>
<sst xmlns="http://schemas.openxmlformats.org/spreadsheetml/2006/main" count="2587" uniqueCount="681">
  <si>
    <t>DESCRIPTION</t>
  </si>
  <si>
    <t>PRICE</t>
  </si>
  <si>
    <t>UNIT</t>
  </si>
  <si>
    <t>LED Stripe Insert</t>
  </si>
  <si>
    <t>LED Stripe behind Glass Shelf</t>
  </si>
  <si>
    <t>Simple Switch / Switch Kulkas</t>
  </si>
  <si>
    <t>Switch Rocker with on/off marking</t>
  </si>
  <si>
    <t>Push Switch</t>
  </si>
  <si>
    <t>IR Sensor Switch</t>
  </si>
  <si>
    <t>TOUCH Sensor</t>
  </si>
  <si>
    <t>Door Seal /meter</t>
  </si>
  <si>
    <t>Tip-on Mechanism for Doors (Push System)</t>
  </si>
  <si>
    <t>Tip-on Mechanism for Drawers (Push System)</t>
  </si>
  <si>
    <t>Shelf for WU 45 D 350</t>
  </si>
  <si>
    <t>Shelf for WU 50 D 350</t>
  </si>
  <si>
    <t>Shelf for WU 55 D 350</t>
  </si>
  <si>
    <t>Shelf for WU 60 D 350</t>
  </si>
  <si>
    <t>Shelf for WU 70 D 350</t>
  </si>
  <si>
    <t>Shelf for WU 75 D 350</t>
  </si>
  <si>
    <t>Shelf for WU 80 D 350</t>
  </si>
  <si>
    <t>Shelf for WU 90 D 350</t>
  </si>
  <si>
    <t>Shelf for WU 100 D 350</t>
  </si>
  <si>
    <t>Shelf for WU 110 D 350</t>
  </si>
  <si>
    <t>Shelf for WU 120 D 350</t>
  </si>
  <si>
    <t>Shelf for W 60 D 500</t>
  </si>
  <si>
    <t>Shelf for W 80 D 500</t>
  </si>
  <si>
    <t>Shelf for W 90 D 500</t>
  </si>
  <si>
    <t>Shelf for W 96 D 500</t>
  </si>
  <si>
    <t>Shelf for W 100 D 500</t>
  </si>
  <si>
    <t>Shelf for W 110 D 500</t>
  </si>
  <si>
    <t>Shelf for W 120 D 500</t>
  </si>
  <si>
    <t>Furnital Hanger for WD 480</t>
  </si>
  <si>
    <t>Furnital Hanger for WD 500</t>
  </si>
  <si>
    <t>Furnital Hanger for WD 600</t>
  </si>
  <si>
    <t>Furnital Hanger for WD 960</t>
  </si>
  <si>
    <t>Furnital Hanger for WD 1200</t>
  </si>
  <si>
    <t>Furnital Hanger for WD 1440</t>
  </si>
  <si>
    <t>Furnital Hanger for WD 1920</t>
  </si>
  <si>
    <t>Furnital Hangers for corner WD 480-480</t>
  </si>
  <si>
    <t>Furnital Hangers for corner WD 480-500</t>
  </si>
  <si>
    <t>Furnital Hangers for corner WD 480-600</t>
  </si>
  <si>
    <t>Furnital Hangers for corner WD 480-960</t>
  </si>
  <si>
    <t>Furnital Hangers for corner WD 480-1000</t>
  </si>
  <si>
    <t>Furnital Hangers for corner WD 500-600</t>
  </si>
  <si>
    <t>Furnital Hangers for corner WD 500-960</t>
  </si>
  <si>
    <t>Furnital Hangers for corner WD 500-1000</t>
  </si>
  <si>
    <t>Furnital Hangers for corner WD 600-600</t>
  </si>
  <si>
    <t>Furnital Hangers for corner WD 600-960</t>
  </si>
  <si>
    <t>Furnital Hangers for corner WD 600-1000</t>
  </si>
  <si>
    <t>Furnital Hangers for corner WD 960-960</t>
  </si>
  <si>
    <t>Furnital Hangers for corner WD 960-1000</t>
  </si>
  <si>
    <t>Furnital Hangers for corner WD 1000-1000</t>
  </si>
  <si>
    <t>Tube hanger for WD 480</t>
  </si>
  <si>
    <t>Tube hanger for WD 500</t>
  </si>
  <si>
    <t>Tube hanger for WD 600</t>
  </si>
  <si>
    <t>Tube hanger for WD 960</t>
  </si>
  <si>
    <t>Alluminium Tube for corner WD 480-480</t>
  </si>
  <si>
    <t>Alluminium Tube for corner WD 480-500</t>
  </si>
  <si>
    <t>Alluminium Tube for corner WD 480-600</t>
  </si>
  <si>
    <t>Alluminium Tube for corner WD 480-960</t>
  </si>
  <si>
    <t>Alluminium Tube for corner WD 480-1000</t>
  </si>
  <si>
    <t>Alluminium Tube for corner WD 500-500</t>
  </si>
  <si>
    <t>Alluminium Tube for corner WD 500-600</t>
  </si>
  <si>
    <t>Alluminium Tube for corner WD 500-960</t>
  </si>
  <si>
    <t>Alluminium Tube for corner WD 500-1000</t>
  </si>
  <si>
    <t>Alluminium Tube for corner WD 600-600</t>
  </si>
  <si>
    <t>Alluminium Tube for corner WD 600-960</t>
  </si>
  <si>
    <t>Alluminium Tube for corner WD 600-1000</t>
  </si>
  <si>
    <t>Alluminium Tube for corner WD 960-960</t>
  </si>
  <si>
    <t>Alluminium Tube for corner WD 960-1000</t>
  </si>
  <si>
    <t>Alluminium Tube for corner WD 1000-1000</t>
  </si>
  <si>
    <t>Tube hanger for WD 45</t>
  </si>
  <si>
    <t>Tube hanger for WD 50</t>
  </si>
  <si>
    <t>Tube hanger for WD 60</t>
  </si>
  <si>
    <t>Tube hanger for WD 90</t>
  </si>
  <si>
    <t>Tube hanger for WD 100</t>
  </si>
  <si>
    <t>Alluminium Tube for corner WD 45-45</t>
  </si>
  <si>
    <t>Alluminium Tube for corner WD 45-50</t>
  </si>
  <si>
    <t>Alluminium Tube for corner WD 45-60</t>
  </si>
  <si>
    <t>Alluminium Tube for corner WD 45-90</t>
  </si>
  <si>
    <t>Alluminium Tube for corner WD 45-100</t>
  </si>
  <si>
    <t>Alluminium Tube for corner WD 50-60</t>
  </si>
  <si>
    <t>Alluminium Tube for corner WD 50-90</t>
  </si>
  <si>
    <t>Alluminium Tube for corner WD 50-100</t>
  </si>
  <si>
    <t>Alluminium Tube for corner WD 60-60</t>
  </si>
  <si>
    <t>Alluminium Tube for corner WD 60-90</t>
  </si>
  <si>
    <t>Alluminium Tube for corner WD 60-100</t>
  </si>
  <si>
    <t>Alluminium Tube for corner WD 90-90</t>
  </si>
  <si>
    <t>Alluminium Tube for corner WD 90-100</t>
  </si>
  <si>
    <t>Alluminium Tube for corner WD 100-100</t>
  </si>
  <si>
    <t>Dark Grey Tube hanger for WD 45</t>
  </si>
  <si>
    <t>Dark Grey Tube hanger for WD 50</t>
  </si>
  <si>
    <t>Dark Grey Tube hanger for WD 60</t>
  </si>
  <si>
    <t>Dark Grey Tube hanger for WD 90</t>
  </si>
  <si>
    <t>Dark Grey Tube hanger for WD 100</t>
  </si>
  <si>
    <t>Dark Grey Tube hanger for WD 120</t>
  </si>
  <si>
    <t>Espagnolette Lock</t>
  </si>
  <si>
    <t>Single Lock for Drawer</t>
  </si>
  <si>
    <t>Hidden Magnetic Lock (Kinderlock)</t>
  </si>
  <si>
    <t>Hidden Electric Lock (Card Lock)</t>
  </si>
  <si>
    <t>Digital Lock (with keypad, Round)</t>
  </si>
  <si>
    <t>Digital Lock (with keypad, Long)</t>
  </si>
  <si>
    <t>Lock at door handle</t>
  </si>
  <si>
    <t>Lock at door handle (handle only)</t>
  </si>
  <si>
    <t>Folding Mechanism 2 Doors</t>
  </si>
  <si>
    <t>Sliding Mechanism Inline - 2 Doors</t>
  </si>
  <si>
    <t>Lift Mechanism (by Linak)</t>
  </si>
  <si>
    <t>Pocket Door - Darwin Single Door</t>
  </si>
  <si>
    <t>Pocket Door - Darwin Double Door</t>
  </si>
  <si>
    <t>Pocket Door - Hawa 3.0 Single Door</t>
  </si>
  <si>
    <t>Coming soon</t>
  </si>
  <si>
    <t>Pocket Door - Hawa 3.0 Double Door</t>
  </si>
  <si>
    <t>Pocket Door - Salice Exedra</t>
  </si>
  <si>
    <t>Movento Mechanism</t>
  </si>
  <si>
    <t>SMART FURNITURE - Aladino Deluxe 180x200 cm</t>
  </si>
  <si>
    <t>SMART FURNITURE - Aladino Elektra 180x200 cm</t>
  </si>
  <si>
    <t>SMART FURNITURE - Collapsible Desk System (Aladino Attachment)</t>
  </si>
  <si>
    <t>Shoe Drawer Rack w.900</t>
  </si>
  <si>
    <t>Additional Drawer Frame 300</t>
  </si>
  <si>
    <t>Additional Drawer Frame 200</t>
  </si>
  <si>
    <t>Additional Drawer Frame 100</t>
  </si>
  <si>
    <t>PVC Cutlery Dark Grey w.300</t>
  </si>
  <si>
    <t>PVC Cutlery Dark Grey w.450</t>
  </si>
  <si>
    <t>PVC Cutlery White w.450</t>
  </si>
  <si>
    <t>PVC Cutlery Dark Grey w.600</t>
  </si>
  <si>
    <t>PVC Cutlery White w.600</t>
  </si>
  <si>
    <t>PVC Cutlery White w.900</t>
  </si>
  <si>
    <t>PVC Cutlery Beige w.900</t>
  </si>
  <si>
    <t>PVC Cutlery White w.1000</t>
  </si>
  <si>
    <t>PVC Cutlery Dark Grey w.1200</t>
  </si>
  <si>
    <t>PVC Cutlery White w.1200</t>
  </si>
  <si>
    <t>Divider Cutlery Dark Grey Set w.450</t>
  </si>
  <si>
    <t>Divider Cutlery Dark Grey Set w.600</t>
  </si>
  <si>
    <t>Divider Cutlery Dark Grey Set w.900</t>
  </si>
  <si>
    <t>Divider Cutlery Dark Grey Set w.1200</t>
  </si>
  <si>
    <t>MOVENTO Drawer Runner (Mechanism Only)</t>
  </si>
  <si>
    <t>BU300 - 2 Layer Basket Cargo</t>
  </si>
  <si>
    <t>BU300 - Plate Rack In Chrome Pull Out</t>
  </si>
  <si>
    <t>BU450 - Chromed Plate Rack For Drawers</t>
  </si>
  <si>
    <t>BU Corner - Chrome Swivel Basket 2 Levels With Pole Fitting</t>
  </si>
  <si>
    <t>BU Corner - Chrome Swivel Basket 2 Levels with Attacks</t>
  </si>
  <si>
    <t>Corallo Corner</t>
  </si>
  <si>
    <t>SPOT H10 size 1200</t>
  </si>
  <si>
    <t>SPOT H10 size 900</t>
  </si>
  <si>
    <t>Bella 60cm Standard White</t>
  </si>
  <si>
    <t>Bella 90cm Standard White</t>
  </si>
  <si>
    <t>Brio Metal 110cm Feltro Scuro Burnish</t>
  </si>
  <si>
    <t>Brio Metal 150cm Feltro Scuro Burnish</t>
  </si>
  <si>
    <t>ETRA 90cm Feltro Scuro Burnish</t>
  </si>
  <si>
    <t>ETRA 120cm Feltro Scuro Burnish</t>
  </si>
  <si>
    <t>ORIZZONTE PLUS 900</t>
  </si>
  <si>
    <t>LIGHT VANILLA</t>
  </si>
  <si>
    <t>CASSIOPEA</t>
  </si>
  <si>
    <t>MAGNUM 900</t>
  </si>
  <si>
    <t>CYLINDRA ISOLA GLOSS</t>
  </si>
  <si>
    <t>CUBIA ISOLA</t>
  </si>
  <si>
    <t>MIRROR 800mm Black</t>
  </si>
  <si>
    <t>Carbon Filter - Inca Smart</t>
  </si>
  <si>
    <t>Carbon Filter - Magnum &amp; Mirror</t>
  </si>
  <si>
    <t>Carbon Filter - Cassiopea</t>
  </si>
  <si>
    <t>Carbon Filter - INKA LUX / INKA PLUS</t>
  </si>
  <si>
    <t>LENGTH</t>
  </si>
  <si>
    <t>PZ 1000 Silver</t>
  </si>
  <si>
    <t>PZ1000 Gold still on shipment</t>
  </si>
  <si>
    <t>Handle ceramic knob nordic-96-1</t>
  </si>
  <si>
    <t>Handle American Style Black Knobs-1031-2</t>
  </si>
  <si>
    <t>Handle American Style Black Knobs-1031-1</t>
  </si>
  <si>
    <t>Natural Leather And Ceramic Craked-cosmov 1207 Q50</t>
  </si>
  <si>
    <t>Natural Leather And Ceramic Craked-cosmov 1207 Q80</t>
  </si>
  <si>
    <t>Brown Flower Round - Citterio Line 2027</t>
  </si>
  <si>
    <t>Bosetti</t>
  </si>
  <si>
    <t>Handle / C110-160mm - Shanghai Tong Lee HAAN3076</t>
  </si>
  <si>
    <t>Handle C-2723-128-Qianfan</t>
  </si>
  <si>
    <t>Handle C-2720-Qianfan</t>
  </si>
  <si>
    <t>Cermin Frameless</t>
  </si>
  <si>
    <t>Bevel Silver Mirror</t>
  </si>
  <si>
    <t>Bevel Brown Mirror</t>
  </si>
  <si>
    <t>Gosok Silver Mirror</t>
  </si>
  <si>
    <t>Gosok Brown Mirror</t>
  </si>
  <si>
    <t>Cermin Frame Alumunium</t>
  </si>
  <si>
    <t>Frame Non LED</t>
  </si>
  <si>
    <t>Silver Mirror LED</t>
  </si>
  <si>
    <t>Brown Mirror LED</t>
  </si>
  <si>
    <t>Revolving Pull-Open Wastebin Ø280 H340</t>
  </si>
  <si>
    <t>BU450 - Swivel Out Ladder w.410 d.490 h.585</t>
  </si>
  <si>
    <t>BU450 - Trash bin w/drawer w.412-418 d.506 h.570</t>
  </si>
  <si>
    <t>BU450 - Under Mounted Multi Function Base Cargo w400 d425 h480</t>
  </si>
  <si>
    <t>BU450 - Lakeshore Multi Purpose Base Cargo w379 d449 h544</t>
  </si>
  <si>
    <t>Plate Rack Under WU w.635 (Wall Hang Basket)</t>
  </si>
  <si>
    <t>Wine Glass Rack w.340 d.210 h.65</t>
  </si>
  <si>
    <t>Arch Table Support 240x28 h.223</t>
  </si>
  <si>
    <t>Right Angle Table Support 232x36 h.159</t>
  </si>
  <si>
    <t>meter</t>
  </si>
  <si>
    <t>piece</t>
  </si>
  <si>
    <t>General</t>
  </si>
  <si>
    <t>CATEGORY</t>
  </si>
  <si>
    <t>NOTES</t>
  </si>
  <si>
    <t>CODE</t>
  </si>
  <si>
    <t>85262 / 6256</t>
  </si>
  <si>
    <t>A2681 / 6218</t>
  </si>
  <si>
    <t>85302 / 6257</t>
  </si>
  <si>
    <t>A 2683 / 6267</t>
  </si>
  <si>
    <t>A 2684 / 6268R</t>
  </si>
  <si>
    <t>6614 R</t>
  </si>
  <si>
    <t>Neo Silver (L1083-F07-OAG)</t>
  </si>
  <si>
    <t>Neo Brass (KNOB WYB)</t>
  </si>
  <si>
    <t>m²</t>
  </si>
  <si>
    <t>Crystal clear glass 5mm. Depth fixed 350mm. LED excl. (front side add-on only)</t>
  </si>
  <si>
    <t>Crystal clear glass 5mm. Depth fixed 500mm. LED excl. (front side add-on only)</t>
  </si>
  <si>
    <t>Key code must match (kode kunci harus sama)</t>
  </si>
  <si>
    <t>Opens all key codes (bisa buka semua kode)</t>
  </si>
  <si>
    <t>Inside cabinet. Max mirror h.1200, w.350. Check stock before ordering</t>
  </si>
  <si>
    <t>9mm panel between side panel &amp; door. Max door weight 20kg. Max h.2000, w.600</t>
  </si>
  <si>
    <t>Min width 800, height 1830</t>
  </si>
  <si>
    <t>Width 890–1200</t>
  </si>
  <si>
    <t>Min depth 600, min width 500</t>
  </si>
  <si>
    <t>w.900, d.600</t>
  </si>
  <si>
    <t>8 pcs per mirror. Price per pc</t>
  </si>
  <si>
    <t>Max w.1000 for 4 legs. Price per pc</t>
  </si>
  <si>
    <t>For 18mm thickness. 80kg per wheel</t>
  </si>
  <si>
    <t>Tube hanger for WD 1200</t>
  </si>
  <si>
    <t>Tube hanger for WD 1440</t>
  </si>
  <si>
    <t>Tube hanger for WD 1920</t>
  </si>
  <si>
    <t>Central Lock for Drawers</t>
  </si>
  <si>
    <t>Master Key for Single / Central Lock</t>
  </si>
  <si>
    <t>Grand Master Key for Single / Central Lock</t>
  </si>
  <si>
    <t>Digital Lock (with keypad, Locker Scroll)</t>
  </si>
  <si>
    <t>Revolve Mirror Mechanism</t>
  </si>
  <si>
    <t>Pocket Door - Sugatsune</t>
  </si>
  <si>
    <t>Pocket Door - BLUM Revego</t>
  </si>
  <si>
    <t>10-Layered Shoe Rack</t>
  </si>
  <si>
    <t>Pull Out Cloth Hanger</t>
  </si>
  <si>
    <t>Pull Out Rail Hanger</t>
  </si>
  <si>
    <t>Pull Out Rail Trouser Rack</t>
  </si>
  <si>
    <t>Pull Out Rail Trouser Hanger</t>
  </si>
  <si>
    <t>Trouser Rack Drawer</t>
  </si>
  <si>
    <t>Faux Leather Divider</t>
  </si>
  <si>
    <t>Bracket for Mirror behind door</t>
  </si>
  <si>
    <t>PERIN Square Leg H.14cm Aluminium Finish</t>
  </si>
  <si>
    <t>Wheel Grey for Thickness 18mm</t>
  </si>
  <si>
    <t>Attach to shelf. 1 color option</t>
  </si>
  <si>
    <t>2 hangers, basic butt joint</t>
  </si>
  <si>
    <t>PERIN tube + 2 end supports. Attach to shelf/top. Colors: Dark Umber, White, Black, Gold, CA</t>
  </si>
  <si>
    <t>PERIN tube + 2 end supports. Attach to shelf/top. Colors: Dark Umber, White, Black, Gold, CA. 1 center support</t>
  </si>
  <si>
    <t>Under shelf</t>
  </si>
  <si>
    <t>SUPEREX. Attach to side panel. CA color only</t>
  </si>
  <si>
    <t>SUPEREX. Shelf required for center support. CA color only</t>
  </si>
  <si>
    <t>SUPEREX. Shelf required for center support. CA color only. Clearing stock (Emuca)</t>
  </si>
  <si>
    <t>HANSTAR. Attach to side panel. Dark Grey only</t>
  </si>
  <si>
    <t>Max door weight 40kg</t>
  </si>
  <si>
    <t>Min h.1200, max h.2700. Uno = 37.7jt / Duo = 75.4jt</t>
  </si>
  <si>
    <t>Each stripe = 10W/meter. Includes ribbon, needs trafo</t>
  </si>
  <si>
    <t>Placed underneath shelf panel</t>
  </si>
  <si>
    <t>Color: Black or Silver</t>
  </si>
  <si>
    <t>18mm panel only. Price excl. panel. Color: Black or Silver</t>
  </si>
  <si>
    <t>Fixed width. Need filler per drawer/light</t>
  </si>
  <si>
    <t>Max 6 strips. Size: 170×60×16mm</t>
  </si>
  <si>
    <t>Max 6 strips. Size: 308×61.5×16mm</t>
  </si>
  <si>
    <t>Infrared single door switch. Size: 15×12mm</t>
  </si>
  <si>
    <t>Size: 55×38×10mm. Plug to light switch source. Connect up to 4 trafo</t>
  </si>
  <si>
    <t>Size: 41.5×38×10mm. Plug to trafo. Connect up to 6 strips (use if &gt;6 strips per trafo)</t>
  </si>
  <si>
    <t>LED Stripe Clip-On</t>
  </si>
  <si>
    <t>GOLA LED Stripe for WU</t>
  </si>
  <si>
    <t>LED Stripe at Shelf</t>
  </si>
  <si>
    <t>LED Stripe for inside Drawer w.600mm</t>
  </si>
  <si>
    <t>LED Stripe for inside Drawer w.900mm</t>
  </si>
  <si>
    <t>LED Stripe for inside Drawer w.1200mm</t>
  </si>
  <si>
    <t>Trafo 48W</t>
  </si>
  <si>
    <t>Trafo 90W</t>
  </si>
  <si>
    <t>LED Sensor Autoswitch</t>
  </si>
  <si>
    <t>Multi Driver Control Box</t>
  </si>
  <si>
    <t>Distributor Box</t>
  </si>
  <si>
    <t>Elfo LED Cold Light</t>
  </si>
  <si>
    <t>Elfo LED Warm Light</t>
  </si>
  <si>
    <t>Hafele Downlight 3000K</t>
  </si>
  <si>
    <t>Hafele Downlight 4000K</t>
  </si>
  <si>
    <t>Hafele Trafo Downlight</t>
  </si>
  <si>
    <t>Kitchen Worktop D.30cm</t>
  </si>
  <si>
    <t>No backsplash. Bullnose 4cm</t>
  </si>
  <si>
    <t>Kitchen Worktop D.60cm</t>
  </si>
  <si>
    <t>Backsplash 6cm + Bullnose 4cm</t>
  </si>
  <si>
    <t>Kitchen Worktop D.65cm</t>
  </si>
  <si>
    <t>Kitchen Worktop D.70cm</t>
  </si>
  <si>
    <t>Kitchen Worktop D.75cm</t>
  </si>
  <si>
    <t>Island Top W.60cm</t>
  </si>
  <si>
    <t>Profile 40mm, 4 sides</t>
  </si>
  <si>
    <t>Island Top W.70cm</t>
  </si>
  <si>
    <t>Island Top W.80cm</t>
  </si>
  <si>
    <t>Island Top W.90cm</t>
  </si>
  <si>
    <t>Island Top W.100cm</t>
  </si>
  <si>
    <t>Island Top W.110cm</t>
  </si>
  <si>
    <t>Island Top W.120cm</t>
  </si>
  <si>
    <t>Island Top W.130cm</t>
  </si>
  <si>
    <t>Island Top W.150cm</t>
  </si>
  <si>
    <t>40mm thick, plywood inside</t>
  </si>
  <si>
    <t>Wall Cover H.20cm</t>
  </si>
  <si>
    <t>Groove line 5mm with backsplash</t>
  </si>
  <si>
    <t>Wall Cover H.30cm</t>
  </si>
  <si>
    <t>Wall Cover H.40cm</t>
  </si>
  <si>
    <t>Wall Cover H.50cm</t>
  </si>
  <si>
    <t>Wall Cover H.60cm</t>
  </si>
  <si>
    <t>Wall Cover H.80cm</t>
  </si>
  <si>
    <t>Wall Cover H.90cm</t>
  </si>
  <si>
    <t>Wall Cover H.100cm</t>
  </si>
  <si>
    <t>SECTION</t>
  </si>
  <si>
    <t>ACTIVE</t>
  </si>
  <si>
    <t>Mirror</t>
  </si>
  <si>
    <t>Cermin LED Standard</t>
  </si>
  <si>
    <t>Silver Mirror - Single Color LED</t>
  </si>
  <si>
    <t>YES</t>
  </si>
  <si>
    <t>Silver Mirror - Double Color LED</t>
  </si>
  <si>
    <t>Silver Mirror - Three Color LED</t>
  </si>
  <si>
    <t>Silver Mirror - Three Color LED MX</t>
  </si>
  <si>
    <t>Silver Mirror - ADD Round 4 sudut</t>
  </si>
  <si>
    <t>Brown Mirror - Single Color LED</t>
  </si>
  <si>
    <t>Brown Mirror - Double Color LED</t>
  </si>
  <si>
    <t>Brown Mirror - Three Color LED</t>
  </si>
  <si>
    <t>Lighting</t>
  </si>
  <si>
    <t>LED Stripe</t>
  </si>
  <si>
    <t>Trafo / Accessories</t>
  </si>
  <si>
    <t>Other Switches</t>
  </si>
  <si>
    <t>Wardrobe</t>
  </si>
  <si>
    <t>set</t>
  </si>
  <si>
    <t>Glass Shelf D.35cm</t>
  </si>
  <si>
    <t>Glass Shelf D.50cm</t>
  </si>
  <si>
    <t>Furnital Hangers</t>
  </si>
  <si>
    <t>Furnital Hangers Corner</t>
  </si>
  <si>
    <t>Furnital Hangers for corner WD 500-500</t>
  </si>
  <si>
    <t>Tube Hanger (PERIN)</t>
  </si>
  <si>
    <t>Corner Tube Hanger (PERIN)</t>
  </si>
  <si>
    <t>Tube Hanger (SUPEREX)</t>
  </si>
  <si>
    <t>Corner Tube Hanger (SUPEREX)</t>
  </si>
  <si>
    <t>Alluminium Tube for corner WD 50-50</t>
  </si>
  <si>
    <t>Tube Hanger (HANSTAR)</t>
  </si>
  <si>
    <t>Locks</t>
  </si>
  <si>
    <t>pc</t>
  </si>
  <si>
    <t>Mechanisms</t>
  </si>
  <si>
    <t>Sliding Mechanism 2 Doors Hettich</t>
  </si>
  <si>
    <t>Rail max 2.3m</t>
  </si>
  <si>
    <t>Sliding Mechanism 3 Doors Hettich</t>
  </si>
  <si>
    <t>Rail max 4m</t>
  </si>
  <si>
    <t>Sugatsune Hiding Slanted Door</t>
  </si>
  <si>
    <t>Tall Unit pull out cabinet d.110cm Mechanism</t>
  </si>
  <si>
    <t>Tall Unit pull out cabinet d.80cm Mechanism</t>
  </si>
  <si>
    <t>Smart Furniture</t>
  </si>
  <si>
    <t>SMART FURNITURE - Collapsible Sofa System (Aladino Attachment)</t>
  </si>
  <si>
    <t>Other Accessories</t>
  </si>
  <si>
    <t>Dehumidifier (w.30.5cm)</t>
  </si>
  <si>
    <t>Dehumidifier (w.70cm)</t>
  </si>
  <si>
    <t>Zamac Wardrobe Hook W/Cover L140 x W16 x H13.5 SS (K264-135.SL.25)</t>
  </si>
  <si>
    <t>Zamac Wardrobe Hook W/Cover L80 x W20 x H13.5 SS (K266-075.SL.25)</t>
  </si>
  <si>
    <t>Kitchen</t>
  </si>
  <si>
    <t>Cutleries</t>
  </si>
  <si>
    <t>Ambia Line Cutlery tray for Legrabox drawer w.450</t>
  </si>
  <si>
    <t>Ambia Line Cutlery tray for Legrabox drawer w.600</t>
  </si>
  <si>
    <t>Ambia Line Cutlery tray for Legrabox drawer w.900</t>
  </si>
  <si>
    <t>Ambia Line Cutlery tray for Legrabox drawer w.1200</t>
  </si>
  <si>
    <t>Base Units</t>
  </si>
  <si>
    <t>BU150 - 2 Layer Basket Wire w.94.5 d.473 h.502</t>
  </si>
  <si>
    <t>BU600 - Plate Rack For Drawer</t>
  </si>
  <si>
    <t>BU600 - Plate Rack For Drawer (anthracite)</t>
  </si>
  <si>
    <t>BU600 - Pull Out Bottle Rack</t>
  </si>
  <si>
    <t>BU600 - 500mm Pull-Out Drawer w.300 d.475 h.135</t>
  </si>
  <si>
    <t>BU900 - Drawer Basket w.865 d.430 h.185</t>
  </si>
  <si>
    <t>BU900 - Sink Drawer Basket w.865 d.460 h.180</t>
  </si>
  <si>
    <t>BU900 - Pull Out Basket</t>
  </si>
  <si>
    <t>BU900 - Under Sink Pull Out Basket with Grey Dustbin</t>
  </si>
  <si>
    <t>BU900 - 800mm Pull-Out Drawer w.800 d.475 h.135</t>
  </si>
  <si>
    <t>BU900 - Basket With Door Brackets</t>
  </si>
  <si>
    <t>BU900-1100 - Lakeshore Peanut Corner Basket w.865 d.495 h.650-750 R &amp; L</t>
  </si>
  <si>
    <t>If used at tall unit (one set on top of the other) need shelf panel in between</t>
  </si>
  <si>
    <t>BU Corner - Chromed Pull Out Corner RotoCorner Net Basket Left Door 450mm</t>
  </si>
  <si>
    <t>BU Corner - Chromed Pull Out Corner RotoCorner Net Basket Right Door 450mm</t>
  </si>
  <si>
    <t>Wall Units</t>
  </si>
  <si>
    <t>WU900 - Dish Rack</t>
  </si>
  <si>
    <t>WU900 - Peacock Upper Cabinet Lift with Dish Rack</t>
  </si>
  <si>
    <t>Min h.600</t>
  </si>
  <si>
    <t>WU600 - Plate Rack</t>
  </si>
  <si>
    <t>WU900 - Plate Rack</t>
  </si>
  <si>
    <t>Tall Units</t>
  </si>
  <si>
    <t>TU150 - Column Chrome Basket</t>
  </si>
  <si>
    <t>TU450 - Larder Unit D-500mm</t>
  </si>
  <si>
    <t>TU450 - Swivel Out Ladder set-6 layers w.385 d.530 h.(1920-2220)</t>
  </si>
  <si>
    <t>Min h.2000</t>
  </si>
  <si>
    <t>TU450 - With 4 Door Brackets and 4 Chrome Baskets h.(1900/2100)</t>
  </si>
  <si>
    <t>TU600 - With 4 Door Brackets and 4 Chrome Baskets h.(1900/2100)</t>
  </si>
  <si>
    <t>TU600 - Swivel Out Ladder set-6 layers w.530 d.530 h.(1920-2220)</t>
  </si>
  <si>
    <t>External Accessories</t>
  </si>
  <si>
    <t>2 Tier Dish Rack w.550 (placed at top table)</t>
  </si>
  <si>
    <t>Bottle Rack Under WU w.400 h.300 (Wall Hang Basket) SJ219B</t>
  </si>
  <si>
    <t>Barazza</t>
  </si>
  <si>
    <t>90cm Built-in and Flush Channel</t>
  </si>
  <si>
    <t>Housing for all Barazza accessories</t>
  </si>
  <si>
    <t>Stainless Steel Draining Rack 30cm</t>
  </si>
  <si>
    <t>Stainless Steel Colander 30cm</t>
  </si>
  <si>
    <t>Large Glass Drainer Shelf 30cm</t>
  </si>
  <si>
    <t>Stainless Steel Bottle Holder 15cm</t>
  </si>
  <si>
    <t>Rotating Power Socket 30cm</t>
  </si>
  <si>
    <t>Induction Phone Charger 15cm</t>
  </si>
  <si>
    <t>Bluetooth Speaker 15cm</t>
  </si>
  <si>
    <t>Special Trays</t>
  </si>
  <si>
    <t>EST Cutlery Tray 600</t>
  </si>
  <si>
    <t>EST Cutlery Tray 900</t>
  </si>
  <si>
    <t>EST Cutlery Tray 1200</t>
  </si>
  <si>
    <t>EST Spice Rack Insert</t>
  </si>
  <si>
    <t>EST Kitchen Rack Insert</t>
  </si>
  <si>
    <t>EST Digital Scale Insert</t>
  </si>
  <si>
    <t>EST Set N5 Insert with Cutlery</t>
  </si>
  <si>
    <t>EST Bread Board Insert</t>
  </si>
  <si>
    <t>EST Knife Rack Insert</t>
  </si>
  <si>
    <t>EST Spice Rack Insert (small)</t>
  </si>
  <si>
    <t>EST Utensil Holder 60</t>
  </si>
  <si>
    <t>EST Cutlery Tray 90x90 depth 65</t>
  </si>
  <si>
    <t>EST Pot Rack 120 2M</t>
  </si>
  <si>
    <t>EST Jar Rack 600</t>
  </si>
  <si>
    <t>Special Accessories</t>
  </si>
  <si>
    <t>BLUM Plate Holder</t>
  </si>
  <si>
    <t>Low stock. Price per pc, not per set</t>
  </si>
  <si>
    <t>Lunch Pull Out Drawer Table 900x895</t>
  </si>
  <si>
    <t>Party Mensola Pull Out Drawer Table 900x1540</t>
  </si>
  <si>
    <t>Snack Sliding Worktop 800x2000</t>
  </si>
  <si>
    <t>T-Able Pull Out Table with Single Telescopic 600x1168</t>
  </si>
  <si>
    <t>T-Able Pull Out Table with Single Telescopic 900x1168</t>
  </si>
  <si>
    <t>Evolution Pull Out Table 900x1552</t>
  </si>
  <si>
    <t>Cooker Hoods</t>
  </si>
  <si>
    <t>AGORA 100mm (Unfinished) Beam Kit Finished</t>
  </si>
  <si>
    <t>INKA LUX EVO Stainless Steel 290x450x580</t>
  </si>
  <si>
    <t>INKA PLUS HC Stainless Steel 230x350x570</t>
  </si>
  <si>
    <t>Table Support</t>
  </si>
  <si>
    <t>Breakfast Table Support h.220 &lt;60°</t>
  </si>
  <si>
    <t>Table Leg DIA.80mm Adj 25mm Complete Top Fixing Satin - GIEFFE.130</t>
  </si>
  <si>
    <t>Leg for Breakfast Table 710/760</t>
  </si>
  <si>
    <t>THICKNESS (mm)</t>
  </si>
  <si>
    <t>DEPTH (mm)</t>
  </si>
  <si>
    <t>Solid Surface</t>
  </si>
  <si>
    <t>Worktop</t>
  </si>
  <si>
    <t>Island Top</t>
  </si>
  <si>
    <t>Island Side Panel</t>
  </si>
  <si>
    <t>Island Side Panel H.90 W.60cm</t>
  </si>
  <si>
    <t>Island Side Panel H.90 W.80cm</t>
  </si>
  <si>
    <t>Island Side Panel H.90 W.90cm</t>
  </si>
  <si>
    <t>Island Side Panel H.90 W.100cm</t>
  </si>
  <si>
    <t>Island Side Panel H.90 W.120cm</t>
  </si>
  <si>
    <t>Wall Cover</t>
  </si>
  <si>
    <t>Handles</t>
  </si>
  <si>
    <t>Integrated Handles</t>
  </si>
  <si>
    <t>Horizontal (drawer) or vertical (wardrobe door)</t>
  </si>
  <si>
    <t>Horizontal (drawer) or vertical (wardrobe door full height)</t>
  </si>
  <si>
    <t>Handle POKER Cap</t>
  </si>
  <si>
    <t>Price per cap</t>
  </si>
  <si>
    <t>Classic Handles</t>
  </si>
  <si>
    <t>Handle Qinggula Knob Antique-Retro Zinc Z4S2-273 Green Bronze</t>
  </si>
  <si>
    <t>Handle Knob Antique Bronze Ceramic 74mm HWR-HDLLZ4S2-275</t>
  </si>
  <si>
    <t>Handle Knob Antique Bronze Ceramic Zinc Alloy HWR-HDL-1813-00-96 BRZ</t>
  </si>
  <si>
    <t>Handle American Style Black Knobs-8831C-96</t>
  </si>
  <si>
    <t>Handle American Style Black Knobs-8831C</t>
  </si>
  <si>
    <t>Handle Knob M Matt Silver 29x105mm</t>
  </si>
  <si>
    <t>Handle Knob S Matt Silver 30x32mm</t>
  </si>
  <si>
    <t>Handle Pastoral Style Ceramic 1827-128mm</t>
  </si>
  <si>
    <t>Antique Silver 09 - Citterio Line 1022.09</t>
  </si>
  <si>
    <t>Antique French Bronze 24 - Citterio Line 1022.24</t>
  </si>
  <si>
    <t>Antique French Bronze 24 Knob - Citterio Line 2024.24</t>
  </si>
  <si>
    <t>Brown Flower Oval - Citterio Line 2028</t>
  </si>
  <si>
    <t>Includes screws 25mm</t>
  </si>
  <si>
    <t>Gold and White oro 26102 - Citteriogiulio 10821</t>
  </si>
  <si>
    <t>Other Handles</t>
  </si>
  <si>
    <t>Handle Fin Antique Bronze 20 192mm Gold - Citteriogiulio 8 1005A</t>
  </si>
  <si>
    <t>Handle Fin Nickel Matt 35 128mm - Citteriogiulio 8 1044</t>
  </si>
  <si>
    <t>Handle Fin Nickel Matt 35 192mm - Citteriogiulio 8 1044</t>
  </si>
  <si>
    <t>Handle Fin Chrome Opaco 4330 192mm Silver - Citteriogiulio 8 1005A</t>
  </si>
  <si>
    <t>Handle Fin Antico Gold 09039903 192mm - Citteriogiulio 8 1005A</t>
  </si>
  <si>
    <t>Handle Fin Matt Nickel 30 384mm - Citteriogiulio 8 1048</t>
  </si>
  <si>
    <t>Handle Fin Nickel Matt 35 16mm - Citteriogiulio 9 1336 0016</t>
  </si>
  <si>
    <t>Handle Fin 17 Antique Silver 80x16 - Citteriogiulio 9.1355</t>
  </si>
  <si>
    <t>Handle Chrome 34CH</t>
  </si>
  <si>
    <t>Handle Fin Matt Chrome 31 160mm - Citterio Line 363B</t>
  </si>
  <si>
    <t>Discontinue</t>
  </si>
  <si>
    <t>Handle Fin 37.15S-cosma-2831200</t>
  </si>
  <si>
    <t>Low stock</t>
  </si>
  <si>
    <t>Handle Fin Cromo Opaco 31 192mm - Citterio Line 315A</t>
  </si>
  <si>
    <t>Handle Fin Chrome Opaco 31 192mm - Citterio Line 338A</t>
  </si>
  <si>
    <t>Handle Fin Chromo Lucido 10 160mm - Citterio Line 347B</t>
  </si>
  <si>
    <t>Handle Fin Matt Chrome 31 160mm - Citterio Line 348A</t>
  </si>
  <si>
    <t>Handle SunChain A358-224.PC28 (Italy + Local 8+23)</t>
  </si>
  <si>
    <t>Handle Fin Highgloss Chrome - Citterio Line 377C</t>
  </si>
  <si>
    <t>Handle Fin LEAD COD.75 - Citterio Line 383A</t>
  </si>
  <si>
    <t>Handle Fin Nickel Satined COD.11 320mm - Citterio Line 392A</t>
  </si>
  <si>
    <t>Handle Fin Nickel Satined COD.11 192mm - Citterio Line 392B</t>
  </si>
  <si>
    <t>Handle Fin 33 Matt Nickel - Citterio Line 411</t>
  </si>
  <si>
    <t>Handle Fin Chrome - Cosmov 624 C 010</t>
  </si>
  <si>
    <t>Handle Fin Matt Chrome - Cosmov 634 F 011</t>
  </si>
  <si>
    <t>Handle Fin Matt Nickel 30 160mm - Citteriogiulio 8 1012B</t>
  </si>
  <si>
    <t>Handle Fin Chrome 128mm - Cosmov 1388 120 010</t>
  </si>
  <si>
    <t>Handle Fin Chrome 160mm - Cosmov 1428 160 010</t>
  </si>
  <si>
    <t>Handle Fin Satin Nickel 11 dia.80mm - Citterio Line 2052</t>
  </si>
  <si>
    <t>Handle Fin Satin Nickel 11 dia.50mm - Citterio Line 2052</t>
  </si>
  <si>
    <t>Handle ZAMA Lucid Chrome Inside - Cosma 12489.G260</t>
  </si>
  <si>
    <t>Handle ZAMA Lucid Chrome - Cosma 12495.S260</t>
  </si>
  <si>
    <t>Handle Cosma Square COS.12635.S260</t>
  </si>
  <si>
    <t>Handle Satinated Nickel 16 - Cosma 12660 G</t>
  </si>
  <si>
    <t>Handle Fin 50S - Cosma 12791.D50S</t>
  </si>
  <si>
    <t>Handle Fin 37D - Cosma 12791.D16S</t>
  </si>
  <si>
    <t>Handle Knob Classic Ceramic White - Cosma COS.23960.B260</t>
  </si>
  <si>
    <t>Handle 1103.5mm Inox Satinato Fin 37D - Cosma 5831103.37D.23D.1</t>
  </si>
  <si>
    <t>Handle Fin Chrome Matt 45 320mm - Citteriogiulio 8 1032</t>
  </si>
  <si>
    <t>Handle Fin Polished Chrome 40 240mm - Citteriogiulio 8 1043A</t>
  </si>
  <si>
    <t>Handle Fin Nickel Matt 35 224mm - Citteriogiulio 8 1085</t>
  </si>
  <si>
    <t>Handle Fin Polished Chrome 40 192mm - Citteriogiulio 8 1115</t>
  </si>
  <si>
    <t>Handle Cosma Knob (anting) COS.123810.260</t>
  </si>
  <si>
    <t>Handle SunChain A429-224.DC.28</t>
  </si>
  <si>
    <t>Handle SunChain A242-064.SL28</t>
  </si>
  <si>
    <t>Handle SunChain A494-192.PC.28</t>
  </si>
  <si>
    <t>Handle L 297mm - SunChain B946-297.NA.28</t>
  </si>
  <si>
    <t>Handle Fin Titanium 69 1182mm - Citterio Line 358</t>
  </si>
  <si>
    <t>Handle Fin Titanium 69 0582mm - Citterio Line 358</t>
  </si>
  <si>
    <t>Handle Fin Titanium 69 0282mm - Citterio Line 358</t>
  </si>
  <si>
    <t>Handle Fin Chrome Lucido 10 32mm - Citterio Line 309</t>
  </si>
  <si>
    <t>Handle Fin Satin Nickel 11 32mm - Citterio Line 352</t>
  </si>
  <si>
    <t>Handle Fin Highgloss Chrome - Citterio Line 379</t>
  </si>
  <si>
    <t>Handle Fin Satin Nickel 11-4F 256mm - Citterio Line 350</t>
  </si>
  <si>
    <t>Handle Brown Leather Brushed Satin Nickel Anting - Shanghai Tong Lee DJM H918</t>
  </si>
  <si>
    <t>Handle Brown Leather Brushed Satin Nickel Square - Shanghai Tong Lee F226</t>
  </si>
  <si>
    <t>Handle Imango KLS74 L44mm Black</t>
  </si>
  <si>
    <t>Handle Imango KLS74 L44mm Grey</t>
  </si>
  <si>
    <t>Handle Imango KLS74 L179mm Black</t>
  </si>
  <si>
    <t>Handle Imango KLS74 L179mm Grey</t>
  </si>
  <si>
    <t>Handle Confalonieri MB0082600NS1</t>
  </si>
  <si>
    <t>Handle (setengah) Confalonieri MB00874/A0OCL1</t>
  </si>
  <si>
    <t>Handle Confalonieri MB09008AP1</t>
  </si>
  <si>
    <t>Handle Center Distance 32mm Fin Satin Nickel - Confalonieri MB09131</t>
  </si>
  <si>
    <t>Handle Highgloss Chromed Plate PAMAR MN713Z120G104</t>
  </si>
  <si>
    <t>Handle Knob Classic White Small (P26N F 40)</t>
  </si>
  <si>
    <t>Handle Shanghai Tong Lee ST201 400mm</t>
  </si>
  <si>
    <t>Handle Shanghai Tong Lee ST201 500mm</t>
  </si>
  <si>
    <t>Handle Shanghai Tong Lee ST201 700mm</t>
  </si>
  <si>
    <t>Handle Tona Brass Knob Besar TN2328.35</t>
  </si>
  <si>
    <t>Handle Cosma U3880800.260.100</t>
  </si>
  <si>
    <t>Handle Cosma U3880640.260.70</t>
  </si>
  <si>
    <t>Handle Cosma U3880480.260.50</t>
  </si>
  <si>
    <t>Handle Cosma U3880320.260.35A</t>
  </si>
  <si>
    <t>Handle Kuku Macan - 180mm</t>
  </si>
  <si>
    <t>Handle Kuku Macan - 260mm</t>
  </si>
  <si>
    <t>Handle Kuku Macan - 410mm</t>
  </si>
  <si>
    <t>Handle Kuku Macan - 560mm</t>
  </si>
  <si>
    <t>Handle Kuku Macan - 860mm</t>
  </si>
  <si>
    <t>Handle Kuku Macan - 1160mm</t>
  </si>
  <si>
    <t>Handle Kuku Macan - 3000mm</t>
  </si>
  <si>
    <t>Handle L - 120mm</t>
  </si>
  <si>
    <t>Handle L - 240mm</t>
  </si>
  <si>
    <t>Handle L - 360mm</t>
  </si>
  <si>
    <t>Handle L - 480mm</t>
  </si>
  <si>
    <t>Handle L - 600mm</t>
  </si>
  <si>
    <t>Handle L - 3000mm</t>
  </si>
  <si>
    <t>Handle SEGI TIGA - 420mm</t>
  </si>
  <si>
    <t>Handle SEGI TIGA - 540mm</t>
  </si>
  <si>
    <t>Handle SEGI TIGA - 900mm</t>
  </si>
  <si>
    <t>Handle SEGI TIGA - 1100mm</t>
  </si>
  <si>
    <t>Handle SEGI TIGA - 3000mm</t>
  </si>
  <si>
    <t>Handle GRIP - 903mm</t>
  </si>
  <si>
    <t>Handle GRIP - 824mm</t>
  </si>
  <si>
    <t>Handle GRIP - 764mm</t>
  </si>
  <si>
    <t>Handle GRIP - 703mm</t>
  </si>
  <si>
    <t>Handle GRIP - 3000mm</t>
  </si>
  <si>
    <t>Handle GOLA horizontal - 477mm</t>
  </si>
  <si>
    <t>Handle GOLA horizontal - 597mm</t>
  </si>
  <si>
    <t>Handle GOLA horizontal - 957mm</t>
  </si>
  <si>
    <t>Handle GOLA horizontal - 3000mm</t>
  </si>
  <si>
    <t>Handle POKER - 477mm</t>
  </si>
  <si>
    <t>Handle POKER - 597mm</t>
  </si>
  <si>
    <t>Handle POKER - 957mm</t>
  </si>
  <si>
    <t>Handle POKER - 3000mm</t>
  </si>
  <si>
    <t>Price List Conversion — Validation Report</t>
  </si>
  <si>
    <t>Flat file: Accessories PL SM v26.06.02.xlsx  vs  ORI: Accessories PL SM JUN 2026 (ORI).xlsx</t>
  </si>
  <si>
    <t>SUMMARY BY SHEET</t>
  </si>
  <si>
    <t>Sheet</t>
  </si>
  <si>
    <t>ORI products</t>
  </si>
  <si>
    <t>Expected rows</t>
  </si>
  <si>
    <t>Flat rows</t>
  </si>
  <si>
    <t>Price mismatch</t>
  </si>
  <si>
    <t>Missing</t>
  </si>
  <si>
    <t>Extra</t>
  </si>
  <si>
    <t>Note flags</t>
  </si>
  <si>
    <t>Status</t>
  </si>
  <si>
    <t>LIGHTING — DETAILS</t>
  </si>
  <si>
    <t>#</t>
  </si>
  <si>
    <t>Type</t>
  </si>
  <si>
    <t>Location</t>
  </si>
  <si>
    <t>Finding</t>
  </si>
  <si>
    <t>ORI reference</t>
  </si>
  <si>
    <t>LIGHTING!B11 / D11 = 352000</t>
  </si>
  <si>
    <t>Flat G2 (+ all LED Stripe rows)</t>
  </si>
  <si>
    <t>LIGHTING!A4</t>
  </si>
  <si>
    <t>LED Stripe One Direction</t>
  </si>
  <si>
    <t>FIXED</t>
  </si>
  <si>
    <t>SOLID SURFACE — DETAILS</t>
  </si>
  <si>
    <t>Flat E4:E6 (Worktop D.65/70/75)</t>
  </si>
  <si>
    <t>SOLIDSURFACE!E6:E8 = 600</t>
  </si>
  <si>
    <t>Flat I17, I20</t>
  </si>
  <si>
    <t>SOLIDSURFACE!B21, C22</t>
  </si>
  <si>
    <t>NOTE — minor gap</t>
  </si>
  <si>
    <t>Flat I18 (blank)</t>
  </si>
  <si>
    <t>SOLIDSURFACE!C23</t>
  </si>
  <si>
    <t>Wardrobe Acc</t>
  </si>
  <si>
    <t>OK*</t>
  </si>
  <si>
    <t>WARDROBE ACC — DETAILS</t>
  </si>
  <si>
    <t>CLEAN — prices</t>
  </si>
  <si>
    <t>Flat D2:D140</t>
  </si>
  <si>
    <t>ACC WD!A1:D161</t>
  </si>
  <si>
    <t>Flat NOTES (multiple rows)</t>
  </si>
  <si>
    <t>Kitchen Acc</t>
  </si>
  <si>
    <t>Mirror LED</t>
  </si>
  <si>
    <t>TOTAL</t>
  </si>
  <si>
    <t>MISSING PRODUCT → FIXED</t>
  </si>
  <si>
    <t>Flat row 6 (added)</t>
  </si>
  <si>
    <t>ORI item "LED Stripe One Direction" @ 352,000/meter was absent from flat. RESOLVED — inserted flat row 6 (LED Stripe, meter, 352000, ACTIVE=YES).</t>
  </si>
  <si>
    <t>NOTE — global paraphrased</t>
  </si>
  <si>
    <t>ORI sheet-wide LED annotation applied to ALL LED Stripe items; flat kept a paraphrase on first row only. Verbatim ORI: "each type of LED Stripe includes ribbon, and needs a driver (trafo). each LED Stripe meter = 10 watt"</t>
  </si>
  <si>
    <t>Flat NOTES / UNIT (downlights, switches)</t>
  </si>
  <si>
    <t>LIGHTING rows ~22-32</t>
  </si>
  <si>
    <t>ORI side-panel desc "H.90 CM" not carried to flat note (blank). Low impact — H.90 already in flat DESCRIPTION.</t>
  </si>
  <si>
    <t>All 139 products reconcile in exact sequence (137 priced + 2 'Coming soon' = Hawa 3.0 Single/Double doors). No missing, extra, or price mismatch. All 18 ORI free-text note sources carried to flat NOTES.</t>
  </si>
  <si>
    <t>ACC WD B156, B157, C112, C114</t>
  </si>
  <si>
    <t>KITCHEN ACC — DETAILS</t>
  </si>
  <si>
    <t>Flat rows 36,39,58,59,91-108,113 (NOTES blank)</t>
  </si>
  <si>
    <t>ACC KIT!A5 + col C stock counts</t>
  </si>
  <si>
    <t>Flat NOTES (e.g. row 83 BLUM)</t>
  </si>
  <si>
    <t>ACC KIT B96 etc.</t>
  </si>
  <si>
    <t>HANDLES — DETAILS</t>
  </si>
  <si>
    <t>Flat G66 &amp; G95 (ACTIVE=YES)</t>
  </si>
  <si>
    <t>Handles!B73, B102 ("-discontinue")</t>
  </si>
  <si>
    <t>CLEAN — prices/codes/lengths</t>
  </si>
  <si>
    <t>All 131 items match on price in exact sequence (32 integrated matrix rows un-pivoted by LENGTH + 23 classic + 76 other). Integrated CODE (Kode) and LENGTH captured. Low-stock tags carried per item. Indonesian notes translated (content preserved).</t>
  </si>
  <si>
    <t>Handles!A1:D139</t>
  </si>
  <si>
    <t>MIRROR LED — DETAILS</t>
  </si>
  <si>
    <t>Flat NOTES (all 15 rows)</t>
  </si>
  <si>
    <t>Mirror with LED!A3, A4</t>
  </si>
  <si>
    <t>Mirror with LED!A6:B26</t>
  </si>
  <si>
    <t>LEGEND / NOTES</t>
  </si>
  <si>
    <t>Status: FIXED = discrepancy corrected in flat file. OK* = clean on price/coverage, minor translation flag only. REVIEW = items need your sign-off before I apply (red rows below).</t>
  </si>
  <si>
    <t>ORI sheet "FLUTE GLASS OPTIONS GALLERY" has no flat price-list counterpart (it is a reference gallery, not a price list) — nothing to reconcile.</t>
  </si>
  <si>
    <t>NO</t>
  </si>
  <si>
    <t>NOTE — global dropped → FIXED</t>
  </si>
  <si>
    <t>RESOLVED — added "Check stock before ordering (limited stock)" to the 23 limited-stock rows (flat 36,39,58,59,91-109; note appended after existing text on 108/109). Verbatim ORI: "beberapa item stock tercantum...special item / stock tipis...mohon CHECK STOCK dahulu...untuk yang tidak tercantum artinya running stock".</t>
  </si>
  <si>
    <t>ACTIVE — discontinued → FIXED</t>
  </si>
  <si>
    <t>RESOLVED — set ACTIVE=NO on flat G66 (Citterio Line 363B) and G95 (Citteriogiulio 8 1043A); both were still YES despite NOTES="Discontinue" and ORI "-discontinue".</t>
  </si>
  <si>
    <t>RESOLVED — appended global inclusions/shape note to all 15 flat rows (after existing per-category terms): "Includes mirror, LED &amp; trafo (by vendor) + 18mm panel backing (by Stella). Rectangular only; custom/circular on request with drawing." Verbatim ORI: "Include mirror, led, and trafo by vendor; and 18mm panel backing by Stella" / "Only rectangular shape. Custom &amp; circular shapes possible with custom price, request with drawing first."</t>
  </si>
  <si>
    <t>All 3 REVIEW items have now been applied: (1) Kitchen — check-stock note added to 23 limited-stock rows; (2) Handles — ACTIVE=NO set on the 2 discontinued items (G66, G95); (3) Mirror LED — global inclusions/shape note appended to all 15 rows.</t>
  </si>
  <si>
    <t>No trafo needed. Check stock (tidak perlu pakai Trafo; check stock)</t>
  </si>
  <si>
    <t>Frame color subject to supplier stock. Min panel thickness 22mm. Order basis (warna frame tergantung stock supplier; beli sesuai order)</t>
  </si>
  <si>
    <t>1 trafo for 2 Hafele downlights. Order basis (1 trafo bisa untuk 2 Hafele downlight; beli sesuai order)</t>
  </si>
  <si>
    <t>Clearing stock — check availability before ordering (sifatnya habiskan stock, sebelum beli tanya dulu)</t>
  </si>
  <si>
    <t>HANSTAR. Attach to side panel. Dark Grey only. Cannot be corner (tidak bisa corner)</t>
  </si>
  <si>
    <t>Bar 1300mm (bar-nya 1300mm)</t>
  </si>
  <si>
    <t>Max 4 drawers. Price as of July 2025 (hrg Juli 2025)</t>
  </si>
  <si>
    <t>Panel door 18mm only (hanya untuk panel pintu 18mm)</t>
  </si>
  <si>
    <t>Shelf must not touch back panel — leave gap for ventilation (Bila dipasang, maka shelf tidak boleh nempel back panel. harus ada jeda untuk penghawaan)</t>
  </si>
  <si>
    <t>Check stock before ordering (limited stock) (special item / stock tipis, mohon CHECK STOCK dahulu)</t>
  </si>
  <si>
    <t>With suction. Check stock before ordering (limited stock) (special item / stock tipis, mohon CHECK STOCK dahulu)</t>
  </si>
  <si>
    <t>Clearing stock — chrome variant (sisa yang chrome)</t>
  </si>
  <si>
    <t>Horizontal (drawer) or vertical (wardrobe door full height). Not for BU Swing Kitchen (tidak bisa untuk BU Swing Kitchen)</t>
  </si>
  <si>
    <t>Vertical for wardrobe door, can be full height. Needs cap at end (bisa full height, perlu cap di ujung)</t>
  </si>
  <si>
    <t>Knob: dia 30mm. Wing: 70mm long, 25mm wide (Wing: panjang 70 mm, lebar 25 mm)</t>
  </si>
  <si>
    <t>Both sides faced 4cm (2 sisi dilapis 4cm)</t>
  </si>
  <si>
    <t>For internal island panels, use Wall Cover pricing (untuk penambahan panel Monteli dibawah top atau disisi dalam island dapat dihitung dgn memakai harga Wall Cover)</t>
  </si>
  <si>
    <t>Min. 60 cm, R-5cm curve, Max. 180×240 cm, MX = no back cover. Includes mirror, LED &amp; trafo (by vendor) + 18mm panel backing (by Stella). Rectangular only; custom/circular on request with drawing. (minimal ukuran 60 cm; bentuk lengkungan R-5cm apabila ada; maksimal 180x240 cm; MX artinya tidak pakai penutup belakang)</t>
  </si>
  <si>
    <t>Min. 50 cm, R-5cm curve, Max. 100×200 cm. Includes mirror, LED &amp; trafo (by vendor) + 18mm panel backing (by Stella). Rectangular only; custom/circular on request with drawing. (minimal ukuran 50 cm; bentuk lengkungan R-5cm apabila ada; maksimal 100x200 cm)</t>
  </si>
  <si>
    <t>Frame Non LED / LED 3 Color Silver / LED 3 Color Brown. Min. 50 cm, R-5cm curve, Max. 100×200 cm. Includes mirror, LED &amp; trafo (by vendor) + 18mm panel backing (by Stella). Rectangular only; custom/circular on request with drawing. (minimal ukuran 50 cm; bentuk lengkungan R-5cm apabila ada; maksimal 100x200 cm)</t>
  </si>
  <si>
    <t>OK</t>
  </si>
  <si>
    <t>DIMENSION — depth (resolved)</t>
  </si>
  <si>
    <t>RESOLVED — flat DEPTH 650/700/750 is CORRECT. The ORI's D column was left at 600 for the 65/70/75cm worktops (data-entry shortcut); the true depth is in the ORI item name ("Depth. 75 CM"). Prices match exactly. No change needed; flat is more accurate than ORI here.</t>
  </si>
  <si>
    <t>NOTE — Indonesian restored</t>
  </si>
  <si>
    <t>Verbatim ORI Indonesian appended after the English. I17: "...(2 sisi dilapis 4cm)". I20: "...(untuk penambahan panel Monteli dibawah top atau disisi dalam island dapat dihitung dgn memakai harga Wall Cover)".</t>
  </si>
  <si>
    <t>RESOLVED — verbatim ORI Indonesian appended to Lighting notes (Elfo LED rows: "tidak perlu pakai Trafo; check stock"; Hafele: "warna frame tergantung stock supplier; beli sesuai order"; Other Switches: "sifatnya habiskan stock, sebelum beli tanya dulu").</t>
  </si>
  <si>
    <t>RESOLVED — verbatim ORI Indonesian appended (Dehumidifier: "Bila dipasang, maka shelf tidak boleh nempel back panel. harus ada jeda untuk penghawaan"; Espagnolette "bar-nya 1300mm"; Central Lock "hrg Juli 2025"; Digital Lock "hanya untuk panel pintu 18mm"; Dark Grey hanger "tidak bisa corner").</t>
  </si>
  <si>
    <t>RESOLVED — verbatim Indonesian appended. Global check-stock: "(special item / stock tipis, mohon CHECK STOCK dahulu)" on 23 rows; anthracite Plate Rack: "(sisa yang chrome)". BLUM note was English in ORI (no change).</t>
  </si>
  <si>
    <t>Handles H20:H24, H29:H32, H46:H47</t>
  </si>
  <si>
    <t>RESOLVED — verbatim ORI Indonesian appended: GRIP "(tidak bisa untuk BU Swing Kitchen)"; POKER "(bisa full height, perlu cap di ujung)"; Neo Silver/Brass "(Wing: panjang 70 mm, lebar 25 mm)".</t>
  </si>
  <si>
    <t>Handles!B23, B32, B52, B53</t>
  </si>
  <si>
    <t>Translation flag RESOLVED: at your request, the English notes were kept and the verbatim ORI Indonesian appended in parentheses after each. Applied across Lighting, Wardrobe, Kitchen, Handles, Solid Surface, and Mirror LED. Mirror LED category names were already kept in Indonesian (Cermin ...).</t>
  </si>
  <si>
    <t>All 15 items match on price in exact sequence. Per-category Ketentuan (terms) blocks correctly attached. Verbatim ORI Indonesian appended: "(minimal ukuran 60/50 cm; bentuk lengkungan R-5cm apabila ada; maksimal ...; MX artinya tidak pakai penutup belakang)".</t>
  </si>
  <si>
    <t>lm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</si>
</sst>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b/>
      <sz val="10"/>
      <color rgb="FFFFFFFF"/>
      <name val="Arial"/>
      <family val="2"/>
      <scheme val="minor"/>
    </font>
    <font>
      <sz val="10"/>
      <color rgb="FF000000"/>
      <name val="Arial"/>
      <family val="2"/>
      <scheme val="minor"/>
    </font>
    <font>
      <b/>
      <sz val="10"/>
      <color rgb="FF000000"/>
      <name val="Arial"/>
      <scheme val="minor"/>
    </font>
    <font>
      <b/>
      <sz val="10"/>
      <color rgb="FFBF8F00"/>
      <name val="Arial"/>
      <scheme val="minor"/>
    </font>
    <font>
      <b/>
      <sz val="14"/>
      <color rgb="FF000000"/>
      <name val="Calibri"/>
    </font>
    <font>
      <sz val="10"/>
      <color rgb="FF000000"/>
      <name val="Calibri"/>
    </font>
    <font>
      <i/>
      <sz val="10"/>
      <color rgb="FF666666"/>
      <name val="Calibri"/>
    </font>
    <font>
      <b/>
      <sz val="10"/>
      <color rgb="FF008000"/>
      <name val="Arial"/>
      <scheme val="minor"/>
    </font>
    <font>
      <b/>
      <sz val="12"/>
      <color rgb="FFFFFFFF"/>
      <name val="Arial"/>
      <scheme val="minor"/>
    </font>
  </fonts>
  <fills count="6">
    <fill>
      <patternFill patternType="none"/>
    </fill>
    <fill>
      <patternFill patternType="gray125"/>
    </fill>
    <fill>
      <patternFill patternType="solid">
        <fgColor rgb="FF1F4E78"/>
        <bgColor indexed="64"/>
      </patternFill>
    </fill>
    <fill>
      <patternFill patternType="solid">
        <fgColor rgb="FFD9E7FD"/>
        <bgColor indexed="64"/>
      </patternFill>
    </fill>
    <fill>
      <patternFill patternType="solid">
        <fgColor rgb="FFD9E1F2"/>
        <bgColor indexed="64"/>
      </patternFill>
    </fill>
    <fill>
      <patternFill patternType="solid">
        <fgColor rgb="FF4472C4"/>
        <bgColor indexed="64"/>
      </patternFill>
    </fill>
  </fills>
  <borders count="2">
    <border>
      <left/>
      <right/>
      <top/>
      <bottom/>
      <diagonal/>
    </border>
    <border>
      <left style="thin">
        <color rgb="FF8CB5F9"/>
      </left>
      <right style="thin">
        <color rgb="FF8CB5F9"/>
      </right>
      <top style="thin">
        <color rgb="FF8CB5F9"/>
      </top>
      <bottom style="thin">
        <color rgb="FF8CB5F9"/>
      </bottom>
      <diagonal/>
    </border>
  </borders>
  <cellStyleXfs count="1">
    <xf numFmtId="0" fontId="0" fillId="0" borderId="0"/>
  </cellStyleXfs>
  <cellXfs count="15">
    <xf numFmtId="0" fontId="0" fillId="0" borderId="0" xfId="0"/>
    <xf numFmtId="3" fontId="0" fillId="0" borderId="0" xfId="0" applyNumberFormat="1"/>
    <xf numFmtId="0" fontId="1" fillId="2" borderId="1" xfId="0" applyFont="1" applyFill="1" applyBorder="1" applyAlignment="1">
      <alignment horizontal="center"/>
    </xf>
    <xf numFmtId="0" fontId="2" fillId="3" borderId="1" xfId="0" applyFont="1" applyFill="1" applyBorder="1"/>
    <xf numFmtId="3" fontId="2" fillId="3" borderId="1" xfId="0" applyNumberFormat="1" applyFont="1" applyFill="1" applyBorder="1"/>
    <xf numFmtId="0" fontId="2" fillId="0" borderId="1" xfId="0" applyFont="1" applyBorder="1"/>
    <xf numFmtId="3" fontId="2" fillId="0" borderId="1" xfId="0" applyNumberFormat="1" applyFont="1" applyBorder="1"/>
    <xf numFmtId="0" fontId="3" fillId="0" borderId="0" xfId="0" applyFont="1"/>
    <xf numFmtId="0" fontId="3" fillId="4" borderId="0" xfId="0" applyFont="1" applyFill="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5"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84"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82F24CE-13CD-4A9F-B2CA-D87D9772CDBF}">
  <we:reference id="wa200010725" version="1.0.0.1" store="en-US" storeType="OMEX"/>
  <we:alternateReferences>
    <we:reference id="WA200010725" version="1.0.0.1" store="" storeType="OMEX"/>
  </we:alternateReferences>
  <we:properties>
    <we:property name="claude.fileId" value="&quot;8138e73b-e394-455d-8aa3-45bea9d3dbf2&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729CD-949B-49F6-AADD-D0FC13C571D4}">
  <dimension ref="A1:I50"/>
  <sheetViews>
    <sheetView workbookViewId="0"/>
  </sheetViews>
  <sheetFormatPr defaultRowHeight="12.75" x14ac:dyDescent="0.2"/>
  <cols>
    <col min="1" max="1" width="29.28515625" customWidth="1"/>
    <col min="2" max="2" width="37.28515625" customWidth="1"/>
    <col min="3" max="3" width="34.7109375" customWidth="1"/>
    <col min="4" max="4" width="93.28515625" customWidth="1"/>
    <col min="5" max="5" width="34.7109375" customWidth="1"/>
    <col min="6" max="7" width="13.28515625" customWidth="1"/>
    <col min="8" max="8" width="14.7109375" customWidth="1"/>
    <col min="9" max="9" width="16" customWidth="1"/>
  </cols>
  <sheetData>
    <row r="1" spans="1:9" ht="20.100000000000001" customHeight="1" x14ac:dyDescent="0.3">
      <c r="A1" s="10" t="s">
        <v>571</v>
      </c>
      <c r="B1" s="11"/>
      <c r="C1" s="11"/>
      <c r="D1" s="11"/>
      <c r="E1" s="11"/>
      <c r="F1" s="11"/>
      <c r="G1" s="11"/>
      <c r="H1" s="11"/>
      <c r="I1" s="11"/>
    </row>
    <row r="2" spans="1:9" x14ac:dyDescent="0.2">
      <c r="A2" s="12" t="s">
        <v>572</v>
      </c>
      <c r="B2" s="11"/>
      <c r="C2" s="11"/>
      <c r="D2" s="11"/>
      <c r="E2" s="11"/>
      <c r="F2" s="11"/>
      <c r="G2" s="11"/>
      <c r="H2" s="11"/>
      <c r="I2" s="11"/>
    </row>
    <row r="3" spans="1:9" x14ac:dyDescent="0.2">
      <c r="A3" s="11"/>
      <c r="B3" s="11"/>
      <c r="C3" s="11"/>
      <c r="D3" s="11"/>
      <c r="E3" s="11"/>
      <c r="F3" s="11"/>
      <c r="G3" s="11"/>
      <c r="H3" s="11"/>
      <c r="I3" s="11"/>
    </row>
    <row r="4" spans="1:9" ht="15.75" x14ac:dyDescent="0.25">
      <c r="A4" s="14" t="s">
        <v>573</v>
      </c>
    </row>
    <row r="5" spans="1:9" x14ac:dyDescent="0.2">
      <c r="A5" s="8" t="s">
        <v>574</v>
      </c>
      <c r="B5" s="8" t="s">
        <v>575</v>
      </c>
      <c r="C5" s="8" t="s">
        <v>576</v>
      </c>
      <c r="D5" s="8" t="s">
        <v>577</v>
      </c>
      <c r="E5" s="8" t="s">
        <v>578</v>
      </c>
      <c r="F5" s="8" t="s">
        <v>579</v>
      </c>
      <c r="G5" s="8" t="s">
        <v>580</v>
      </c>
      <c r="H5" s="8" t="s">
        <v>581</v>
      </c>
      <c r="I5" s="8" t="s">
        <v>582</v>
      </c>
    </row>
    <row r="6" spans="1:9" x14ac:dyDescent="0.2">
      <c r="A6" t="s">
        <v>317</v>
      </c>
      <c r="B6">
        <v>24</v>
      </c>
      <c r="C6">
        <v>24</v>
      </c>
      <c r="D6">
        <v>24</v>
      </c>
      <c r="E6">
        <v>0</v>
      </c>
      <c r="F6">
        <v>0</v>
      </c>
      <c r="G6">
        <v>0</v>
      </c>
      <c r="H6">
        <v>3</v>
      </c>
      <c r="I6" s="13" t="s">
        <v>593</v>
      </c>
    </row>
    <row r="7" spans="1:9" x14ac:dyDescent="0.2">
      <c r="A7" t="s">
        <v>434</v>
      </c>
      <c r="B7">
        <v>27</v>
      </c>
      <c r="C7">
        <v>27</v>
      </c>
      <c r="D7">
        <v>27</v>
      </c>
      <c r="E7">
        <v>0</v>
      </c>
      <c r="F7">
        <v>0</v>
      </c>
      <c r="G7">
        <v>0</v>
      </c>
      <c r="H7">
        <v>3</v>
      </c>
      <c r="I7" s="13" t="s">
        <v>667</v>
      </c>
    </row>
    <row r="8" spans="1:9" x14ac:dyDescent="0.2">
      <c r="A8" t="s">
        <v>602</v>
      </c>
      <c r="B8">
        <v>139</v>
      </c>
      <c r="C8">
        <v>139</v>
      </c>
      <c r="D8">
        <v>139</v>
      </c>
      <c r="E8">
        <v>0</v>
      </c>
      <c r="F8">
        <v>0</v>
      </c>
      <c r="G8">
        <v>0</v>
      </c>
      <c r="H8">
        <v>1</v>
      </c>
      <c r="I8" s="13" t="s">
        <v>603</v>
      </c>
    </row>
    <row r="9" spans="1:9" x14ac:dyDescent="0.2">
      <c r="A9" t="s">
        <v>609</v>
      </c>
      <c r="B9">
        <v>117</v>
      </c>
      <c r="C9">
        <v>117</v>
      </c>
      <c r="D9">
        <v>117</v>
      </c>
      <c r="E9">
        <v>0</v>
      </c>
      <c r="F9">
        <v>0</v>
      </c>
      <c r="G9">
        <v>0</v>
      </c>
      <c r="H9">
        <v>2</v>
      </c>
      <c r="I9" s="13" t="s">
        <v>593</v>
      </c>
    </row>
    <row r="10" spans="1:9" x14ac:dyDescent="0.2">
      <c r="A10" t="s">
        <v>444</v>
      </c>
      <c r="B10">
        <v>131</v>
      </c>
      <c r="C10">
        <v>131</v>
      </c>
      <c r="D10">
        <v>131</v>
      </c>
      <c r="E10">
        <v>0</v>
      </c>
      <c r="F10">
        <v>0</v>
      </c>
      <c r="G10">
        <v>0</v>
      </c>
      <c r="H10">
        <v>2</v>
      </c>
      <c r="I10" s="13" t="s">
        <v>593</v>
      </c>
    </row>
    <row r="11" spans="1:9" x14ac:dyDescent="0.2">
      <c r="A11" t="s">
        <v>610</v>
      </c>
      <c r="B11">
        <v>15</v>
      </c>
      <c r="C11">
        <v>15</v>
      </c>
      <c r="D11">
        <v>15</v>
      </c>
      <c r="E11">
        <v>0</v>
      </c>
      <c r="F11">
        <v>0</v>
      </c>
      <c r="G11">
        <v>0</v>
      </c>
      <c r="H11">
        <v>2</v>
      </c>
      <c r="I11" s="13" t="s">
        <v>593</v>
      </c>
    </row>
    <row r="12" spans="1:9" x14ac:dyDescent="0.2">
      <c r="A12" s="8" t="s">
        <v>611</v>
      </c>
      <c r="B12" s="8">
        <f>SUM(B6:B11)</f>
        <v>453</v>
      </c>
      <c r="C12" s="8">
        <f>SUM(C6:C11)</f>
        <v>453</v>
      </c>
      <c r="D12" s="8">
        <f>SUM(D6:D11)</f>
        <v>453</v>
      </c>
      <c r="E12" s="8">
        <f>SUM(E6:E11)</f>
        <v>0</v>
      </c>
      <c r="F12" s="8">
        <f>SUM(F6:F11)</f>
        <v>0</v>
      </c>
      <c r="G12" s="8">
        <f>SUM(G6:G11)</f>
        <v>0</v>
      </c>
      <c r="H12" s="8">
        <f>SUM(H6:H11)</f>
        <v>13</v>
      </c>
    </row>
    <row r="14" spans="1:9" x14ac:dyDescent="0.2">
      <c r="A14" s="8" t="s">
        <v>583</v>
      </c>
    </row>
    <row r="15" spans="1:9" x14ac:dyDescent="0.2">
      <c r="A15" s="7" t="s">
        <v>584</v>
      </c>
      <c r="B15" s="7" t="s">
        <v>585</v>
      </c>
      <c r="C15" s="7" t="s">
        <v>586</v>
      </c>
      <c r="D15" s="7" t="s">
        <v>587</v>
      </c>
      <c r="E15" s="7" t="s">
        <v>588</v>
      </c>
    </row>
    <row r="16" spans="1:9" x14ac:dyDescent="0.2">
      <c r="A16">
        <v>1</v>
      </c>
      <c r="B16" s="13" t="s">
        <v>612</v>
      </c>
      <c r="C16" t="s">
        <v>613</v>
      </c>
      <c r="D16" t="s">
        <v>614</v>
      </c>
      <c r="E16" t="s">
        <v>589</v>
      </c>
    </row>
    <row r="17" spans="1:5" x14ac:dyDescent="0.2">
      <c r="A17">
        <v>2</v>
      </c>
      <c r="B17" s="9" t="s">
        <v>615</v>
      </c>
      <c r="C17" t="s">
        <v>590</v>
      </c>
      <c r="D17" t="s">
        <v>616</v>
      </c>
      <c r="E17" t="s">
        <v>591</v>
      </c>
    </row>
    <row r="18" spans="1:5" x14ac:dyDescent="0.2">
      <c r="A18">
        <v>3</v>
      </c>
      <c r="B18" s="13" t="s">
        <v>670</v>
      </c>
      <c r="C18" t="s">
        <v>617</v>
      </c>
      <c r="D18" t="s">
        <v>672</v>
      </c>
      <c r="E18" t="s">
        <v>618</v>
      </c>
    </row>
    <row r="20" spans="1:5" x14ac:dyDescent="0.2">
      <c r="A20" s="8" t="s">
        <v>594</v>
      </c>
    </row>
    <row r="21" spans="1:5" x14ac:dyDescent="0.2">
      <c r="A21" s="7" t="s">
        <v>584</v>
      </c>
      <c r="B21" s="7" t="s">
        <v>585</v>
      </c>
      <c r="C21" s="7" t="s">
        <v>586</v>
      </c>
      <c r="D21" s="7" t="s">
        <v>587</v>
      </c>
      <c r="E21" s="7" t="s">
        <v>588</v>
      </c>
    </row>
    <row r="22" spans="1:5" x14ac:dyDescent="0.2">
      <c r="A22">
        <v>1</v>
      </c>
      <c r="B22" s="13" t="s">
        <v>668</v>
      </c>
      <c r="C22" t="s">
        <v>595</v>
      </c>
      <c r="D22" t="s">
        <v>669</v>
      </c>
      <c r="E22" t="s">
        <v>596</v>
      </c>
    </row>
    <row r="23" spans="1:5" x14ac:dyDescent="0.2">
      <c r="A23">
        <v>2</v>
      </c>
      <c r="B23" s="13" t="s">
        <v>670</v>
      </c>
      <c r="C23" t="s">
        <v>597</v>
      </c>
      <c r="D23" t="s">
        <v>671</v>
      </c>
      <c r="E23" t="s">
        <v>598</v>
      </c>
    </row>
    <row r="24" spans="1:5" x14ac:dyDescent="0.2">
      <c r="A24">
        <v>3</v>
      </c>
      <c r="B24" s="9" t="s">
        <v>599</v>
      </c>
      <c r="C24" t="s">
        <v>600</v>
      </c>
      <c r="D24" t="s">
        <v>619</v>
      </c>
      <c r="E24" t="s">
        <v>601</v>
      </c>
    </row>
    <row r="26" spans="1:5" x14ac:dyDescent="0.2">
      <c r="A26" s="8" t="s">
        <v>604</v>
      </c>
    </row>
    <row r="27" spans="1:5" x14ac:dyDescent="0.2">
      <c r="A27" s="7" t="s">
        <v>584</v>
      </c>
      <c r="B27" s="9" t="s">
        <v>585</v>
      </c>
      <c r="C27" s="7" t="s">
        <v>586</v>
      </c>
      <c r="D27" s="7" t="s">
        <v>587</v>
      </c>
      <c r="E27" s="7" t="s">
        <v>588</v>
      </c>
    </row>
    <row r="28" spans="1:5" x14ac:dyDescent="0.2">
      <c r="A28">
        <v>1</v>
      </c>
      <c r="B28" s="13" t="s">
        <v>605</v>
      </c>
      <c r="C28" t="s">
        <v>606</v>
      </c>
      <c r="D28" t="s">
        <v>620</v>
      </c>
      <c r="E28" t="s">
        <v>607</v>
      </c>
    </row>
    <row r="29" spans="1:5" x14ac:dyDescent="0.2">
      <c r="A29">
        <v>2</v>
      </c>
      <c r="B29" s="13" t="s">
        <v>670</v>
      </c>
      <c r="C29" t="s">
        <v>608</v>
      </c>
      <c r="D29" t="s">
        <v>673</v>
      </c>
      <c r="E29" t="s">
        <v>621</v>
      </c>
    </row>
    <row r="31" spans="1:5" x14ac:dyDescent="0.2">
      <c r="A31" s="8" t="s">
        <v>622</v>
      </c>
    </row>
    <row r="32" spans="1:5" x14ac:dyDescent="0.2">
      <c r="A32" s="7" t="s">
        <v>584</v>
      </c>
      <c r="B32" s="7" t="s">
        <v>585</v>
      </c>
      <c r="C32" s="7" t="s">
        <v>586</v>
      </c>
      <c r="D32" s="7" t="s">
        <v>587</v>
      </c>
      <c r="E32" s="7" t="s">
        <v>588</v>
      </c>
    </row>
    <row r="33" spans="1:5" x14ac:dyDescent="0.2">
      <c r="A33">
        <v>1</v>
      </c>
      <c r="B33" s="13" t="s">
        <v>641</v>
      </c>
      <c r="C33" t="s">
        <v>623</v>
      </c>
      <c r="D33" t="s">
        <v>642</v>
      </c>
      <c r="E33" t="s">
        <v>624</v>
      </c>
    </row>
    <row r="34" spans="1:5" x14ac:dyDescent="0.2">
      <c r="A34">
        <v>2</v>
      </c>
      <c r="B34" s="13" t="s">
        <v>670</v>
      </c>
      <c r="C34" t="s">
        <v>625</v>
      </c>
      <c r="D34" t="s">
        <v>674</v>
      </c>
      <c r="E34" t="s">
        <v>626</v>
      </c>
    </row>
    <row r="36" spans="1:5" x14ac:dyDescent="0.2">
      <c r="A36" s="8" t="s">
        <v>627</v>
      </c>
    </row>
    <row r="37" spans="1:5" x14ac:dyDescent="0.2">
      <c r="A37" s="7" t="s">
        <v>584</v>
      </c>
      <c r="B37" s="7" t="s">
        <v>585</v>
      </c>
      <c r="C37" s="7" t="s">
        <v>586</v>
      </c>
      <c r="D37" s="7" t="s">
        <v>587</v>
      </c>
      <c r="E37" s="7" t="s">
        <v>588</v>
      </c>
    </row>
    <row r="38" spans="1:5" x14ac:dyDescent="0.2">
      <c r="A38">
        <v>1</v>
      </c>
      <c r="B38" s="13" t="s">
        <v>643</v>
      </c>
      <c r="C38" t="s">
        <v>628</v>
      </c>
      <c r="D38" t="s">
        <v>644</v>
      </c>
      <c r="E38" t="s">
        <v>629</v>
      </c>
    </row>
    <row r="39" spans="1:5" x14ac:dyDescent="0.2">
      <c r="A39">
        <v>2</v>
      </c>
      <c r="B39" s="13" t="s">
        <v>630</v>
      </c>
      <c r="D39" t="s">
        <v>631</v>
      </c>
      <c r="E39" t="s">
        <v>632</v>
      </c>
    </row>
    <row r="40" spans="1:5" x14ac:dyDescent="0.2">
      <c r="A40">
        <v>3</v>
      </c>
      <c r="B40" s="13" t="s">
        <v>670</v>
      </c>
      <c r="C40" t="s">
        <v>675</v>
      </c>
      <c r="D40" t="s">
        <v>676</v>
      </c>
      <c r="E40" t="s">
        <v>677</v>
      </c>
    </row>
    <row r="41" spans="1:5" x14ac:dyDescent="0.2">
      <c r="A41" s="8" t="s">
        <v>633</v>
      </c>
    </row>
    <row r="42" spans="1:5" x14ac:dyDescent="0.2">
      <c r="A42" s="7" t="s">
        <v>584</v>
      </c>
      <c r="B42" s="7" t="s">
        <v>585</v>
      </c>
      <c r="C42" s="7" t="s">
        <v>586</v>
      </c>
      <c r="D42" s="7" t="s">
        <v>587</v>
      </c>
      <c r="E42" s="7" t="s">
        <v>588</v>
      </c>
    </row>
    <row r="43" spans="1:5" x14ac:dyDescent="0.2">
      <c r="A43">
        <v>1</v>
      </c>
      <c r="B43" s="13" t="s">
        <v>641</v>
      </c>
      <c r="C43" t="s">
        <v>634</v>
      </c>
      <c r="D43" t="s">
        <v>645</v>
      </c>
      <c r="E43" t="s">
        <v>635</v>
      </c>
    </row>
    <row r="44" spans="1:5" x14ac:dyDescent="0.2">
      <c r="A44">
        <v>2</v>
      </c>
      <c r="B44" s="13" t="s">
        <v>605</v>
      </c>
      <c r="D44" t="s">
        <v>679</v>
      </c>
      <c r="E44" t="s">
        <v>636</v>
      </c>
    </row>
    <row r="46" spans="1:5" x14ac:dyDescent="0.2">
      <c r="A46" s="8" t="s">
        <v>637</v>
      </c>
    </row>
    <row r="47" spans="1:5" x14ac:dyDescent="0.2">
      <c r="A47" t="s">
        <v>638</v>
      </c>
    </row>
    <row r="48" spans="1:5" x14ac:dyDescent="0.2">
      <c r="A48" t="s">
        <v>646</v>
      </c>
    </row>
    <row r="49" spans="1:1" x14ac:dyDescent="0.2">
      <c r="A49" t="s">
        <v>678</v>
      </c>
    </row>
    <row r="50" spans="1:1" x14ac:dyDescent="0.2">
      <c r="A50" t="s">
        <v>639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F3766-C5C0-4AC5-8C01-FFC7E3891EEA}">
  <dimension ref="A1:I28"/>
  <sheetViews>
    <sheetView tabSelected="1" workbookViewId="0">
      <selection activeCell="I32" sqref="I32"/>
    </sheetView>
  </sheetViews>
  <sheetFormatPr defaultRowHeight="12.75" x14ac:dyDescent="0.2"/>
  <cols>
    <col min="1" max="1" width="12" bestFit="1" customWidth="1"/>
    <col min="2" max="2" width="15.5703125" bestFit="1" customWidth="1"/>
    <col min="3" max="3" width="29" bestFit="1" customWidth="1"/>
    <col min="4" max="4" width="16.85546875" bestFit="1" customWidth="1"/>
    <col min="5" max="5" width="12.28515625" bestFit="1" customWidth="1"/>
    <col min="6" max="6" width="5.7109375" bestFit="1" customWidth="1"/>
    <col min="7" max="7" width="10.140625" bestFit="1" customWidth="1"/>
    <col min="8" max="8" width="7.7109375" bestFit="1" customWidth="1"/>
    <col min="9" max="9" width="42.42578125" bestFit="1" customWidth="1"/>
  </cols>
  <sheetData>
    <row r="1" spans="1:9" x14ac:dyDescent="0.2">
      <c r="A1" s="2" t="s">
        <v>304</v>
      </c>
      <c r="B1" s="2" t="s">
        <v>195</v>
      </c>
      <c r="C1" s="2" t="s">
        <v>0</v>
      </c>
      <c r="D1" s="2" t="s">
        <v>432</v>
      </c>
      <c r="E1" s="2" t="s">
        <v>433</v>
      </c>
      <c r="F1" s="2" t="s">
        <v>2</v>
      </c>
      <c r="G1" s="2" t="s">
        <v>1</v>
      </c>
      <c r="H1" s="2" t="s">
        <v>305</v>
      </c>
      <c r="I1" s="2" t="s">
        <v>196</v>
      </c>
    </row>
    <row r="2" spans="1:9" x14ac:dyDescent="0.2">
      <c r="A2" s="5" t="s">
        <v>434</v>
      </c>
      <c r="B2" s="5" t="s">
        <v>435</v>
      </c>
      <c r="C2" s="5" t="s">
        <v>277</v>
      </c>
      <c r="D2" s="5">
        <v>40</v>
      </c>
      <c r="E2" s="5">
        <v>300</v>
      </c>
      <c r="F2" s="5" t="s">
        <v>680</v>
      </c>
      <c r="G2" s="6">
        <v>2512000</v>
      </c>
      <c r="H2" s="5" t="s">
        <v>309</v>
      </c>
      <c r="I2" s="5" t="s">
        <v>278</v>
      </c>
    </row>
    <row r="3" spans="1:9" x14ac:dyDescent="0.2">
      <c r="A3" s="3" t="s">
        <v>434</v>
      </c>
      <c r="B3" s="3" t="s">
        <v>435</v>
      </c>
      <c r="C3" s="3" t="s">
        <v>279</v>
      </c>
      <c r="D3" s="3">
        <v>40</v>
      </c>
      <c r="E3" s="3">
        <v>600</v>
      </c>
      <c r="F3" s="3" t="s">
        <v>680</v>
      </c>
      <c r="G3" s="4">
        <v>5170000</v>
      </c>
      <c r="H3" s="3" t="s">
        <v>309</v>
      </c>
      <c r="I3" s="3" t="s">
        <v>280</v>
      </c>
    </row>
    <row r="4" spans="1:9" x14ac:dyDescent="0.2">
      <c r="A4" s="5" t="s">
        <v>434</v>
      </c>
      <c r="B4" s="5" t="s">
        <v>435</v>
      </c>
      <c r="C4" s="5" t="s">
        <v>281</v>
      </c>
      <c r="D4" s="5">
        <v>40</v>
      </c>
      <c r="E4" s="5">
        <v>650</v>
      </c>
      <c r="F4" s="5" t="s">
        <v>680</v>
      </c>
      <c r="G4" s="6">
        <v>5540000</v>
      </c>
      <c r="H4" s="5" t="s">
        <v>309</v>
      </c>
      <c r="I4" s="5" t="s">
        <v>280</v>
      </c>
    </row>
    <row r="5" spans="1:9" x14ac:dyDescent="0.2">
      <c r="A5" s="3" t="s">
        <v>434</v>
      </c>
      <c r="B5" s="3" t="s">
        <v>435</v>
      </c>
      <c r="C5" s="3" t="s">
        <v>282</v>
      </c>
      <c r="D5" s="3">
        <v>40</v>
      </c>
      <c r="E5" s="3">
        <v>700</v>
      </c>
      <c r="F5" s="3" t="s">
        <v>680</v>
      </c>
      <c r="G5" s="4">
        <v>5909000</v>
      </c>
      <c r="H5" s="3" t="s">
        <v>309</v>
      </c>
      <c r="I5" s="3" t="s">
        <v>280</v>
      </c>
    </row>
    <row r="6" spans="1:9" x14ac:dyDescent="0.2">
      <c r="A6" s="5" t="s">
        <v>434</v>
      </c>
      <c r="B6" s="5" t="s">
        <v>435</v>
      </c>
      <c r="C6" s="5" t="s">
        <v>283</v>
      </c>
      <c r="D6" s="5">
        <v>40</v>
      </c>
      <c r="E6" s="5">
        <v>750</v>
      </c>
      <c r="F6" s="5" t="s">
        <v>680</v>
      </c>
      <c r="G6" s="6">
        <v>6279000</v>
      </c>
      <c r="H6" s="5" t="s">
        <v>309</v>
      </c>
      <c r="I6" s="5" t="s">
        <v>280</v>
      </c>
    </row>
    <row r="7" spans="1:9" x14ac:dyDescent="0.2">
      <c r="A7" s="3" t="s">
        <v>434</v>
      </c>
      <c r="B7" s="3" t="s">
        <v>436</v>
      </c>
      <c r="C7" s="3" t="s">
        <v>284</v>
      </c>
      <c r="D7" s="3">
        <v>40</v>
      </c>
      <c r="E7" s="3">
        <v>600</v>
      </c>
      <c r="F7" s="3" t="s">
        <v>680</v>
      </c>
      <c r="G7" s="4">
        <v>6236000</v>
      </c>
      <c r="H7" s="3" t="s">
        <v>309</v>
      </c>
      <c r="I7" s="3" t="s">
        <v>285</v>
      </c>
    </row>
    <row r="8" spans="1:9" x14ac:dyDescent="0.2">
      <c r="A8" s="5" t="s">
        <v>434</v>
      </c>
      <c r="B8" s="5" t="s">
        <v>436</v>
      </c>
      <c r="C8" s="5" t="s">
        <v>286</v>
      </c>
      <c r="D8" s="5">
        <v>40</v>
      </c>
      <c r="E8" s="5">
        <v>700</v>
      </c>
      <c r="F8" s="5" t="s">
        <v>680</v>
      </c>
      <c r="G8" s="6">
        <v>7153000</v>
      </c>
      <c r="H8" s="5" t="s">
        <v>309</v>
      </c>
      <c r="I8" s="5" t="s">
        <v>285</v>
      </c>
    </row>
    <row r="9" spans="1:9" x14ac:dyDescent="0.2">
      <c r="A9" s="3" t="s">
        <v>434</v>
      </c>
      <c r="B9" s="3" t="s">
        <v>436</v>
      </c>
      <c r="C9" s="3" t="s">
        <v>287</v>
      </c>
      <c r="D9" s="3">
        <v>40</v>
      </c>
      <c r="E9" s="3">
        <v>800</v>
      </c>
      <c r="F9" s="3" t="s">
        <v>680</v>
      </c>
      <c r="G9" s="4">
        <v>8070000</v>
      </c>
      <c r="H9" s="3" t="s">
        <v>309</v>
      </c>
      <c r="I9" s="3" t="s">
        <v>285</v>
      </c>
    </row>
    <row r="10" spans="1:9" x14ac:dyDescent="0.2">
      <c r="A10" s="5" t="s">
        <v>434</v>
      </c>
      <c r="B10" s="5" t="s">
        <v>436</v>
      </c>
      <c r="C10" s="5" t="s">
        <v>288</v>
      </c>
      <c r="D10" s="5">
        <v>40</v>
      </c>
      <c r="E10" s="5">
        <v>900</v>
      </c>
      <c r="F10" s="5" t="s">
        <v>680</v>
      </c>
      <c r="G10" s="6">
        <v>8988000</v>
      </c>
      <c r="H10" s="5" t="s">
        <v>309</v>
      </c>
      <c r="I10" s="5" t="s">
        <v>285</v>
      </c>
    </row>
    <row r="11" spans="1:9" x14ac:dyDescent="0.2">
      <c r="A11" s="3" t="s">
        <v>434</v>
      </c>
      <c r="B11" s="3" t="s">
        <v>436</v>
      </c>
      <c r="C11" s="3" t="s">
        <v>289</v>
      </c>
      <c r="D11" s="3">
        <v>40</v>
      </c>
      <c r="E11" s="3">
        <v>1000</v>
      </c>
      <c r="F11" s="3" t="s">
        <v>680</v>
      </c>
      <c r="G11" s="4">
        <v>9905000</v>
      </c>
      <c r="H11" s="3" t="s">
        <v>309</v>
      </c>
      <c r="I11" s="3" t="s">
        <v>285</v>
      </c>
    </row>
    <row r="12" spans="1:9" x14ac:dyDescent="0.2">
      <c r="A12" s="5" t="s">
        <v>434</v>
      </c>
      <c r="B12" s="5" t="s">
        <v>436</v>
      </c>
      <c r="C12" s="5" t="s">
        <v>290</v>
      </c>
      <c r="D12" s="5">
        <v>40</v>
      </c>
      <c r="E12" s="5">
        <v>1100</v>
      </c>
      <c r="F12" s="5" t="s">
        <v>680</v>
      </c>
      <c r="G12" s="6">
        <v>10822000</v>
      </c>
      <c r="H12" s="5" t="s">
        <v>309</v>
      </c>
      <c r="I12" s="5" t="s">
        <v>285</v>
      </c>
    </row>
    <row r="13" spans="1:9" x14ac:dyDescent="0.2">
      <c r="A13" s="3" t="s">
        <v>434</v>
      </c>
      <c r="B13" s="3" t="s">
        <v>436</v>
      </c>
      <c r="C13" s="3" t="s">
        <v>291</v>
      </c>
      <c r="D13" s="3">
        <v>40</v>
      </c>
      <c r="E13" s="3">
        <v>1200</v>
      </c>
      <c r="F13" s="3" t="s">
        <v>680</v>
      </c>
      <c r="G13" s="4">
        <v>11739000</v>
      </c>
      <c r="H13" s="3" t="s">
        <v>309</v>
      </c>
      <c r="I13" s="3" t="s">
        <v>285</v>
      </c>
    </row>
    <row r="14" spans="1:9" x14ac:dyDescent="0.2">
      <c r="A14" s="5" t="s">
        <v>434</v>
      </c>
      <c r="B14" s="5" t="s">
        <v>436</v>
      </c>
      <c r="C14" s="5" t="s">
        <v>292</v>
      </c>
      <c r="D14" s="5">
        <v>40</v>
      </c>
      <c r="E14" s="5">
        <v>1300</v>
      </c>
      <c r="F14" s="5" t="s">
        <v>680</v>
      </c>
      <c r="G14" s="6">
        <v>12656000</v>
      </c>
      <c r="H14" s="5" t="s">
        <v>309</v>
      </c>
      <c r="I14" s="5" t="s">
        <v>285</v>
      </c>
    </row>
    <row r="15" spans="1:9" x14ac:dyDescent="0.2">
      <c r="A15" s="3" t="s">
        <v>434</v>
      </c>
      <c r="B15" s="3" t="s">
        <v>436</v>
      </c>
      <c r="C15" s="3" t="s">
        <v>293</v>
      </c>
      <c r="D15" s="3">
        <v>40</v>
      </c>
      <c r="E15" s="3">
        <v>1500</v>
      </c>
      <c r="F15" s="3" t="s">
        <v>680</v>
      </c>
      <c r="G15" s="4">
        <v>14489000</v>
      </c>
      <c r="H15" s="3" t="s">
        <v>309</v>
      </c>
      <c r="I15" s="3" t="s">
        <v>285</v>
      </c>
    </row>
    <row r="16" spans="1:9" x14ac:dyDescent="0.2">
      <c r="A16" s="5" t="s">
        <v>434</v>
      </c>
      <c r="B16" s="5" t="s">
        <v>437</v>
      </c>
      <c r="C16" s="5" t="s">
        <v>438</v>
      </c>
      <c r="D16" s="5">
        <v>40</v>
      </c>
      <c r="E16" s="5">
        <v>600</v>
      </c>
      <c r="F16" s="5" t="s">
        <v>680</v>
      </c>
      <c r="G16" s="6">
        <v>5198000</v>
      </c>
      <c r="H16" s="5" t="s">
        <v>309</v>
      </c>
      <c r="I16" s="5" t="s">
        <v>294</v>
      </c>
    </row>
    <row r="17" spans="1:9" x14ac:dyDescent="0.2">
      <c r="A17" s="3" t="s">
        <v>434</v>
      </c>
      <c r="B17" s="3" t="s">
        <v>437</v>
      </c>
      <c r="C17" s="3" t="s">
        <v>439</v>
      </c>
      <c r="D17" s="3">
        <v>40</v>
      </c>
      <c r="E17" s="3">
        <v>800</v>
      </c>
      <c r="F17" s="3" t="s">
        <v>680</v>
      </c>
      <c r="G17" s="4">
        <v>6726000</v>
      </c>
      <c r="H17" s="3" t="s">
        <v>309</v>
      </c>
      <c r="I17" s="3" t="s">
        <v>662</v>
      </c>
    </row>
    <row r="18" spans="1:9" x14ac:dyDescent="0.2">
      <c r="A18" s="5" t="s">
        <v>434</v>
      </c>
      <c r="B18" s="5" t="s">
        <v>437</v>
      </c>
      <c r="C18" s="5" t="s">
        <v>440</v>
      </c>
      <c r="D18" s="5">
        <v>40</v>
      </c>
      <c r="E18" s="5">
        <v>900</v>
      </c>
      <c r="F18" s="5" t="s">
        <v>680</v>
      </c>
      <c r="G18" s="6">
        <v>7490000</v>
      </c>
      <c r="H18" s="5" t="s">
        <v>309</v>
      </c>
      <c r="I18" s="5"/>
    </row>
    <row r="19" spans="1:9" x14ac:dyDescent="0.2">
      <c r="A19" s="3" t="s">
        <v>434</v>
      </c>
      <c r="B19" s="3" t="s">
        <v>437</v>
      </c>
      <c r="C19" s="3" t="s">
        <v>441</v>
      </c>
      <c r="D19" s="3">
        <v>40</v>
      </c>
      <c r="E19" s="3">
        <v>1000</v>
      </c>
      <c r="F19" s="3" t="s">
        <v>680</v>
      </c>
      <c r="G19" s="4">
        <v>8255000</v>
      </c>
      <c r="H19" s="3" t="s">
        <v>309</v>
      </c>
      <c r="I19" s="3"/>
    </row>
    <row r="20" spans="1:9" x14ac:dyDescent="0.2">
      <c r="A20" s="5" t="s">
        <v>434</v>
      </c>
      <c r="B20" s="5" t="s">
        <v>437</v>
      </c>
      <c r="C20" s="5" t="s">
        <v>442</v>
      </c>
      <c r="D20" s="5">
        <v>40</v>
      </c>
      <c r="E20" s="5">
        <v>1200</v>
      </c>
      <c r="F20" s="5" t="s">
        <v>680</v>
      </c>
      <c r="G20" s="6">
        <v>9782000</v>
      </c>
      <c r="H20" s="5" t="s">
        <v>309</v>
      </c>
      <c r="I20" s="5" t="s">
        <v>663</v>
      </c>
    </row>
    <row r="21" spans="1:9" x14ac:dyDescent="0.2">
      <c r="A21" s="3" t="s">
        <v>434</v>
      </c>
      <c r="B21" s="3" t="s">
        <v>443</v>
      </c>
      <c r="C21" s="3" t="s">
        <v>295</v>
      </c>
      <c r="D21" s="3"/>
      <c r="E21" s="3">
        <v>200</v>
      </c>
      <c r="F21" s="3" t="s">
        <v>680</v>
      </c>
      <c r="G21" s="4">
        <v>1699000</v>
      </c>
      <c r="H21" s="3" t="s">
        <v>309</v>
      </c>
      <c r="I21" s="3" t="s">
        <v>296</v>
      </c>
    </row>
    <row r="22" spans="1:9" x14ac:dyDescent="0.2">
      <c r="A22" s="5" t="s">
        <v>434</v>
      </c>
      <c r="B22" s="5" t="s">
        <v>443</v>
      </c>
      <c r="C22" s="5" t="s">
        <v>297</v>
      </c>
      <c r="D22" s="5"/>
      <c r="E22" s="5">
        <v>300</v>
      </c>
      <c r="F22" s="5" t="s">
        <v>680</v>
      </c>
      <c r="G22" s="6">
        <v>2549000</v>
      </c>
      <c r="H22" s="5" t="s">
        <v>309</v>
      </c>
      <c r="I22" s="5" t="s">
        <v>296</v>
      </c>
    </row>
    <row r="23" spans="1:9" x14ac:dyDescent="0.2">
      <c r="A23" s="3" t="s">
        <v>434</v>
      </c>
      <c r="B23" s="3" t="s">
        <v>443</v>
      </c>
      <c r="C23" s="3" t="s">
        <v>298</v>
      </c>
      <c r="D23" s="3"/>
      <c r="E23" s="3">
        <v>400</v>
      </c>
      <c r="F23" s="3" t="s">
        <v>680</v>
      </c>
      <c r="G23" s="4">
        <v>3398000</v>
      </c>
      <c r="H23" s="3" t="s">
        <v>309</v>
      </c>
      <c r="I23" s="3" t="s">
        <v>296</v>
      </c>
    </row>
    <row r="24" spans="1:9" x14ac:dyDescent="0.2">
      <c r="A24" s="5" t="s">
        <v>434</v>
      </c>
      <c r="B24" s="5" t="s">
        <v>443</v>
      </c>
      <c r="C24" s="5" t="s">
        <v>299</v>
      </c>
      <c r="D24" s="5"/>
      <c r="E24" s="5">
        <v>500</v>
      </c>
      <c r="F24" s="5" t="s">
        <v>680</v>
      </c>
      <c r="G24" s="6">
        <v>4246000</v>
      </c>
      <c r="H24" s="5" t="s">
        <v>309</v>
      </c>
      <c r="I24" s="5" t="s">
        <v>296</v>
      </c>
    </row>
    <row r="25" spans="1:9" x14ac:dyDescent="0.2">
      <c r="A25" s="3" t="s">
        <v>434</v>
      </c>
      <c r="B25" s="3" t="s">
        <v>443</v>
      </c>
      <c r="C25" s="3" t="s">
        <v>300</v>
      </c>
      <c r="D25" s="3"/>
      <c r="E25" s="3">
        <v>600</v>
      </c>
      <c r="F25" s="3" t="s">
        <v>680</v>
      </c>
      <c r="G25" s="4">
        <v>5096000</v>
      </c>
      <c r="H25" s="3" t="s">
        <v>309</v>
      </c>
      <c r="I25" s="3" t="s">
        <v>296</v>
      </c>
    </row>
    <row r="26" spans="1:9" x14ac:dyDescent="0.2">
      <c r="A26" s="5" t="s">
        <v>434</v>
      </c>
      <c r="B26" s="5" t="s">
        <v>443</v>
      </c>
      <c r="C26" s="5" t="s">
        <v>301</v>
      </c>
      <c r="D26" s="5"/>
      <c r="E26" s="5">
        <v>800</v>
      </c>
      <c r="F26" s="5" t="s">
        <v>680</v>
      </c>
      <c r="G26" s="6">
        <v>6793000</v>
      </c>
      <c r="H26" s="5" t="s">
        <v>309</v>
      </c>
      <c r="I26" s="5" t="s">
        <v>296</v>
      </c>
    </row>
    <row r="27" spans="1:9" x14ac:dyDescent="0.2">
      <c r="A27" s="3" t="s">
        <v>434</v>
      </c>
      <c r="B27" s="3" t="s">
        <v>443</v>
      </c>
      <c r="C27" s="3" t="s">
        <v>302</v>
      </c>
      <c r="D27" s="3"/>
      <c r="E27" s="3">
        <v>900</v>
      </c>
      <c r="F27" s="3" t="s">
        <v>680</v>
      </c>
      <c r="G27" s="4">
        <v>7643000</v>
      </c>
      <c r="H27" s="3" t="s">
        <v>309</v>
      </c>
      <c r="I27" s="3" t="s">
        <v>296</v>
      </c>
    </row>
    <row r="28" spans="1:9" x14ac:dyDescent="0.2">
      <c r="A28" s="5" t="s">
        <v>434</v>
      </c>
      <c r="B28" s="5" t="s">
        <v>443</v>
      </c>
      <c r="C28" s="5" t="s">
        <v>303</v>
      </c>
      <c r="D28" s="5"/>
      <c r="E28" s="5">
        <v>1000</v>
      </c>
      <c r="F28" s="5" t="s">
        <v>680</v>
      </c>
      <c r="G28" s="6">
        <v>8492000</v>
      </c>
      <c r="H28" s="5" t="s">
        <v>309</v>
      </c>
      <c r="I28" s="5" t="s">
        <v>296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66FA8-9E2D-48F2-A821-C57A38DC6039}">
  <dimension ref="A1:G25"/>
  <sheetViews>
    <sheetView zoomScale="85" zoomScaleNormal="85" workbookViewId="0">
      <selection activeCell="G2" sqref="G2"/>
    </sheetView>
  </sheetViews>
  <sheetFormatPr defaultRowHeight="12.75" x14ac:dyDescent="0.2"/>
  <cols>
    <col min="1" max="1" width="9.140625" bestFit="1" customWidth="1"/>
    <col min="2" max="2" width="17.85546875" bestFit="1" customWidth="1"/>
    <col min="3" max="3" width="34.7109375" bestFit="1" customWidth="1"/>
    <col min="4" max="4" width="5.7109375" bestFit="1" customWidth="1"/>
    <col min="5" max="5" width="9.28515625" bestFit="1" customWidth="1"/>
    <col min="6" max="6" width="7.85546875" bestFit="1" customWidth="1"/>
    <col min="7" max="7" width="72.85546875" bestFit="1" customWidth="1"/>
  </cols>
  <sheetData>
    <row r="1" spans="1:7" x14ac:dyDescent="0.2">
      <c r="A1" s="2" t="s">
        <v>304</v>
      </c>
      <c r="B1" s="2" t="s">
        <v>195</v>
      </c>
      <c r="C1" s="2" t="s">
        <v>0</v>
      </c>
      <c r="D1" s="2" t="s">
        <v>2</v>
      </c>
      <c r="E1" s="2" t="s">
        <v>1</v>
      </c>
      <c r="F1" s="2" t="s">
        <v>305</v>
      </c>
      <c r="G1" s="2" t="s">
        <v>196</v>
      </c>
    </row>
    <row r="2" spans="1:7" x14ac:dyDescent="0.2">
      <c r="A2" s="5" t="s">
        <v>317</v>
      </c>
      <c r="B2" s="5" t="s">
        <v>318</v>
      </c>
      <c r="C2" s="5" t="s">
        <v>3</v>
      </c>
      <c r="D2" s="5" t="s">
        <v>192</v>
      </c>
      <c r="E2" s="6">
        <v>358000</v>
      </c>
      <c r="F2" s="5" t="s">
        <v>309</v>
      </c>
      <c r="G2" s="5" t="s">
        <v>251</v>
      </c>
    </row>
    <row r="3" spans="1:7" x14ac:dyDescent="0.2">
      <c r="A3" s="3" t="s">
        <v>317</v>
      </c>
      <c r="B3" s="3" t="s">
        <v>318</v>
      </c>
      <c r="C3" s="3" t="s">
        <v>261</v>
      </c>
      <c r="D3" s="3" t="s">
        <v>192</v>
      </c>
      <c r="E3" s="4">
        <v>280000</v>
      </c>
      <c r="F3" s="3" t="s">
        <v>309</v>
      </c>
      <c r="G3" s="3" t="s">
        <v>252</v>
      </c>
    </row>
    <row r="4" spans="1:7" x14ac:dyDescent="0.2">
      <c r="A4" s="5" t="s">
        <v>317</v>
      </c>
      <c r="B4" s="5" t="s">
        <v>318</v>
      </c>
      <c r="C4" s="5" t="s">
        <v>262</v>
      </c>
      <c r="D4" s="5" t="s">
        <v>192</v>
      </c>
      <c r="E4" s="6">
        <v>309000</v>
      </c>
      <c r="F4" s="5" t="s">
        <v>309</v>
      </c>
      <c r="G4" s="5" t="s">
        <v>253</v>
      </c>
    </row>
    <row r="5" spans="1:7" x14ac:dyDescent="0.2">
      <c r="A5" s="3" t="s">
        <v>317</v>
      </c>
      <c r="B5" s="3" t="s">
        <v>318</v>
      </c>
      <c r="C5" s="3" t="s">
        <v>4</v>
      </c>
      <c r="D5" s="3" t="s">
        <v>192</v>
      </c>
      <c r="E5" s="4">
        <v>219000</v>
      </c>
      <c r="F5" s="3" t="s">
        <v>309</v>
      </c>
      <c r="G5" s="3"/>
    </row>
    <row r="6" spans="1:7" x14ac:dyDescent="0.2">
      <c r="A6" s="3" t="s">
        <v>317</v>
      </c>
      <c r="B6" s="3" t="s">
        <v>318</v>
      </c>
      <c r="C6" s="3" t="s">
        <v>592</v>
      </c>
      <c r="D6" s="3" t="s">
        <v>192</v>
      </c>
      <c r="E6" s="4">
        <v>352000</v>
      </c>
      <c r="F6" s="3" t="s">
        <v>309</v>
      </c>
      <c r="G6" s="3"/>
    </row>
    <row r="7" spans="1:7" x14ac:dyDescent="0.2">
      <c r="A7" s="5" t="s">
        <v>317</v>
      </c>
      <c r="B7" s="5" t="s">
        <v>318</v>
      </c>
      <c r="C7" s="5" t="s">
        <v>263</v>
      </c>
      <c r="D7" s="5" t="s">
        <v>192</v>
      </c>
      <c r="E7" s="6">
        <v>322000</v>
      </c>
      <c r="F7" s="5" t="s">
        <v>309</v>
      </c>
      <c r="G7" s="5" t="s">
        <v>254</v>
      </c>
    </row>
    <row r="8" spans="1:7" x14ac:dyDescent="0.2">
      <c r="A8" s="3" t="s">
        <v>317</v>
      </c>
      <c r="B8" s="3" t="s">
        <v>318</v>
      </c>
      <c r="C8" s="3" t="s">
        <v>264</v>
      </c>
      <c r="D8" s="3" t="s">
        <v>193</v>
      </c>
      <c r="E8" s="4">
        <v>474000</v>
      </c>
      <c r="F8" s="3" t="s">
        <v>309</v>
      </c>
      <c r="G8" s="3" t="s">
        <v>255</v>
      </c>
    </row>
    <row r="9" spans="1:7" x14ac:dyDescent="0.2">
      <c r="A9" s="5" t="s">
        <v>317</v>
      </c>
      <c r="B9" s="5" t="s">
        <v>318</v>
      </c>
      <c r="C9" s="5" t="s">
        <v>265</v>
      </c>
      <c r="D9" s="5" t="s">
        <v>193</v>
      </c>
      <c r="E9" s="6">
        <v>583000</v>
      </c>
      <c r="F9" s="5" t="s">
        <v>309</v>
      </c>
      <c r="G9" s="5" t="s">
        <v>255</v>
      </c>
    </row>
    <row r="10" spans="1:7" x14ac:dyDescent="0.2">
      <c r="A10" s="3" t="s">
        <v>317</v>
      </c>
      <c r="B10" s="3" t="s">
        <v>318</v>
      </c>
      <c r="C10" s="3" t="s">
        <v>266</v>
      </c>
      <c r="D10" s="3" t="s">
        <v>193</v>
      </c>
      <c r="E10" s="4">
        <v>711000</v>
      </c>
      <c r="F10" s="3" t="s">
        <v>309</v>
      </c>
      <c r="G10" s="3" t="s">
        <v>255</v>
      </c>
    </row>
    <row r="11" spans="1:7" x14ac:dyDescent="0.2">
      <c r="A11" s="5" t="s">
        <v>317</v>
      </c>
      <c r="B11" s="5" t="s">
        <v>319</v>
      </c>
      <c r="C11" s="5" t="s">
        <v>267</v>
      </c>
      <c r="D11" s="5" t="s">
        <v>193</v>
      </c>
      <c r="E11" s="6">
        <v>885000</v>
      </c>
      <c r="F11" s="5" t="s">
        <v>309</v>
      </c>
      <c r="G11" s="5" t="s">
        <v>256</v>
      </c>
    </row>
    <row r="12" spans="1:7" x14ac:dyDescent="0.2">
      <c r="A12" s="3" t="s">
        <v>317</v>
      </c>
      <c r="B12" s="3" t="s">
        <v>319</v>
      </c>
      <c r="C12" s="3" t="s">
        <v>268</v>
      </c>
      <c r="D12" s="3" t="s">
        <v>193</v>
      </c>
      <c r="E12" s="4">
        <v>1263000</v>
      </c>
      <c r="F12" s="3" t="s">
        <v>309</v>
      </c>
      <c r="G12" s="3" t="s">
        <v>257</v>
      </c>
    </row>
    <row r="13" spans="1:7" x14ac:dyDescent="0.2">
      <c r="A13" s="5" t="s">
        <v>317</v>
      </c>
      <c r="B13" s="5" t="s">
        <v>319</v>
      </c>
      <c r="C13" s="5" t="s">
        <v>269</v>
      </c>
      <c r="D13" s="5" t="s">
        <v>193</v>
      </c>
      <c r="E13" s="6">
        <v>255000</v>
      </c>
      <c r="F13" s="5" t="s">
        <v>309</v>
      </c>
      <c r="G13" s="5" t="s">
        <v>258</v>
      </c>
    </row>
    <row r="14" spans="1:7" x14ac:dyDescent="0.2">
      <c r="A14" s="3" t="s">
        <v>317</v>
      </c>
      <c r="B14" s="3" t="s">
        <v>319</v>
      </c>
      <c r="C14" s="3" t="s">
        <v>270</v>
      </c>
      <c r="D14" s="3" t="s">
        <v>193</v>
      </c>
      <c r="E14" s="4">
        <v>189000</v>
      </c>
      <c r="F14" s="3" t="s">
        <v>309</v>
      </c>
      <c r="G14" s="3" t="s">
        <v>259</v>
      </c>
    </row>
    <row r="15" spans="1:7" x14ac:dyDescent="0.2">
      <c r="A15" s="5" t="s">
        <v>317</v>
      </c>
      <c r="B15" s="5" t="s">
        <v>319</v>
      </c>
      <c r="C15" s="5" t="s">
        <v>271</v>
      </c>
      <c r="D15" s="5" t="s">
        <v>193</v>
      </c>
      <c r="E15" s="6">
        <v>59000</v>
      </c>
      <c r="F15" s="5" t="s">
        <v>309</v>
      </c>
      <c r="G15" s="5" t="s">
        <v>260</v>
      </c>
    </row>
    <row r="16" spans="1:7" x14ac:dyDescent="0.2">
      <c r="A16" s="3" t="s">
        <v>317</v>
      </c>
      <c r="B16" s="3" t="s">
        <v>319</v>
      </c>
      <c r="C16" s="3" t="s">
        <v>272</v>
      </c>
      <c r="D16" s="3" t="s">
        <v>193</v>
      </c>
      <c r="E16" s="4">
        <v>843000</v>
      </c>
      <c r="F16" s="3" t="s">
        <v>309</v>
      </c>
      <c r="G16" s="3" t="s">
        <v>647</v>
      </c>
    </row>
    <row r="17" spans="1:7" x14ac:dyDescent="0.2">
      <c r="A17" s="5" t="s">
        <v>317</v>
      </c>
      <c r="B17" s="5" t="s">
        <v>319</v>
      </c>
      <c r="C17" s="5" t="s">
        <v>273</v>
      </c>
      <c r="D17" s="5" t="s">
        <v>193</v>
      </c>
      <c r="E17" s="6">
        <v>915000</v>
      </c>
      <c r="F17" s="5" t="s">
        <v>309</v>
      </c>
      <c r="G17" s="5" t="s">
        <v>647</v>
      </c>
    </row>
    <row r="18" spans="1:7" x14ac:dyDescent="0.2">
      <c r="A18" s="3" t="s">
        <v>317</v>
      </c>
      <c r="B18" s="3" t="s">
        <v>319</v>
      </c>
      <c r="C18" s="3" t="s">
        <v>274</v>
      </c>
      <c r="D18" s="3" t="s">
        <v>193</v>
      </c>
      <c r="E18" s="4">
        <v>743000</v>
      </c>
      <c r="F18" s="3" t="s">
        <v>309</v>
      </c>
      <c r="G18" s="3" t="s">
        <v>648</v>
      </c>
    </row>
    <row r="19" spans="1:7" x14ac:dyDescent="0.2">
      <c r="A19" s="5" t="s">
        <v>317</v>
      </c>
      <c r="B19" s="5" t="s">
        <v>319</v>
      </c>
      <c r="C19" s="5" t="s">
        <v>275</v>
      </c>
      <c r="D19" s="5" t="s">
        <v>193</v>
      </c>
      <c r="E19" s="6">
        <v>763000</v>
      </c>
      <c r="F19" s="5" t="s">
        <v>309</v>
      </c>
      <c r="G19" s="5" t="s">
        <v>648</v>
      </c>
    </row>
    <row r="20" spans="1:7" x14ac:dyDescent="0.2">
      <c r="A20" s="3" t="s">
        <v>317</v>
      </c>
      <c r="B20" s="3" t="s">
        <v>319</v>
      </c>
      <c r="C20" s="3" t="s">
        <v>276</v>
      </c>
      <c r="D20" s="3" t="s">
        <v>193</v>
      </c>
      <c r="E20" s="4">
        <v>1050000</v>
      </c>
      <c r="F20" s="3" t="s">
        <v>309</v>
      </c>
      <c r="G20" s="3" t="s">
        <v>649</v>
      </c>
    </row>
    <row r="21" spans="1:7" x14ac:dyDescent="0.2">
      <c r="A21" s="5" t="s">
        <v>317</v>
      </c>
      <c r="B21" s="5" t="s">
        <v>320</v>
      </c>
      <c r="C21" s="5" t="s">
        <v>5</v>
      </c>
      <c r="D21" s="5" t="s">
        <v>193</v>
      </c>
      <c r="E21" s="6">
        <v>50000</v>
      </c>
      <c r="F21" s="5" t="s">
        <v>309</v>
      </c>
      <c r="G21" s="5" t="s">
        <v>650</v>
      </c>
    </row>
    <row r="22" spans="1:7" x14ac:dyDescent="0.2">
      <c r="A22" s="3" t="s">
        <v>317</v>
      </c>
      <c r="B22" s="3" t="s">
        <v>320</v>
      </c>
      <c r="C22" s="3" t="s">
        <v>6</v>
      </c>
      <c r="D22" s="3" t="s">
        <v>193</v>
      </c>
      <c r="E22" s="4">
        <v>172000</v>
      </c>
      <c r="F22" s="3" t="s">
        <v>309</v>
      </c>
      <c r="G22" s="3" t="s">
        <v>650</v>
      </c>
    </row>
    <row r="23" spans="1:7" x14ac:dyDescent="0.2">
      <c r="A23" s="5" t="s">
        <v>317</v>
      </c>
      <c r="B23" s="5" t="s">
        <v>320</v>
      </c>
      <c r="C23" s="5" t="s">
        <v>7</v>
      </c>
      <c r="D23" s="5" t="s">
        <v>193</v>
      </c>
      <c r="E23" s="6">
        <v>183000</v>
      </c>
      <c r="F23" s="5" t="s">
        <v>309</v>
      </c>
      <c r="G23" s="5" t="s">
        <v>650</v>
      </c>
    </row>
    <row r="24" spans="1:7" x14ac:dyDescent="0.2">
      <c r="A24" s="3" t="s">
        <v>317</v>
      </c>
      <c r="B24" s="3" t="s">
        <v>320</v>
      </c>
      <c r="C24" s="3" t="s">
        <v>8</v>
      </c>
      <c r="D24" s="3" t="s">
        <v>193</v>
      </c>
      <c r="E24" s="4">
        <v>573000</v>
      </c>
      <c r="F24" s="3" t="s">
        <v>309</v>
      </c>
      <c r="G24" s="3" t="s">
        <v>650</v>
      </c>
    </row>
    <row r="25" spans="1:7" x14ac:dyDescent="0.2">
      <c r="A25" s="5" t="s">
        <v>317</v>
      </c>
      <c r="B25" s="5" t="s">
        <v>320</v>
      </c>
      <c r="C25" s="5" t="s">
        <v>9</v>
      </c>
      <c r="D25" s="5" t="s">
        <v>193</v>
      </c>
      <c r="E25" s="6">
        <v>412000</v>
      </c>
      <c r="F25" s="5" t="s">
        <v>309</v>
      </c>
      <c r="G25" s="5" t="s">
        <v>650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BE2FD-BA53-44BB-9311-74793CBCC1CE}">
  <dimension ref="A1:G140"/>
  <sheetViews>
    <sheetView zoomScale="85" zoomScaleNormal="85" workbookViewId="0">
      <selection activeCell="C40" sqref="C40"/>
    </sheetView>
  </sheetViews>
  <sheetFormatPr defaultRowHeight="12.75" x14ac:dyDescent="0.2"/>
  <cols>
    <col min="1" max="1" width="9.28515625" bestFit="1" customWidth="1"/>
    <col min="2" max="2" width="28.42578125" bestFit="1" customWidth="1"/>
    <col min="3" max="3" width="65.140625" bestFit="1" customWidth="1"/>
    <col min="4" max="4" width="11.85546875" bestFit="1" customWidth="1"/>
    <col min="5" max="5" width="5.7109375" bestFit="1" customWidth="1"/>
    <col min="6" max="6" width="7.85546875" bestFit="1" customWidth="1"/>
    <col min="7" max="7" width="97.140625" bestFit="1" customWidth="1"/>
  </cols>
  <sheetData>
    <row r="1" spans="1:7" x14ac:dyDescent="0.2">
      <c r="A1" s="2" t="s">
        <v>304</v>
      </c>
      <c r="B1" s="2" t="s">
        <v>195</v>
      </c>
      <c r="C1" s="2" t="s">
        <v>0</v>
      </c>
      <c r="D1" s="2" t="s">
        <v>1</v>
      </c>
      <c r="E1" s="2" t="s">
        <v>2</v>
      </c>
      <c r="F1" s="2" t="s">
        <v>305</v>
      </c>
      <c r="G1" s="2" t="s">
        <v>196</v>
      </c>
    </row>
    <row r="2" spans="1:7" x14ac:dyDescent="0.2">
      <c r="A2" s="5" t="s">
        <v>321</v>
      </c>
      <c r="B2" s="5" t="s">
        <v>194</v>
      </c>
      <c r="C2" s="5" t="s">
        <v>10</v>
      </c>
      <c r="D2" s="6">
        <v>57000</v>
      </c>
      <c r="E2" s="5" t="s">
        <v>192</v>
      </c>
      <c r="F2" s="5" t="s">
        <v>309</v>
      </c>
      <c r="G2" s="5"/>
    </row>
    <row r="3" spans="1:7" x14ac:dyDescent="0.2">
      <c r="A3" s="3" t="s">
        <v>321</v>
      </c>
      <c r="B3" s="3" t="s">
        <v>194</v>
      </c>
      <c r="C3" s="3" t="s">
        <v>11</v>
      </c>
      <c r="D3" s="4">
        <v>128000</v>
      </c>
      <c r="E3" s="3" t="s">
        <v>322</v>
      </c>
      <c r="F3" s="3" t="s">
        <v>309</v>
      </c>
      <c r="G3" s="3"/>
    </row>
    <row r="4" spans="1:7" x14ac:dyDescent="0.2">
      <c r="A4" s="5" t="s">
        <v>321</v>
      </c>
      <c r="B4" s="5" t="s">
        <v>194</v>
      </c>
      <c r="C4" s="5" t="s">
        <v>12</v>
      </c>
      <c r="D4" s="6">
        <v>255000</v>
      </c>
      <c r="E4" s="5" t="s">
        <v>322</v>
      </c>
      <c r="F4" s="5" t="s">
        <v>309</v>
      </c>
      <c r="G4" s="5"/>
    </row>
    <row r="5" spans="1:7" x14ac:dyDescent="0.2">
      <c r="A5" s="3" t="s">
        <v>321</v>
      </c>
      <c r="B5" s="3" t="s">
        <v>323</v>
      </c>
      <c r="C5" s="3" t="s">
        <v>13</v>
      </c>
      <c r="D5" s="4">
        <v>3680000</v>
      </c>
      <c r="E5" s="3" t="s">
        <v>322</v>
      </c>
      <c r="F5" s="3" t="s">
        <v>309</v>
      </c>
      <c r="G5" s="3" t="s">
        <v>207</v>
      </c>
    </row>
    <row r="6" spans="1:7" x14ac:dyDescent="0.2">
      <c r="A6" s="5" t="s">
        <v>321</v>
      </c>
      <c r="B6" s="5" t="s">
        <v>323</v>
      </c>
      <c r="C6" s="5" t="s">
        <v>14</v>
      </c>
      <c r="D6" s="6">
        <v>3840000</v>
      </c>
      <c r="E6" s="5" t="s">
        <v>322</v>
      </c>
      <c r="F6" s="5" t="s">
        <v>309</v>
      </c>
      <c r="G6" s="5" t="s">
        <v>207</v>
      </c>
    </row>
    <row r="7" spans="1:7" x14ac:dyDescent="0.2">
      <c r="A7" s="3" t="s">
        <v>321</v>
      </c>
      <c r="B7" s="3" t="s">
        <v>323</v>
      </c>
      <c r="C7" s="3" t="s">
        <v>15</v>
      </c>
      <c r="D7" s="4">
        <v>3990000</v>
      </c>
      <c r="E7" s="3" t="s">
        <v>322</v>
      </c>
      <c r="F7" s="3" t="s">
        <v>309</v>
      </c>
      <c r="G7" s="3" t="s">
        <v>207</v>
      </c>
    </row>
    <row r="8" spans="1:7" x14ac:dyDescent="0.2">
      <c r="A8" s="5" t="s">
        <v>321</v>
      </c>
      <c r="B8" s="5" t="s">
        <v>323</v>
      </c>
      <c r="C8" s="5" t="s">
        <v>16</v>
      </c>
      <c r="D8" s="6">
        <v>4150000</v>
      </c>
      <c r="E8" s="5" t="s">
        <v>322</v>
      </c>
      <c r="F8" s="5" t="s">
        <v>309</v>
      </c>
      <c r="G8" s="5" t="s">
        <v>207</v>
      </c>
    </row>
    <row r="9" spans="1:7" x14ac:dyDescent="0.2">
      <c r="A9" s="3" t="s">
        <v>321</v>
      </c>
      <c r="B9" s="3" t="s">
        <v>323</v>
      </c>
      <c r="C9" s="3" t="s">
        <v>17</v>
      </c>
      <c r="D9" s="4">
        <v>4470000</v>
      </c>
      <c r="E9" s="3" t="s">
        <v>322</v>
      </c>
      <c r="F9" s="3" t="s">
        <v>309</v>
      </c>
      <c r="G9" s="3" t="s">
        <v>207</v>
      </c>
    </row>
    <row r="10" spans="1:7" x14ac:dyDescent="0.2">
      <c r="A10" s="5" t="s">
        <v>321</v>
      </c>
      <c r="B10" s="5" t="s">
        <v>323</v>
      </c>
      <c r="C10" s="5" t="s">
        <v>18</v>
      </c>
      <c r="D10" s="6">
        <v>4630000</v>
      </c>
      <c r="E10" s="5" t="s">
        <v>322</v>
      </c>
      <c r="F10" s="5" t="s">
        <v>309</v>
      </c>
      <c r="G10" s="5" t="s">
        <v>207</v>
      </c>
    </row>
    <row r="11" spans="1:7" x14ac:dyDescent="0.2">
      <c r="A11" s="3" t="s">
        <v>321</v>
      </c>
      <c r="B11" s="3" t="s">
        <v>323</v>
      </c>
      <c r="C11" s="3" t="s">
        <v>19</v>
      </c>
      <c r="D11" s="4">
        <v>4790000</v>
      </c>
      <c r="E11" s="3" t="s">
        <v>322</v>
      </c>
      <c r="F11" s="3" t="s">
        <v>309</v>
      </c>
      <c r="G11" s="3" t="s">
        <v>207</v>
      </c>
    </row>
    <row r="12" spans="1:7" x14ac:dyDescent="0.2">
      <c r="A12" s="5" t="s">
        <v>321</v>
      </c>
      <c r="B12" s="5" t="s">
        <v>323</v>
      </c>
      <c r="C12" s="5" t="s">
        <v>20</v>
      </c>
      <c r="D12" s="6">
        <v>5110000</v>
      </c>
      <c r="E12" s="5" t="s">
        <v>322</v>
      </c>
      <c r="F12" s="5" t="s">
        <v>309</v>
      </c>
      <c r="G12" s="5" t="s">
        <v>207</v>
      </c>
    </row>
    <row r="13" spans="1:7" x14ac:dyDescent="0.2">
      <c r="A13" s="3" t="s">
        <v>321</v>
      </c>
      <c r="B13" s="3" t="s">
        <v>323</v>
      </c>
      <c r="C13" s="3" t="s">
        <v>21</v>
      </c>
      <c r="D13" s="4">
        <v>5420000</v>
      </c>
      <c r="E13" s="3" t="s">
        <v>322</v>
      </c>
      <c r="F13" s="3" t="s">
        <v>309</v>
      </c>
      <c r="G13" s="3" t="s">
        <v>207</v>
      </c>
    </row>
    <row r="14" spans="1:7" x14ac:dyDescent="0.2">
      <c r="A14" s="5" t="s">
        <v>321</v>
      </c>
      <c r="B14" s="5" t="s">
        <v>323</v>
      </c>
      <c r="C14" s="5" t="s">
        <v>22</v>
      </c>
      <c r="D14" s="6">
        <v>5740000</v>
      </c>
      <c r="E14" s="5" t="s">
        <v>322</v>
      </c>
      <c r="F14" s="5" t="s">
        <v>309</v>
      </c>
      <c r="G14" s="5" t="s">
        <v>207</v>
      </c>
    </row>
    <row r="15" spans="1:7" x14ac:dyDescent="0.2">
      <c r="A15" s="3" t="s">
        <v>321</v>
      </c>
      <c r="B15" s="3" t="s">
        <v>323</v>
      </c>
      <c r="C15" s="3" t="s">
        <v>23</v>
      </c>
      <c r="D15" s="4">
        <v>6060000</v>
      </c>
      <c r="E15" s="3" t="s">
        <v>322</v>
      </c>
      <c r="F15" s="3" t="s">
        <v>309</v>
      </c>
      <c r="G15" s="3" t="s">
        <v>207</v>
      </c>
    </row>
    <row r="16" spans="1:7" x14ac:dyDescent="0.2">
      <c r="A16" s="5" t="s">
        <v>321</v>
      </c>
      <c r="B16" s="5" t="s">
        <v>324</v>
      </c>
      <c r="C16" s="5" t="s">
        <v>24</v>
      </c>
      <c r="D16" s="6">
        <v>4390000</v>
      </c>
      <c r="E16" s="5" t="s">
        <v>322</v>
      </c>
      <c r="F16" s="5" t="s">
        <v>309</v>
      </c>
      <c r="G16" s="5" t="s">
        <v>208</v>
      </c>
    </row>
    <row r="17" spans="1:7" x14ac:dyDescent="0.2">
      <c r="A17" s="3" t="s">
        <v>321</v>
      </c>
      <c r="B17" s="3" t="s">
        <v>324</v>
      </c>
      <c r="C17" s="3" t="s">
        <v>25</v>
      </c>
      <c r="D17" s="4">
        <v>5110000</v>
      </c>
      <c r="E17" s="3" t="s">
        <v>322</v>
      </c>
      <c r="F17" s="3" t="s">
        <v>309</v>
      </c>
      <c r="G17" s="3" t="s">
        <v>208</v>
      </c>
    </row>
    <row r="18" spans="1:7" x14ac:dyDescent="0.2">
      <c r="A18" s="5" t="s">
        <v>321</v>
      </c>
      <c r="B18" s="5" t="s">
        <v>324</v>
      </c>
      <c r="C18" s="5" t="s">
        <v>26</v>
      </c>
      <c r="D18" s="6">
        <v>5470000</v>
      </c>
      <c r="E18" s="5" t="s">
        <v>322</v>
      </c>
      <c r="F18" s="5" t="s">
        <v>309</v>
      </c>
      <c r="G18" s="5" t="s">
        <v>208</v>
      </c>
    </row>
    <row r="19" spans="1:7" x14ac:dyDescent="0.2">
      <c r="A19" s="3" t="s">
        <v>321</v>
      </c>
      <c r="B19" s="3" t="s">
        <v>324</v>
      </c>
      <c r="C19" s="3" t="s">
        <v>27</v>
      </c>
      <c r="D19" s="4">
        <v>5690000</v>
      </c>
      <c r="E19" s="3" t="s">
        <v>322</v>
      </c>
      <c r="F19" s="3" t="s">
        <v>309</v>
      </c>
      <c r="G19" s="3" t="s">
        <v>208</v>
      </c>
    </row>
    <row r="20" spans="1:7" x14ac:dyDescent="0.2">
      <c r="A20" s="5" t="s">
        <v>321</v>
      </c>
      <c r="B20" s="5" t="s">
        <v>324</v>
      </c>
      <c r="C20" s="5" t="s">
        <v>28</v>
      </c>
      <c r="D20" s="6">
        <v>5830000</v>
      </c>
      <c r="E20" s="5" t="s">
        <v>322</v>
      </c>
      <c r="F20" s="5" t="s">
        <v>309</v>
      </c>
      <c r="G20" s="5" t="s">
        <v>208</v>
      </c>
    </row>
    <row r="21" spans="1:7" x14ac:dyDescent="0.2">
      <c r="A21" s="3" t="s">
        <v>321</v>
      </c>
      <c r="B21" s="3" t="s">
        <v>324</v>
      </c>
      <c r="C21" s="3" t="s">
        <v>29</v>
      </c>
      <c r="D21" s="4">
        <v>6190000</v>
      </c>
      <c r="E21" s="3" t="s">
        <v>322</v>
      </c>
      <c r="F21" s="3" t="s">
        <v>309</v>
      </c>
      <c r="G21" s="3" t="s">
        <v>208</v>
      </c>
    </row>
    <row r="22" spans="1:7" x14ac:dyDescent="0.2">
      <c r="A22" s="5" t="s">
        <v>321</v>
      </c>
      <c r="B22" s="5" t="s">
        <v>324</v>
      </c>
      <c r="C22" s="5" t="s">
        <v>30</v>
      </c>
      <c r="D22" s="6">
        <v>6550000</v>
      </c>
      <c r="E22" s="5" t="s">
        <v>322</v>
      </c>
      <c r="F22" s="5" t="s">
        <v>309</v>
      </c>
      <c r="G22" s="5" t="s">
        <v>208</v>
      </c>
    </row>
    <row r="23" spans="1:7" x14ac:dyDescent="0.2">
      <c r="A23" s="3" t="s">
        <v>321</v>
      </c>
      <c r="B23" s="3" t="s">
        <v>325</v>
      </c>
      <c r="C23" s="3" t="s">
        <v>31</v>
      </c>
      <c r="D23" s="4">
        <v>1145000</v>
      </c>
      <c r="E23" s="3" t="s">
        <v>322</v>
      </c>
      <c r="F23" s="3" t="s">
        <v>309</v>
      </c>
      <c r="G23" s="3" t="s">
        <v>240</v>
      </c>
    </row>
    <row r="24" spans="1:7" x14ac:dyDescent="0.2">
      <c r="A24" s="5" t="s">
        <v>321</v>
      </c>
      <c r="B24" s="5" t="s">
        <v>325</v>
      </c>
      <c r="C24" s="5" t="s">
        <v>32</v>
      </c>
      <c r="D24" s="6">
        <v>1153000</v>
      </c>
      <c r="E24" s="5" t="s">
        <v>322</v>
      </c>
      <c r="F24" s="5" t="s">
        <v>309</v>
      </c>
      <c r="G24" s="5" t="s">
        <v>240</v>
      </c>
    </row>
    <row r="25" spans="1:7" x14ac:dyDescent="0.2">
      <c r="A25" s="3" t="s">
        <v>321</v>
      </c>
      <c r="B25" s="3" t="s">
        <v>325</v>
      </c>
      <c r="C25" s="3" t="s">
        <v>33</v>
      </c>
      <c r="D25" s="4">
        <v>1196000</v>
      </c>
      <c r="E25" s="3" t="s">
        <v>322</v>
      </c>
      <c r="F25" s="3" t="s">
        <v>309</v>
      </c>
      <c r="G25" s="3" t="s">
        <v>240</v>
      </c>
    </row>
    <row r="26" spans="1:7" x14ac:dyDescent="0.2">
      <c r="A26" s="5" t="s">
        <v>321</v>
      </c>
      <c r="B26" s="5" t="s">
        <v>325</v>
      </c>
      <c r="C26" s="5" t="s">
        <v>34</v>
      </c>
      <c r="D26" s="6">
        <v>1349000</v>
      </c>
      <c r="E26" s="5" t="s">
        <v>322</v>
      </c>
      <c r="F26" s="5" t="s">
        <v>309</v>
      </c>
      <c r="G26" s="5" t="s">
        <v>240</v>
      </c>
    </row>
    <row r="27" spans="1:7" x14ac:dyDescent="0.2">
      <c r="A27" s="3" t="s">
        <v>321</v>
      </c>
      <c r="B27" s="3" t="s">
        <v>325</v>
      </c>
      <c r="C27" s="3" t="s">
        <v>35</v>
      </c>
      <c r="D27" s="4">
        <v>1451000</v>
      </c>
      <c r="E27" s="3" t="s">
        <v>322</v>
      </c>
      <c r="F27" s="3" t="s">
        <v>309</v>
      </c>
      <c r="G27" s="3" t="s">
        <v>240</v>
      </c>
    </row>
    <row r="28" spans="1:7" x14ac:dyDescent="0.2">
      <c r="A28" s="5" t="s">
        <v>321</v>
      </c>
      <c r="B28" s="5" t="s">
        <v>325</v>
      </c>
      <c r="C28" s="5" t="s">
        <v>36</v>
      </c>
      <c r="D28" s="6">
        <v>1554000</v>
      </c>
      <c r="E28" s="5" t="s">
        <v>322</v>
      </c>
      <c r="F28" s="5" t="s">
        <v>309</v>
      </c>
      <c r="G28" s="5" t="s">
        <v>240</v>
      </c>
    </row>
    <row r="29" spans="1:7" x14ac:dyDescent="0.2">
      <c r="A29" s="3" t="s">
        <v>321</v>
      </c>
      <c r="B29" s="3" t="s">
        <v>325</v>
      </c>
      <c r="C29" s="3" t="s">
        <v>37</v>
      </c>
      <c r="D29" s="4">
        <v>1758000</v>
      </c>
      <c r="E29" s="3" t="s">
        <v>322</v>
      </c>
      <c r="F29" s="3" t="s">
        <v>309</v>
      </c>
      <c r="G29" s="3" t="s">
        <v>240</v>
      </c>
    </row>
    <row r="30" spans="1:7" x14ac:dyDescent="0.2">
      <c r="A30" s="5" t="s">
        <v>321</v>
      </c>
      <c r="B30" s="5" t="s">
        <v>326</v>
      </c>
      <c r="C30" s="5" t="s">
        <v>38</v>
      </c>
      <c r="D30" s="6">
        <v>2545000</v>
      </c>
      <c r="E30" s="5" t="s">
        <v>322</v>
      </c>
      <c r="F30" s="5" t="s">
        <v>309</v>
      </c>
      <c r="G30" s="5" t="s">
        <v>241</v>
      </c>
    </row>
    <row r="31" spans="1:7" x14ac:dyDescent="0.2">
      <c r="A31" s="3" t="s">
        <v>321</v>
      </c>
      <c r="B31" s="3" t="s">
        <v>326</v>
      </c>
      <c r="C31" s="3" t="s">
        <v>39</v>
      </c>
      <c r="D31" s="4">
        <v>2553000</v>
      </c>
      <c r="E31" s="3" t="s">
        <v>322</v>
      </c>
      <c r="F31" s="3" t="s">
        <v>309</v>
      </c>
      <c r="G31" s="3" t="s">
        <v>241</v>
      </c>
    </row>
    <row r="32" spans="1:7" x14ac:dyDescent="0.2">
      <c r="A32" s="5" t="s">
        <v>321</v>
      </c>
      <c r="B32" s="5" t="s">
        <v>326</v>
      </c>
      <c r="C32" s="5" t="s">
        <v>40</v>
      </c>
      <c r="D32" s="6">
        <v>2596000</v>
      </c>
      <c r="E32" s="5" t="s">
        <v>322</v>
      </c>
      <c r="F32" s="5" t="s">
        <v>309</v>
      </c>
      <c r="G32" s="5" t="s">
        <v>241</v>
      </c>
    </row>
    <row r="33" spans="1:7" x14ac:dyDescent="0.2">
      <c r="A33" s="3" t="s">
        <v>321</v>
      </c>
      <c r="B33" s="3" t="s">
        <v>326</v>
      </c>
      <c r="C33" s="3" t="s">
        <v>41</v>
      </c>
      <c r="D33" s="4">
        <v>2749000</v>
      </c>
      <c r="E33" s="3" t="s">
        <v>322</v>
      </c>
      <c r="F33" s="3" t="s">
        <v>309</v>
      </c>
      <c r="G33" s="3" t="s">
        <v>241</v>
      </c>
    </row>
    <row r="34" spans="1:7" x14ac:dyDescent="0.2">
      <c r="A34" s="5" t="s">
        <v>321</v>
      </c>
      <c r="B34" s="5" t="s">
        <v>326</v>
      </c>
      <c r="C34" s="5" t="s">
        <v>42</v>
      </c>
      <c r="D34" s="6">
        <v>2766000</v>
      </c>
      <c r="E34" s="5" t="s">
        <v>322</v>
      </c>
      <c r="F34" s="5" t="s">
        <v>309</v>
      </c>
      <c r="G34" s="5" t="s">
        <v>241</v>
      </c>
    </row>
    <row r="35" spans="1:7" x14ac:dyDescent="0.2">
      <c r="A35" s="3" t="s">
        <v>321</v>
      </c>
      <c r="B35" s="3" t="s">
        <v>326</v>
      </c>
      <c r="C35" s="3" t="s">
        <v>327</v>
      </c>
      <c r="D35" s="4">
        <v>2562000</v>
      </c>
      <c r="E35" s="3" t="s">
        <v>322</v>
      </c>
      <c r="F35" s="3" t="s">
        <v>309</v>
      </c>
      <c r="G35" s="3" t="s">
        <v>241</v>
      </c>
    </row>
    <row r="36" spans="1:7" x14ac:dyDescent="0.2">
      <c r="A36" s="5" t="s">
        <v>321</v>
      </c>
      <c r="B36" s="5" t="s">
        <v>326</v>
      </c>
      <c r="C36" s="5" t="s">
        <v>43</v>
      </c>
      <c r="D36" s="6">
        <v>2604000</v>
      </c>
      <c r="E36" s="5" t="s">
        <v>322</v>
      </c>
      <c r="F36" s="5" t="s">
        <v>309</v>
      </c>
      <c r="G36" s="5" t="s">
        <v>241</v>
      </c>
    </row>
    <row r="37" spans="1:7" x14ac:dyDescent="0.2">
      <c r="A37" s="3" t="s">
        <v>321</v>
      </c>
      <c r="B37" s="3" t="s">
        <v>326</v>
      </c>
      <c r="C37" s="3" t="s">
        <v>44</v>
      </c>
      <c r="D37" s="4">
        <v>2757000</v>
      </c>
      <c r="E37" s="3" t="s">
        <v>322</v>
      </c>
      <c r="F37" s="3" t="s">
        <v>309</v>
      </c>
      <c r="G37" s="3" t="s">
        <v>241</v>
      </c>
    </row>
    <row r="38" spans="1:7" x14ac:dyDescent="0.2">
      <c r="A38" s="5" t="s">
        <v>321</v>
      </c>
      <c r="B38" s="5" t="s">
        <v>326</v>
      </c>
      <c r="C38" s="5" t="s">
        <v>45</v>
      </c>
      <c r="D38" s="6">
        <v>2774000</v>
      </c>
      <c r="E38" s="5" t="s">
        <v>322</v>
      </c>
      <c r="F38" s="5" t="s">
        <v>309</v>
      </c>
      <c r="G38" s="5" t="s">
        <v>241</v>
      </c>
    </row>
    <row r="39" spans="1:7" x14ac:dyDescent="0.2">
      <c r="A39" s="3" t="s">
        <v>321</v>
      </c>
      <c r="B39" s="3" t="s">
        <v>326</v>
      </c>
      <c r="C39" s="3" t="s">
        <v>46</v>
      </c>
      <c r="D39" s="4">
        <v>2647000</v>
      </c>
      <c r="E39" s="3" t="s">
        <v>322</v>
      </c>
      <c r="F39" s="3" t="s">
        <v>309</v>
      </c>
      <c r="G39" s="3" t="s">
        <v>241</v>
      </c>
    </row>
    <row r="40" spans="1:7" x14ac:dyDescent="0.2">
      <c r="A40" s="5" t="s">
        <v>321</v>
      </c>
      <c r="B40" s="5" t="s">
        <v>326</v>
      </c>
      <c r="C40" s="5" t="s">
        <v>47</v>
      </c>
      <c r="D40" s="6">
        <v>2800000</v>
      </c>
      <c r="E40" s="5" t="s">
        <v>322</v>
      </c>
      <c r="F40" s="5" t="s">
        <v>309</v>
      </c>
      <c r="G40" s="5" t="s">
        <v>241</v>
      </c>
    </row>
    <row r="41" spans="1:7" x14ac:dyDescent="0.2">
      <c r="A41" s="3" t="s">
        <v>321</v>
      </c>
      <c r="B41" s="3" t="s">
        <v>326</v>
      </c>
      <c r="C41" s="3" t="s">
        <v>48</v>
      </c>
      <c r="D41" s="4">
        <v>2817000</v>
      </c>
      <c r="E41" s="3" t="s">
        <v>322</v>
      </c>
      <c r="F41" s="3" t="s">
        <v>309</v>
      </c>
      <c r="G41" s="3" t="s">
        <v>241</v>
      </c>
    </row>
    <row r="42" spans="1:7" x14ac:dyDescent="0.2">
      <c r="A42" s="5" t="s">
        <v>321</v>
      </c>
      <c r="B42" s="5" t="s">
        <v>326</v>
      </c>
      <c r="C42" s="5" t="s">
        <v>49</v>
      </c>
      <c r="D42" s="6">
        <v>2953000</v>
      </c>
      <c r="E42" s="5" t="s">
        <v>322</v>
      </c>
      <c r="F42" s="5" t="s">
        <v>309</v>
      </c>
      <c r="G42" s="5" t="s">
        <v>241</v>
      </c>
    </row>
    <row r="43" spans="1:7" x14ac:dyDescent="0.2">
      <c r="A43" s="3" t="s">
        <v>321</v>
      </c>
      <c r="B43" s="3" t="s">
        <v>326</v>
      </c>
      <c r="C43" s="3" t="s">
        <v>50</v>
      </c>
      <c r="D43" s="4">
        <v>2970000</v>
      </c>
      <c r="E43" s="3" t="s">
        <v>322</v>
      </c>
      <c r="F43" s="3" t="s">
        <v>309</v>
      </c>
      <c r="G43" s="3" t="s">
        <v>241</v>
      </c>
    </row>
    <row r="44" spans="1:7" x14ac:dyDescent="0.2">
      <c r="A44" s="5" t="s">
        <v>321</v>
      </c>
      <c r="B44" s="5" t="s">
        <v>326</v>
      </c>
      <c r="C44" s="5" t="s">
        <v>51</v>
      </c>
      <c r="D44" s="6">
        <v>2987000</v>
      </c>
      <c r="E44" s="5" t="s">
        <v>322</v>
      </c>
      <c r="F44" s="5" t="s">
        <v>309</v>
      </c>
      <c r="G44" s="5" t="s">
        <v>241</v>
      </c>
    </row>
    <row r="45" spans="1:7" x14ac:dyDescent="0.2">
      <c r="A45" s="3" t="s">
        <v>321</v>
      </c>
      <c r="B45" s="3" t="s">
        <v>328</v>
      </c>
      <c r="C45" s="3" t="s">
        <v>52</v>
      </c>
      <c r="D45" s="4">
        <v>600000</v>
      </c>
      <c r="E45" s="3" t="s">
        <v>322</v>
      </c>
      <c r="F45" s="3" t="s">
        <v>309</v>
      </c>
      <c r="G45" s="3" t="s">
        <v>242</v>
      </c>
    </row>
    <row r="46" spans="1:7" x14ac:dyDescent="0.2">
      <c r="A46" s="5" t="s">
        <v>321</v>
      </c>
      <c r="B46" s="5" t="s">
        <v>328</v>
      </c>
      <c r="C46" s="5" t="s">
        <v>53</v>
      </c>
      <c r="D46" s="6">
        <v>605000</v>
      </c>
      <c r="E46" s="5" t="s">
        <v>322</v>
      </c>
      <c r="F46" s="5" t="s">
        <v>309</v>
      </c>
      <c r="G46" s="5" t="s">
        <v>242</v>
      </c>
    </row>
    <row r="47" spans="1:7" x14ac:dyDescent="0.2">
      <c r="A47" s="3" t="s">
        <v>321</v>
      </c>
      <c r="B47" s="3" t="s">
        <v>328</v>
      </c>
      <c r="C47" s="3" t="s">
        <v>54</v>
      </c>
      <c r="D47" s="4">
        <v>630000</v>
      </c>
      <c r="E47" s="3" t="s">
        <v>322</v>
      </c>
      <c r="F47" s="3" t="s">
        <v>309</v>
      </c>
      <c r="G47" s="3" t="s">
        <v>242</v>
      </c>
    </row>
    <row r="48" spans="1:7" x14ac:dyDescent="0.2">
      <c r="A48" s="5" t="s">
        <v>321</v>
      </c>
      <c r="B48" s="5" t="s">
        <v>328</v>
      </c>
      <c r="C48" s="5" t="s">
        <v>55</v>
      </c>
      <c r="D48" s="6">
        <v>718000</v>
      </c>
      <c r="E48" s="5" t="s">
        <v>322</v>
      </c>
      <c r="F48" s="5" t="s">
        <v>309</v>
      </c>
      <c r="G48" s="5" t="s">
        <v>242</v>
      </c>
    </row>
    <row r="49" spans="1:7" x14ac:dyDescent="0.2">
      <c r="A49" s="3" t="s">
        <v>321</v>
      </c>
      <c r="B49" s="3" t="s">
        <v>328</v>
      </c>
      <c r="C49" s="3" t="s">
        <v>220</v>
      </c>
      <c r="D49" s="4">
        <v>993000</v>
      </c>
      <c r="E49" s="3" t="s">
        <v>322</v>
      </c>
      <c r="F49" s="3" t="s">
        <v>309</v>
      </c>
      <c r="G49" s="3" t="s">
        <v>243</v>
      </c>
    </row>
    <row r="50" spans="1:7" x14ac:dyDescent="0.2">
      <c r="A50" s="5" t="s">
        <v>321</v>
      </c>
      <c r="B50" s="5" t="s">
        <v>328</v>
      </c>
      <c r="C50" s="5" t="s">
        <v>221</v>
      </c>
      <c r="D50" s="6">
        <v>1052000</v>
      </c>
      <c r="E50" s="5" t="s">
        <v>322</v>
      </c>
      <c r="F50" s="5" t="s">
        <v>309</v>
      </c>
      <c r="G50" s="5" t="s">
        <v>243</v>
      </c>
    </row>
    <row r="51" spans="1:7" x14ac:dyDescent="0.2">
      <c r="A51" s="3" t="s">
        <v>321</v>
      </c>
      <c r="B51" s="3" t="s">
        <v>328</v>
      </c>
      <c r="C51" s="3" t="s">
        <v>222</v>
      </c>
      <c r="D51" s="4">
        <v>1170000</v>
      </c>
      <c r="E51" s="3" t="s">
        <v>322</v>
      </c>
      <c r="F51" s="3" t="s">
        <v>309</v>
      </c>
      <c r="G51" s="3" t="s">
        <v>243</v>
      </c>
    </row>
    <row r="52" spans="1:7" x14ac:dyDescent="0.2">
      <c r="A52" s="5" t="s">
        <v>321</v>
      </c>
      <c r="B52" s="5" t="s">
        <v>329</v>
      </c>
      <c r="C52" s="5" t="s">
        <v>56</v>
      </c>
      <c r="D52" s="6">
        <v>1200000</v>
      </c>
      <c r="E52" s="5" t="s">
        <v>322</v>
      </c>
      <c r="F52" s="5" t="s">
        <v>309</v>
      </c>
      <c r="G52" s="5" t="s">
        <v>244</v>
      </c>
    </row>
    <row r="53" spans="1:7" x14ac:dyDescent="0.2">
      <c r="A53" s="3" t="s">
        <v>321</v>
      </c>
      <c r="B53" s="3" t="s">
        <v>329</v>
      </c>
      <c r="C53" s="3" t="s">
        <v>57</v>
      </c>
      <c r="D53" s="4">
        <v>1205000</v>
      </c>
      <c r="E53" s="3" t="s">
        <v>322</v>
      </c>
      <c r="F53" s="3" t="s">
        <v>309</v>
      </c>
      <c r="G53" s="3" t="s">
        <v>244</v>
      </c>
    </row>
    <row r="54" spans="1:7" x14ac:dyDescent="0.2">
      <c r="A54" s="5" t="s">
        <v>321</v>
      </c>
      <c r="B54" s="5" t="s">
        <v>329</v>
      </c>
      <c r="C54" s="5" t="s">
        <v>58</v>
      </c>
      <c r="D54" s="6">
        <v>1230000</v>
      </c>
      <c r="E54" s="5" t="s">
        <v>322</v>
      </c>
      <c r="F54" s="5" t="s">
        <v>309</v>
      </c>
      <c r="G54" s="5" t="s">
        <v>244</v>
      </c>
    </row>
    <row r="55" spans="1:7" x14ac:dyDescent="0.2">
      <c r="A55" s="3" t="s">
        <v>321</v>
      </c>
      <c r="B55" s="3" t="s">
        <v>329</v>
      </c>
      <c r="C55" s="3" t="s">
        <v>59</v>
      </c>
      <c r="D55" s="4">
        <v>1534000</v>
      </c>
      <c r="E55" s="3" t="s">
        <v>322</v>
      </c>
      <c r="F55" s="3" t="s">
        <v>309</v>
      </c>
      <c r="G55" s="3" t="s">
        <v>244</v>
      </c>
    </row>
    <row r="56" spans="1:7" x14ac:dyDescent="0.2">
      <c r="A56" s="5" t="s">
        <v>321</v>
      </c>
      <c r="B56" s="5" t="s">
        <v>329</v>
      </c>
      <c r="C56" s="5" t="s">
        <v>60</v>
      </c>
      <c r="D56" s="6">
        <v>1543000</v>
      </c>
      <c r="E56" s="5" t="s">
        <v>322</v>
      </c>
      <c r="F56" s="5" t="s">
        <v>309</v>
      </c>
      <c r="G56" s="5" t="s">
        <v>244</v>
      </c>
    </row>
    <row r="57" spans="1:7" x14ac:dyDescent="0.2">
      <c r="A57" s="3" t="s">
        <v>321</v>
      </c>
      <c r="B57" s="3" t="s">
        <v>329</v>
      </c>
      <c r="C57" s="3" t="s">
        <v>61</v>
      </c>
      <c r="D57" s="4">
        <v>1210000</v>
      </c>
      <c r="E57" s="3" t="s">
        <v>322</v>
      </c>
      <c r="F57" s="3" t="s">
        <v>309</v>
      </c>
      <c r="G57" s="3" t="s">
        <v>244</v>
      </c>
    </row>
    <row r="58" spans="1:7" x14ac:dyDescent="0.2">
      <c r="A58" s="5" t="s">
        <v>321</v>
      </c>
      <c r="B58" s="5" t="s">
        <v>329</v>
      </c>
      <c r="C58" s="5" t="s">
        <v>62</v>
      </c>
      <c r="D58" s="6">
        <v>1235000</v>
      </c>
      <c r="E58" s="5" t="s">
        <v>322</v>
      </c>
      <c r="F58" s="5" t="s">
        <v>309</v>
      </c>
      <c r="G58" s="5" t="s">
        <v>244</v>
      </c>
    </row>
    <row r="59" spans="1:7" x14ac:dyDescent="0.2">
      <c r="A59" s="3" t="s">
        <v>321</v>
      </c>
      <c r="B59" s="3" t="s">
        <v>329</v>
      </c>
      <c r="C59" s="3" t="s">
        <v>63</v>
      </c>
      <c r="D59" s="4">
        <v>1538000</v>
      </c>
      <c r="E59" s="3" t="s">
        <v>322</v>
      </c>
      <c r="F59" s="3" t="s">
        <v>309</v>
      </c>
      <c r="G59" s="3" t="s">
        <v>244</v>
      </c>
    </row>
    <row r="60" spans="1:7" x14ac:dyDescent="0.2">
      <c r="A60" s="5" t="s">
        <v>321</v>
      </c>
      <c r="B60" s="5" t="s">
        <v>329</v>
      </c>
      <c r="C60" s="5" t="s">
        <v>64</v>
      </c>
      <c r="D60" s="6">
        <v>1548000</v>
      </c>
      <c r="E60" s="5" t="s">
        <v>322</v>
      </c>
      <c r="F60" s="5" t="s">
        <v>309</v>
      </c>
      <c r="G60" s="5" t="s">
        <v>244</v>
      </c>
    </row>
    <row r="61" spans="1:7" x14ac:dyDescent="0.2">
      <c r="A61" s="3" t="s">
        <v>321</v>
      </c>
      <c r="B61" s="3" t="s">
        <v>329</v>
      </c>
      <c r="C61" s="3" t="s">
        <v>65</v>
      </c>
      <c r="D61" s="4">
        <v>1259000</v>
      </c>
      <c r="E61" s="3" t="s">
        <v>322</v>
      </c>
      <c r="F61" s="3" t="s">
        <v>309</v>
      </c>
      <c r="G61" s="3" t="s">
        <v>244</v>
      </c>
    </row>
    <row r="62" spans="1:7" x14ac:dyDescent="0.2">
      <c r="A62" s="5" t="s">
        <v>321</v>
      </c>
      <c r="B62" s="5" t="s">
        <v>329</v>
      </c>
      <c r="C62" s="5" t="s">
        <v>66</v>
      </c>
      <c r="D62" s="6">
        <v>1563000</v>
      </c>
      <c r="E62" s="5" t="s">
        <v>322</v>
      </c>
      <c r="F62" s="5" t="s">
        <v>309</v>
      </c>
      <c r="G62" s="5" t="s">
        <v>244</v>
      </c>
    </row>
    <row r="63" spans="1:7" x14ac:dyDescent="0.2">
      <c r="A63" s="3" t="s">
        <v>321</v>
      </c>
      <c r="B63" s="3" t="s">
        <v>329</v>
      </c>
      <c r="C63" s="3" t="s">
        <v>67</v>
      </c>
      <c r="D63" s="4">
        <v>1573000</v>
      </c>
      <c r="E63" s="3" t="s">
        <v>322</v>
      </c>
      <c r="F63" s="3" t="s">
        <v>309</v>
      </c>
      <c r="G63" s="3" t="s">
        <v>244</v>
      </c>
    </row>
    <row r="64" spans="1:7" x14ac:dyDescent="0.2">
      <c r="A64" s="5" t="s">
        <v>321</v>
      </c>
      <c r="B64" s="5" t="s">
        <v>329</v>
      </c>
      <c r="C64" s="5" t="s">
        <v>68</v>
      </c>
      <c r="D64" s="6">
        <v>1867000</v>
      </c>
      <c r="E64" s="5" t="s">
        <v>322</v>
      </c>
      <c r="F64" s="5" t="s">
        <v>309</v>
      </c>
      <c r="G64" s="5" t="s">
        <v>244</v>
      </c>
    </row>
    <row r="65" spans="1:7" x14ac:dyDescent="0.2">
      <c r="A65" s="3" t="s">
        <v>321</v>
      </c>
      <c r="B65" s="3" t="s">
        <v>329</v>
      </c>
      <c r="C65" s="3" t="s">
        <v>69</v>
      </c>
      <c r="D65" s="4">
        <v>1877000</v>
      </c>
      <c r="E65" s="3" t="s">
        <v>322</v>
      </c>
      <c r="F65" s="3" t="s">
        <v>309</v>
      </c>
      <c r="G65" s="3" t="s">
        <v>244</v>
      </c>
    </row>
    <row r="66" spans="1:7" x14ac:dyDescent="0.2">
      <c r="A66" s="5" t="s">
        <v>321</v>
      </c>
      <c r="B66" s="5" t="s">
        <v>329</v>
      </c>
      <c r="C66" s="5" t="s">
        <v>70</v>
      </c>
      <c r="D66" s="6">
        <v>1886000</v>
      </c>
      <c r="E66" s="5" t="s">
        <v>322</v>
      </c>
      <c r="F66" s="5" t="s">
        <v>309</v>
      </c>
      <c r="G66" s="5" t="s">
        <v>244</v>
      </c>
    </row>
    <row r="67" spans="1:7" x14ac:dyDescent="0.2">
      <c r="A67" s="3" t="s">
        <v>321</v>
      </c>
      <c r="B67" s="3" t="s">
        <v>330</v>
      </c>
      <c r="C67" s="3" t="s">
        <v>71</v>
      </c>
      <c r="D67" s="4">
        <v>88000</v>
      </c>
      <c r="E67" s="3" t="s">
        <v>322</v>
      </c>
      <c r="F67" s="3" t="s">
        <v>309</v>
      </c>
      <c r="G67" s="3" t="s">
        <v>245</v>
      </c>
    </row>
    <row r="68" spans="1:7" x14ac:dyDescent="0.2">
      <c r="A68" s="5" t="s">
        <v>321</v>
      </c>
      <c r="B68" s="5" t="s">
        <v>330</v>
      </c>
      <c r="C68" s="5" t="s">
        <v>72</v>
      </c>
      <c r="D68" s="6">
        <v>94000</v>
      </c>
      <c r="E68" s="5" t="s">
        <v>322</v>
      </c>
      <c r="F68" s="5" t="s">
        <v>309</v>
      </c>
      <c r="G68" s="5" t="s">
        <v>245</v>
      </c>
    </row>
    <row r="69" spans="1:7" x14ac:dyDescent="0.2">
      <c r="A69" s="3" t="s">
        <v>321</v>
      </c>
      <c r="B69" s="3" t="s">
        <v>330</v>
      </c>
      <c r="C69" s="3" t="s">
        <v>73</v>
      </c>
      <c r="D69" s="4">
        <v>105000</v>
      </c>
      <c r="E69" s="3" t="s">
        <v>322</v>
      </c>
      <c r="F69" s="3" t="s">
        <v>309</v>
      </c>
      <c r="G69" s="3" t="s">
        <v>245</v>
      </c>
    </row>
    <row r="70" spans="1:7" x14ac:dyDescent="0.2">
      <c r="A70" s="5" t="s">
        <v>321</v>
      </c>
      <c r="B70" s="5" t="s">
        <v>330</v>
      </c>
      <c r="C70" s="5" t="s">
        <v>74</v>
      </c>
      <c r="D70" s="6">
        <v>137000</v>
      </c>
      <c r="E70" s="5" t="s">
        <v>322</v>
      </c>
      <c r="F70" s="5" t="s">
        <v>309</v>
      </c>
      <c r="G70" s="5" t="s">
        <v>245</v>
      </c>
    </row>
    <row r="71" spans="1:7" x14ac:dyDescent="0.2">
      <c r="A71" s="3" t="s">
        <v>321</v>
      </c>
      <c r="B71" s="3" t="s">
        <v>330</v>
      </c>
      <c r="C71" s="3" t="s">
        <v>75</v>
      </c>
      <c r="D71" s="4">
        <v>147000</v>
      </c>
      <c r="E71" s="3" t="s">
        <v>322</v>
      </c>
      <c r="F71" s="3" t="s">
        <v>309</v>
      </c>
      <c r="G71" s="3" t="s">
        <v>245</v>
      </c>
    </row>
    <row r="72" spans="1:7" x14ac:dyDescent="0.2">
      <c r="A72" s="5" t="s">
        <v>321</v>
      </c>
      <c r="B72" s="5" t="s">
        <v>331</v>
      </c>
      <c r="C72" s="5" t="s">
        <v>76</v>
      </c>
      <c r="D72" s="6">
        <v>287000</v>
      </c>
      <c r="E72" s="5" t="s">
        <v>322</v>
      </c>
      <c r="F72" s="5" t="s">
        <v>309</v>
      </c>
      <c r="G72" s="5" t="s">
        <v>246</v>
      </c>
    </row>
    <row r="73" spans="1:7" x14ac:dyDescent="0.2">
      <c r="A73" s="3" t="s">
        <v>321</v>
      </c>
      <c r="B73" s="3" t="s">
        <v>331</v>
      </c>
      <c r="C73" s="3" t="s">
        <v>77</v>
      </c>
      <c r="D73" s="4">
        <v>292000</v>
      </c>
      <c r="E73" s="3" t="s">
        <v>322</v>
      </c>
      <c r="F73" s="3" t="s">
        <v>309</v>
      </c>
      <c r="G73" s="3" t="s">
        <v>246</v>
      </c>
    </row>
    <row r="74" spans="1:7" x14ac:dyDescent="0.2">
      <c r="A74" s="5" t="s">
        <v>321</v>
      </c>
      <c r="B74" s="5" t="s">
        <v>331</v>
      </c>
      <c r="C74" s="5" t="s">
        <v>78</v>
      </c>
      <c r="D74" s="6">
        <v>303000</v>
      </c>
      <c r="E74" s="5" t="s">
        <v>322</v>
      </c>
      <c r="F74" s="5" t="s">
        <v>309</v>
      </c>
      <c r="G74" s="5" t="s">
        <v>246</v>
      </c>
    </row>
    <row r="75" spans="1:7" x14ac:dyDescent="0.2">
      <c r="A75" s="3" t="s">
        <v>321</v>
      </c>
      <c r="B75" s="3" t="s">
        <v>331</v>
      </c>
      <c r="C75" s="3" t="s">
        <v>79</v>
      </c>
      <c r="D75" s="4">
        <v>335000</v>
      </c>
      <c r="E75" s="3" t="s">
        <v>322</v>
      </c>
      <c r="F75" s="3" t="s">
        <v>309</v>
      </c>
      <c r="G75" s="3" t="s">
        <v>246</v>
      </c>
    </row>
    <row r="76" spans="1:7" x14ac:dyDescent="0.2">
      <c r="A76" s="5" t="s">
        <v>321</v>
      </c>
      <c r="B76" s="5" t="s">
        <v>331</v>
      </c>
      <c r="C76" s="5" t="s">
        <v>80</v>
      </c>
      <c r="D76" s="6">
        <v>346000</v>
      </c>
      <c r="E76" s="5" t="s">
        <v>322</v>
      </c>
      <c r="F76" s="5" t="s">
        <v>309</v>
      </c>
      <c r="G76" s="5" t="s">
        <v>246</v>
      </c>
    </row>
    <row r="77" spans="1:7" x14ac:dyDescent="0.2">
      <c r="A77" s="3" t="s">
        <v>321</v>
      </c>
      <c r="B77" s="3" t="s">
        <v>331</v>
      </c>
      <c r="C77" s="3" t="s">
        <v>332</v>
      </c>
      <c r="D77" s="4">
        <v>297000</v>
      </c>
      <c r="E77" s="3" t="s">
        <v>322</v>
      </c>
      <c r="F77" s="3" t="s">
        <v>309</v>
      </c>
      <c r="G77" s="3" t="s">
        <v>247</v>
      </c>
    </row>
    <row r="78" spans="1:7" x14ac:dyDescent="0.2">
      <c r="A78" s="5" t="s">
        <v>321</v>
      </c>
      <c r="B78" s="5" t="s">
        <v>331</v>
      </c>
      <c r="C78" s="5" t="s">
        <v>81</v>
      </c>
      <c r="D78" s="6">
        <v>308000</v>
      </c>
      <c r="E78" s="5" t="s">
        <v>322</v>
      </c>
      <c r="F78" s="5" t="s">
        <v>309</v>
      </c>
      <c r="G78" s="5" t="s">
        <v>247</v>
      </c>
    </row>
    <row r="79" spans="1:7" x14ac:dyDescent="0.2">
      <c r="A79" s="3" t="s">
        <v>321</v>
      </c>
      <c r="B79" s="3" t="s">
        <v>331</v>
      </c>
      <c r="C79" s="3" t="s">
        <v>82</v>
      </c>
      <c r="D79" s="4">
        <v>340000</v>
      </c>
      <c r="E79" s="3" t="s">
        <v>322</v>
      </c>
      <c r="F79" s="3" t="s">
        <v>309</v>
      </c>
      <c r="G79" s="3" t="s">
        <v>247</v>
      </c>
    </row>
    <row r="80" spans="1:7" x14ac:dyDescent="0.2">
      <c r="A80" s="5" t="s">
        <v>321</v>
      </c>
      <c r="B80" s="5" t="s">
        <v>331</v>
      </c>
      <c r="C80" s="5" t="s">
        <v>83</v>
      </c>
      <c r="D80" s="6">
        <v>351000</v>
      </c>
      <c r="E80" s="5" t="s">
        <v>322</v>
      </c>
      <c r="F80" s="5" t="s">
        <v>309</v>
      </c>
      <c r="G80" s="5" t="s">
        <v>247</v>
      </c>
    </row>
    <row r="81" spans="1:7" x14ac:dyDescent="0.2">
      <c r="A81" s="3" t="s">
        <v>321</v>
      </c>
      <c r="B81" s="3" t="s">
        <v>331</v>
      </c>
      <c r="C81" s="3" t="s">
        <v>84</v>
      </c>
      <c r="D81" s="4">
        <v>319000</v>
      </c>
      <c r="E81" s="3" t="s">
        <v>322</v>
      </c>
      <c r="F81" s="3" t="s">
        <v>309</v>
      </c>
      <c r="G81" s="3" t="s">
        <v>247</v>
      </c>
    </row>
    <row r="82" spans="1:7" x14ac:dyDescent="0.2">
      <c r="A82" s="5" t="s">
        <v>321</v>
      </c>
      <c r="B82" s="5" t="s">
        <v>331</v>
      </c>
      <c r="C82" s="5" t="s">
        <v>85</v>
      </c>
      <c r="D82" s="6">
        <v>351000</v>
      </c>
      <c r="E82" s="5" t="s">
        <v>322</v>
      </c>
      <c r="F82" s="5" t="s">
        <v>309</v>
      </c>
      <c r="G82" s="5" t="s">
        <v>247</v>
      </c>
    </row>
    <row r="83" spans="1:7" x14ac:dyDescent="0.2">
      <c r="A83" s="3" t="s">
        <v>321</v>
      </c>
      <c r="B83" s="3" t="s">
        <v>331</v>
      </c>
      <c r="C83" s="3" t="s">
        <v>86</v>
      </c>
      <c r="D83" s="4">
        <v>362000</v>
      </c>
      <c r="E83" s="3" t="s">
        <v>322</v>
      </c>
      <c r="F83" s="3" t="s">
        <v>309</v>
      </c>
      <c r="G83" s="3" t="s">
        <v>247</v>
      </c>
    </row>
    <row r="84" spans="1:7" x14ac:dyDescent="0.2">
      <c r="A84" s="5" t="s">
        <v>321</v>
      </c>
      <c r="B84" s="5" t="s">
        <v>331</v>
      </c>
      <c r="C84" s="5" t="s">
        <v>87</v>
      </c>
      <c r="D84" s="6">
        <v>383000</v>
      </c>
      <c r="E84" s="5" t="s">
        <v>322</v>
      </c>
      <c r="F84" s="5" t="s">
        <v>309</v>
      </c>
      <c r="G84" s="5" t="s">
        <v>247</v>
      </c>
    </row>
    <row r="85" spans="1:7" x14ac:dyDescent="0.2">
      <c r="A85" s="3" t="s">
        <v>321</v>
      </c>
      <c r="B85" s="3" t="s">
        <v>331</v>
      </c>
      <c r="C85" s="3" t="s">
        <v>88</v>
      </c>
      <c r="D85" s="4">
        <v>394000</v>
      </c>
      <c r="E85" s="3" t="s">
        <v>322</v>
      </c>
      <c r="F85" s="3" t="s">
        <v>309</v>
      </c>
      <c r="G85" s="3" t="s">
        <v>247</v>
      </c>
    </row>
    <row r="86" spans="1:7" x14ac:dyDescent="0.2">
      <c r="A86" s="5" t="s">
        <v>321</v>
      </c>
      <c r="B86" s="5" t="s">
        <v>331</v>
      </c>
      <c r="C86" s="5" t="s">
        <v>89</v>
      </c>
      <c r="D86" s="6">
        <v>405000</v>
      </c>
      <c r="E86" s="5" t="s">
        <v>322</v>
      </c>
      <c r="F86" s="5" t="s">
        <v>309</v>
      </c>
      <c r="G86" s="5" t="s">
        <v>247</v>
      </c>
    </row>
    <row r="87" spans="1:7" x14ac:dyDescent="0.2">
      <c r="A87" s="3" t="s">
        <v>321</v>
      </c>
      <c r="B87" s="3" t="s">
        <v>333</v>
      </c>
      <c r="C87" s="3" t="s">
        <v>90</v>
      </c>
      <c r="D87" s="4">
        <v>294000</v>
      </c>
      <c r="E87" s="3" t="s">
        <v>322</v>
      </c>
      <c r="F87" s="3" t="s">
        <v>309</v>
      </c>
      <c r="G87" s="3" t="s">
        <v>248</v>
      </c>
    </row>
    <row r="88" spans="1:7" x14ac:dyDescent="0.2">
      <c r="A88" s="5" t="s">
        <v>321</v>
      </c>
      <c r="B88" s="5" t="s">
        <v>333</v>
      </c>
      <c r="C88" s="5" t="s">
        <v>91</v>
      </c>
      <c r="D88" s="6">
        <v>308000</v>
      </c>
      <c r="E88" s="5" t="s">
        <v>322</v>
      </c>
      <c r="F88" s="5" t="s">
        <v>309</v>
      </c>
      <c r="G88" s="5" t="s">
        <v>248</v>
      </c>
    </row>
    <row r="89" spans="1:7" x14ac:dyDescent="0.2">
      <c r="A89" s="3" t="s">
        <v>321</v>
      </c>
      <c r="B89" s="3" t="s">
        <v>333</v>
      </c>
      <c r="C89" s="3" t="s">
        <v>92</v>
      </c>
      <c r="D89" s="4">
        <v>337000</v>
      </c>
      <c r="E89" s="3" t="s">
        <v>322</v>
      </c>
      <c r="F89" s="3" t="s">
        <v>309</v>
      </c>
      <c r="G89" s="3" t="s">
        <v>248</v>
      </c>
    </row>
    <row r="90" spans="1:7" x14ac:dyDescent="0.2">
      <c r="A90" s="5" t="s">
        <v>321</v>
      </c>
      <c r="B90" s="5" t="s">
        <v>333</v>
      </c>
      <c r="C90" s="5" t="s">
        <v>93</v>
      </c>
      <c r="D90" s="6">
        <v>422000</v>
      </c>
      <c r="E90" s="5" t="s">
        <v>322</v>
      </c>
      <c r="F90" s="5" t="s">
        <v>309</v>
      </c>
      <c r="G90" s="5" t="s">
        <v>248</v>
      </c>
    </row>
    <row r="91" spans="1:7" x14ac:dyDescent="0.2">
      <c r="A91" s="3" t="s">
        <v>321</v>
      </c>
      <c r="B91" s="3" t="s">
        <v>333</v>
      </c>
      <c r="C91" s="3" t="s">
        <v>94</v>
      </c>
      <c r="D91" s="4">
        <v>451000</v>
      </c>
      <c r="E91" s="3" t="s">
        <v>322</v>
      </c>
      <c r="F91" s="3" t="s">
        <v>309</v>
      </c>
      <c r="G91" s="3" t="s">
        <v>248</v>
      </c>
    </row>
    <row r="92" spans="1:7" x14ac:dyDescent="0.2">
      <c r="A92" s="5" t="s">
        <v>321</v>
      </c>
      <c r="B92" s="5" t="s">
        <v>333</v>
      </c>
      <c r="C92" s="5" t="s">
        <v>95</v>
      </c>
      <c r="D92" s="6">
        <v>507000</v>
      </c>
      <c r="E92" s="5" t="s">
        <v>322</v>
      </c>
      <c r="F92" s="5" t="s">
        <v>309</v>
      </c>
      <c r="G92" s="5" t="s">
        <v>651</v>
      </c>
    </row>
    <row r="93" spans="1:7" x14ac:dyDescent="0.2">
      <c r="A93" s="3" t="s">
        <v>321</v>
      </c>
      <c r="B93" s="3" t="s">
        <v>334</v>
      </c>
      <c r="C93" s="3" t="s">
        <v>96</v>
      </c>
      <c r="D93" s="4">
        <v>933000</v>
      </c>
      <c r="E93" s="3" t="s">
        <v>322</v>
      </c>
      <c r="F93" s="3" t="s">
        <v>309</v>
      </c>
      <c r="G93" s="3" t="s">
        <v>652</v>
      </c>
    </row>
    <row r="94" spans="1:7" x14ac:dyDescent="0.2">
      <c r="A94" s="5" t="s">
        <v>321</v>
      </c>
      <c r="B94" s="5" t="s">
        <v>334</v>
      </c>
      <c r="C94" s="5" t="s">
        <v>97</v>
      </c>
      <c r="D94" s="6">
        <v>266000</v>
      </c>
      <c r="E94" s="5" t="s">
        <v>322</v>
      </c>
      <c r="F94" s="5" t="s">
        <v>309</v>
      </c>
      <c r="G94" s="5"/>
    </row>
    <row r="95" spans="1:7" x14ac:dyDescent="0.2">
      <c r="A95" s="3" t="s">
        <v>321</v>
      </c>
      <c r="B95" s="3" t="s">
        <v>334</v>
      </c>
      <c r="C95" s="3" t="s">
        <v>223</v>
      </c>
      <c r="D95" s="4">
        <v>515000</v>
      </c>
      <c r="E95" s="3" t="s">
        <v>322</v>
      </c>
      <c r="F95" s="3" t="s">
        <v>309</v>
      </c>
      <c r="G95" s="3" t="s">
        <v>653</v>
      </c>
    </row>
    <row r="96" spans="1:7" x14ac:dyDescent="0.2">
      <c r="A96" s="5" t="s">
        <v>321</v>
      </c>
      <c r="B96" s="5" t="s">
        <v>334</v>
      </c>
      <c r="C96" s="5" t="s">
        <v>224</v>
      </c>
      <c r="D96" s="6">
        <v>174000</v>
      </c>
      <c r="E96" s="5" t="s">
        <v>335</v>
      </c>
      <c r="F96" s="5" t="s">
        <v>309</v>
      </c>
      <c r="G96" s="5" t="s">
        <v>209</v>
      </c>
    </row>
    <row r="97" spans="1:7" x14ac:dyDescent="0.2">
      <c r="A97" s="3" t="s">
        <v>321</v>
      </c>
      <c r="B97" s="3" t="s">
        <v>334</v>
      </c>
      <c r="C97" s="3" t="s">
        <v>225</v>
      </c>
      <c r="D97" s="4">
        <v>369000</v>
      </c>
      <c r="E97" s="3" t="s">
        <v>335</v>
      </c>
      <c r="F97" s="3" t="s">
        <v>309</v>
      </c>
      <c r="G97" s="3" t="s">
        <v>210</v>
      </c>
    </row>
    <row r="98" spans="1:7" x14ac:dyDescent="0.2">
      <c r="A98" s="5" t="s">
        <v>321</v>
      </c>
      <c r="B98" s="5" t="s">
        <v>334</v>
      </c>
      <c r="C98" s="5" t="s">
        <v>98</v>
      </c>
      <c r="D98" s="6">
        <v>1355000</v>
      </c>
      <c r="E98" s="5" t="s">
        <v>322</v>
      </c>
      <c r="F98" s="5" t="s">
        <v>309</v>
      </c>
      <c r="G98" s="5"/>
    </row>
    <row r="99" spans="1:7" x14ac:dyDescent="0.2">
      <c r="A99" s="3" t="s">
        <v>321</v>
      </c>
      <c r="B99" s="3" t="s">
        <v>334</v>
      </c>
      <c r="C99" s="3" t="s">
        <v>99</v>
      </c>
      <c r="D99" s="4">
        <v>2140000</v>
      </c>
      <c r="E99" s="3" t="s">
        <v>322</v>
      </c>
      <c r="F99" s="3" t="s">
        <v>309</v>
      </c>
      <c r="G99" s="3"/>
    </row>
    <row r="100" spans="1:7" x14ac:dyDescent="0.2">
      <c r="A100" s="5" t="s">
        <v>321</v>
      </c>
      <c r="B100" s="5" t="s">
        <v>334</v>
      </c>
      <c r="C100" s="5" t="s">
        <v>226</v>
      </c>
      <c r="D100" s="6">
        <v>533000</v>
      </c>
      <c r="E100" s="5" t="s">
        <v>322</v>
      </c>
      <c r="F100" s="5" t="s">
        <v>309</v>
      </c>
      <c r="G100" s="5" t="s">
        <v>654</v>
      </c>
    </row>
    <row r="101" spans="1:7" x14ac:dyDescent="0.2">
      <c r="A101" s="3" t="s">
        <v>321</v>
      </c>
      <c r="B101" s="3" t="s">
        <v>334</v>
      </c>
      <c r="C101" s="3" t="s">
        <v>100</v>
      </c>
      <c r="D101" s="4">
        <v>564000</v>
      </c>
      <c r="E101" s="3" t="s">
        <v>322</v>
      </c>
      <c r="F101" s="3" t="s">
        <v>309</v>
      </c>
      <c r="G101" s="3"/>
    </row>
    <row r="102" spans="1:7" x14ac:dyDescent="0.2">
      <c r="A102" s="5" t="s">
        <v>321</v>
      </c>
      <c r="B102" s="5" t="s">
        <v>334</v>
      </c>
      <c r="C102" s="5" t="s">
        <v>101</v>
      </c>
      <c r="D102" s="6">
        <v>306000</v>
      </c>
      <c r="E102" s="5" t="s">
        <v>322</v>
      </c>
      <c r="F102" s="5" t="s">
        <v>309</v>
      </c>
      <c r="G102" s="5"/>
    </row>
    <row r="103" spans="1:7" x14ac:dyDescent="0.2">
      <c r="A103" s="3" t="s">
        <v>321</v>
      </c>
      <c r="B103" s="3" t="s">
        <v>334</v>
      </c>
      <c r="C103" s="3" t="s">
        <v>102</v>
      </c>
      <c r="D103" s="4">
        <v>317000</v>
      </c>
      <c r="E103" s="3" t="s">
        <v>322</v>
      </c>
      <c r="F103" s="3" t="s">
        <v>309</v>
      </c>
      <c r="G103" s="3"/>
    </row>
    <row r="104" spans="1:7" x14ac:dyDescent="0.2">
      <c r="A104" s="5" t="s">
        <v>321</v>
      </c>
      <c r="B104" s="5" t="s">
        <v>334</v>
      </c>
      <c r="C104" s="5" t="s">
        <v>103</v>
      </c>
      <c r="D104" s="6">
        <v>74000</v>
      </c>
      <c r="E104" s="5" t="s">
        <v>335</v>
      </c>
      <c r="F104" s="5" t="s">
        <v>309</v>
      </c>
      <c r="G104" s="5"/>
    </row>
    <row r="105" spans="1:7" x14ac:dyDescent="0.2">
      <c r="A105" s="3" t="s">
        <v>321</v>
      </c>
      <c r="B105" s="3" t="s">
        <v>336</v>
      </c>
      <c r="C105" s="3" t="s">
        <v>104</v>
      </c>
      <c r="D105" s="4">
        <v>3150000</v>
      </c>
      <c r="E105" s="3" t="s">
        <v>322</v>
      </c>
      <c r="F105" s="3" t="s">
        <v>309</v>
      </c>
      <c r="G105" s="3"/>
    </row>
    <row r="106" spans="1:7" x14ac:dyDescent="0.2">
      <c r="A106" s="5" t="s">
        <v>321</v>
      </c>
      <c r="B106" s="5" t="s">
        <v>336</v>
      </c>
      <c r="C106" s="5" t="s">
        <v>337</v>
      </c>
      <c r="D106" s="6">
        <v>12455000</v>
      </c>
      <c r="E106" s="5" t="s">
        <v>322</v>
      </c>
      <c r="F106" s="5" t="s">
        <v>309</v>
      </c>
      <c r="G106" s="5" t="s">
        <v>338</v>
      </c>
    </row>
    <row r="107" spans="1:7" x14ac:dyDescent="0.2">
      <c r="A107" s="3" t="s">
        <v>321</v>
      </c>
      <c r="B107" s="3" t="s">
        <v>336</v>
      </c>
      <c r="C107" s="3" t="s">
        <v>339</v>
      </c>
      <c r="D107" s="4">
        <v>20365000</v>
      </c>
      <c r="E107" s="3" t="s">
        <v>322</v>
      </c>
      <c r="F107" s="3" t="s">
        <v>309</v>
      </c>
      <c r="G107" s="3" t="s">
        <v>340</v>
      </c>
    </row>
    <row r="108" spans="1:7" x14ac:dyDescent="0.2">
      <c r="A108" s="5" t="s">
        <v>321</v>
      </c>
      <c r="B108" s="5" t="s">
        <v>336</v>
      </c>
      <c r="C108" s="5" t="s">
        <v>105</v>
      </c>
      <c r="D108" s="6">
        <v>69600000</v>
      </c>
      <c r="E108" s="5" t="s">
        <v>322</v>
      </c>
      <c r="F108" s="5" t="s">
        <v>309</v>
      </c>
      <c r="G108" s="5"/>
    </row>
    <row r="109" spans="1:7" x14ac:dyDescent="0.2">
      <c r="A109" s="3" t="s">
        <v>321</v>
      </c>
      <c r="B109" s="3" t="s">
        <v>336</v>
      </c>
      <c r="C109" s="3" t="s">
        <v>341</v>
      </c>
      <c r="D109" s="4">
        <v>43000000</v>
      </c>
      <c r="E109" s="3" t="s">
        <v>322</v>
      </c>
      <c r="F109" s="3" t="s">
        <v>309</v>
      </c>
      <c r="G109" s="3" t="s">
        <v>249</v>
      </c>
    </row>
    <row r="110" spans="1:7" x14ac:dyDescent="0.2">
      <c r="A110" s="5" t="s">
        <v>321</v>
      </c>
      <c r="B110" s="5" t="s">
        <v>336</v>
      </c>
      <c r="C110" s="5" t="s">
        <v>342</v>
      </c>
      <c r="D110" s="6">
        <v>33542000</v>
      </c>
      <c r="E110" s="5" t="s">
        <v>322</v>
      </c>
      <c r="F110" s="5" t="s">
        <v>309</v>
      </c>
      <c r="G110" s="5"/>
    </row>
    <row r="111" spans="1:7" x14ac:dyDescent="0.2">
      <c r="A111" s="3" t="s">
        <v>321</v>
      </c>
      <c r="B111" s="3" t="s">
        <v>336</v>
      </c>
      <c r="C111" s="3" t="s">
        <v>343</v>
      </c>
      <c r="D111" s="4">
        <v>26810000</v>
      </c>
      <c r="E111" s="3" t="s">
        <v>322</v>
      </c>
      <c r="F111" s="3" t="s">
        <v>309</v>
      </c>
      <c r="G111" s="3"/>
    </row>
    <row r="112" spans="1:7" x14ac:dyDescent="0.2">
      <c r="A112" s="5" t="s">
        <v>321</v>
      </c>
      <c r="B112" s="5" t="s">
        <v>336</v>
      </c>
      <c r="C112" s="5" t="s">
        <v>227</v>
      </c>
      <c r="D112" s="6">
        <v>1639000</v>
      </c>
      <c r="E112" s="5" t="s">
        <v>322</v>
      </c>
      <c r="F112" s="5" t="s">
        <v>309</v>
      </c>
      <c r="G112" s="5" t="s">
        <v>211</v>
      </c>
    </row>
    <row r="113" spans="1:7" x14ac:dyDescent="0.2">
      <c r="A113" s="3" t="s">
        <v>321</v>
      </c>
      <c r="B113" s="3" t="s">
        <v>336</v>
      </c>
      <c r="C113" s="3" t="s">
        <v>106</v>
      </c>
      <c r="D113" s="4">
        <v>10800000</v>
      </c>
      <c r="E113" s="3" t="s">
        <v>322</v>
      </c>
      <c r="F113" s="3" t="s">
        <v>309</v>
      </c>
      <c r="G113" s="3"/>
    </row>
    <row r="114" spans="1:7" x14ac:dyDescent="0.2">
      <c r="A114" s="5" t="s">
        <v>321</v>
      </c>
      <c r="B114" s="5" t="s">
        <v>336</v>
      </c>
      <c r="C114" s="5" t="s">
        <v>228</v>
      </c>
      <c r="D114" s="6">
        <v>11950000</v>
      </c>
      <c r="E114" s="5" t="s">
        <v>322</v>
      </c>
      <c r="F114" s="5" t="s">
        <v>309</v>
      </c>
      <c r="G114" s="5" t="s">
        <v>212</v>
      </c>
    </row>
    <row r="115" spans="1:7" x14ac:dyDescent="0.2">
      <c r="A115" s="3" t="s">
        <v>321</v>
      </c>
      <c r="B115" s="3" t="s">
        <v>336</v>
      </c>
      <c r="C115" s="3" t="s">
        <v>107</v>
      </c>
      <c r="D115" s="4">
        <v>51205000</v>
      </c>
      <c r="E115" s="3" t="s">
        <v>322</v>
      </c>
      <c r="F115" s="3" t="s">
        <v>309</v>
      </c>
      <c r="G115" s="3"/>
    </row>
    <row r="116" spans="1:7" x14ac:dyDescent="0.2">
      <c r="A116" s="5" t="s">
        <v>321</v>
      </c>
      <c r="B116" s="5" t="s">
        <v>336</v>
      </c>
      <c r="C116" s="5" t="s">
        <v>108</v>
      </c>
      <c r="D116" s="6">
        <v>56674000</v>
      </c>
      <c r="E116" s="5" t="s">
        <v>322</v>
      </c>
      <c r="F116" s="5" t="s">
        <v>309</v>
      </c>
      <c r="G116" s="5"/>
    </row>
    <row r="117" spans="1:7" x14ac:dyDescent="0.2">
      <c r="A117" s="3" t="s">
        <v>321</v>
      </c>
      <c r="B117" s="3" t="s">
        <v>336</v>
      </c>
      <c r="C117" s="3" t="s">
        <v>109</v>
      </c>
      <c r="D117" s="4" t="s">
        <v>110</v>
      </c>
      <c r="E117" s="3" t="s">
        <v>322</v>
      </c>
      <c r="F117" s="3" t="s">
        <v>309</v>
      </c>
      <c r="G117" s="3"/>
    </row>
    <row r="118" spans="1:7" x14ac:dyDescent="0.2">
      <c r="A118" s="5" t="s">
        <v>321</v>
      </c>
      <c r="B118" s="5" t="s">
        <v>336</v>
      </c>
      <c r="C118" s="5" t="s">
        <v>111</v>
      </c>
      <c r="D118" s="6" t="s">
        <v>110</v>
      </c>
      <c r="E118" s="5" t="s">
        <v>322</v>
      </c>
      <c r="F118" s="5" t="s">
        <v>309</v>
      </c>
      <c r="G118" s="5"/>
    </row>
    <row r="119" spans="1:7" x14ac:dyDescent="0.2">
      <c r="A119" s="3" t="s">
        <v>321</v>
      </c>
      <c r="B119" s="3" t="s">
        <v>336</v>
      </c>
      <c r="C119" s="3" t="s">
        <v>112</v>
      </c>
      <c r="D119" s="4">
        <v>132390000</v>
      </c>
      <c r="E119" s="3" t="s">
        <v>322</v>
      </c>
      <c r="F119" s="3" t="s">
        <v>309</v>
      </c>
      <c r="G119" s="3"/>
    </row>
    <row r="120" spans="1:7" x14ac:dyDescent="0.2">
      <c r="A120" s="5" t="s">
        <v>321</v>
      </c>
      <c r="B120" s="5" t="s">
        <v>336</v>
      </c>
      <c r="C120" s="5" t="s">
        <v>229</v>
      </c>
      <c r="D120" s="6">
        <v>37700000</v>
      </c>
      <c r="E120" s="5" t="s">
        <v>322</v>
      </c>
      <c r="F120" s="5" t="s">
        <v>309</v>
      </c>
      <c r="G120" s="5" t="s">
        <v>250</v>
      </c>
    </row>
    <row r="121" spans="1:7" x14ac:dyDescent="0.2">
      <c r="A121" s="3" t="s">
        <v>321</v>
      </c>
      <c r="B121" s="3" t="s">
        <v>336</v>
      </c>
      <c r="C121" s="3" t="s">
        <v>113</v>
      </c>
      <c r="D121" s="4">
        <v>7663000</v>
      </c>
      <c r="E121" s="3" t="s">
        <v>322</v>
      </c>
      <c r="F121" s="3" t="s">
        <v>309</v>
      </c>
      <c r="G121" s="3"/>
    </row>
    <row r="122" spans="1:7" x14ac:dyDescent="0.2">
      <c r="A122" s="5" t="s">
        <v>321</v>
      </c>
      <c r="B122" s="5" t="s">
        <v>344</v>
      </c>
      <c r="C122" s="5" t="s">
        <v>114</v>
      </c>
      <c r="D122" s="6">
        <v>32111000</v>
      </c>
      <c r="E122" s="5" t="s">
        <v>322</v>
      </c>
      <c r="F122" s="5" t="s">
        <v>309</v>
      </c>
      <c r="G122" s="5"/>
    </row>
    <row r="123" spans="1:7" x14ac:dyDescent="0.2">
      <c r="A123" s="3" t="s">
        <v>321</v>
      </c>
      <c r="B123" s="3" t="s">
        <v>344</v>
      </c>
      <c r="C123" s="3" t="s">
        <v>115</v>
      </c>
      <c r="D123" s="4">
        <v>71007000</v>
      </c>
      <c r="E123" s="3" t="s">
        <v>322</v>
      </c>
      <c r="F123" s="3" t="s">
        <v>309</v>
      </c>
      <c r="G123" s="3"/>
    </row>
    <row r="124" spans="1:7" x14ac:dyDescent="0.2">
      <c r="A124" s="5" t="s">
        <v>321</v>
      </c>
      <c r="B124" s="5" t="s">
        <v>344</v>
      </c>
      <c r="C124" s="5" t="s">
        <v>116</v>
      </c>
      <c r="D124" s="6">
        <v>10671000</v>
      </c>
      <c r="E124" s="5" t="s">
        <v>322</v>
      </c>
      <c r="F124" s="5" t="s">
        <v>309</v>
      </c>
      <c r="G124" s="5"/>
    </row>
    <row r="125" spans="1:7" x14ac:dyDescent="0.2">
      <c r="A125" s="3" t="s">
        <v>321</v>
      </c>
      <c r="B125" s="3" t="s">
        <v>344</v>
      </c>
      <c r="C125" s="3" t="s">
        <v>345</v>
      </c>
      <c r="D125" s="4">
        <v>23988000</v>
      </c>
      <c r="E125" s="3" t="s">
        <v>322</v>
      </c>
      <c r="F125" s="3" t="s">
        <v>309</v>
      </c>
      <c r="G125" s="3"/>
    </row>
    <row r="126" spans="1:7" x14ac:dyDescent="0.2">
      <c r="A126" s="5" t="s">
        <v>321</v>
      </c>
      <c r="B126" s="5" t="s">
        <v>346</v>
      </c>
      <c r="C126" s="5" t="s">
        <v>117</v>
      </c>
      <c r="D126" s="6">
        <v>1982000</v>
      </c>
      <c r="E126" s="5" t="s">
        <v>322</v>
      </c>
      <c r="F126" s="5" t="s">
        <v>309</v>
      </c>
      <c r="G126" s="5"/>
    </row>
    <row r="127" spans="1:7" x14ac:dyDescent="0.2">
      <c r="A127" s="3" t="s">
        <v>321</v>
      </c>
      <c r="B127" s="3" t="s">
        <v>346</v>
      </c>
      <c r="C127" s="3" t="s">
        <v>230</v>
      </c>
      <c r="D127" s="4">
        <v>6350000</v>
      </c>
      <c r="E127" s="3" t="s">
        <v>322</v>
      </c>
      <c r="F127" s="3" t="s">
        <v>309</v>
      </c>
      <c r="G127" s="3" t="s">
        <v>213</v>
      </c>
    </row>
    <row r="128" spans="1:7" x14ac:dyDescent="0.2">
      <c r="A128" s="5" t="s">
        <v>321</v>
      </c>
      <c r="B128" s="5" t="s">
        <v>346</v>
      </c>
      <c r="C128" s="5" t="s">
        <v>231</v>
      </c>
      <c r="D128" s="6">
        <v>890000</v>
      </c>
      <c r="E128" s="5" t="s">
        <v>322</v>
      </c>
      <c r="F128" s="5" t="s">
        <v>309</v>
      </c>
      <c r="G128" s="5" t="s">
        <v>214</v>
      </c>
    </row>
    <row r="129" spans="1:7" x14ac:dyDescent="0.2">
      <c r="A129" s="3" t="s">
        <v>321</v>
      </c>
      <c r="B129" s="3" t="s">
        <v>346</v>
      </c>
      <c r="C129" s="3" t="s">
        <v>232</v>
      </c>
      <c r="D129" s="4">
        <v>939000</v>
      </c>
      <c r="E129" s="3" t="s">
        <v>322</v>
      </c>
      <c r="F129" s="3" t="s">
        <v>309</v>
      </c>
      <c r="G129" s="3" t="s">
        <v>215</v>
      </c>
    </row>
    <row r="130" spans="1:7" x14ac:dyDescent="0.2">
      <c r="A130" s="5" t="s">
        <v>321</v>
      </c>
      <c r="B130" s="5" t="s">
        <v>346</v>
      </c>
      <c r="C130" s="5" t="s">
        <v>233</v>
      </c>
      <c r="D130" s="6">
        <v>1121000</v>
      </c>
      <c r="E130" s="5" t="s">
        <v>322</v>
      </c>
      <c r="F130" s="5" t="s">
        <v>309</v>
      </c>
      <c r="G130" s="5" t="s">
        <v>215</v>
      </c>
    </row>
    <row r="131" spans="1:7" x14ac:dyDescent="0.2">
      <c r="A131" s="3" t="s">
        <v>321</v>
      </c>
      <c r="B131" s="3" t="s">
        <v>346</v>
      </c>
      <c r="C131" s="3" t="s">
        <v>234</v>
      </c>
      <c r="D131" s="4">
        <v>1195000</v>
      </c>
      <c r="E131" s="3" t="s">
        <v>322</v>
      </c>
      <c r="F131" s="3" t="s">
        <v>309</v>
      </c>
      <c r="G131" s="3" t="s">
        <v>215</v>
      </c>
    </row>
    <row r="132" spans="1:7" x14ac:dyDescent="0.2">
      <c r="A132" s="5" t="s">
        <v>321</v>
      </c>
      <c r="B132" s="5" t="s">
        <v>346</v>
      </c>
      <c r="C132" s="5" t="s">
        <v>235</v>
      </c>
      <c r="D132" s="6">
        <v>1806000</v>
      </c>
      <c r="E132" s="5" t="s">
        <v>322</v>
      </c>
      <c r="F132" s="5" t="s">
        <v>309</v>
      </c>
      <c r="G132" s="5" t="s">
        <v>216</v>
      </c>
    </row>
    <row r="133" spans="1:7" x14ac:dyDescent="0.2">
      <c r="A133" s="3" t="s">
        <v>321</v>
      </c>
      <c r="B133" s="3" t="s">
        <v>346</v>
      </c>
      <c r="C133" s="3" t="s">
        <v>236</v>
      </c>
      <c r="D133" s="4">
        <v>2508000</v>
      </c>
      <c r="E133" s="3" t="s">
        <v>322</v>
      </c>
      <c r="F133" s="3" t="s">
        <v>309</v>
      </c>
      <c r="G133" s="3" t="s">
        <v>216</v>
      </c>
    </row>
    <row r="134" spans="1:7" x14ac:dyDescent="0.2">
      <c r="A134" s="5" t="s">
        <v>321</v>
      </c>
      <c r="B134" s="5" t="s">
        <v>346</v>
      </c>
      <c r="C134" s="5" t="s">
        <v>237</v>
      </c>
      <c r="D134" s="6">
        <v>50000</v>
      </c>
      <c r="E134" s="5" t="s">
        <v>335</v>
      </c>
      <c r="F134" s="5" t="s">
        <v>309</v>
      </c>
      <c r="G134" s="5" t="s">
        <v>217</v>
      </c>
    </row>
    <row r="135" spans="1:7" x14ac:dyDescent="0.2">
      <c r="A135" s="3" t="s">
        <v>321</v>
      </c>
      <c r="B135" s="3" t="s">
        <v>346</v>
      </c>
      <c r="C135" s="3" t="s">
        <v>347</v>
      </c>
      <c r="D135" s="4">
        <v>2143000</v>
      </c>
      <c r="E135" s="3" t="s">
        <v>335</v>
      </c>
      <c r="F135" s="3" t="s">
        <v>309</v>
      </c>
      <c r="G135" s="3" t="s">
        <v>655</v>
      </c>
    </row>
    <row r="136" spans="1:7" x14ac:dyDescent="0.2">
      <c r="A136" s="5" t="s">
        <v>321</v>
      </c>
      <c r="B136" s="5" t="s">
        <v>346</v>
      </c>
      <c r="C136" s="5" t="s">
        <v>348</v>
      </c>
      <c r="D136" s="6">
        <v>2942000</v>
      </c>
      <c r="E136" s="5" t="s">
        <v>335</v>
      </c>
      <c r="F136" s="5" t="s">
        <v>309</v>
      </c>
      <c r="G136" s="5" t="s">
        <v>655</v>
      </c>
    </row>
    <row r="137" spans="1:7" x14ac:dyDescent="0.2">
      <c r="A137" s="3" t="s">
        <v>321</v>
      </c>
      <c r="B137" s="3" t="s">
        <v>346</v>
      </c>
      <c r="C137" s="3" t="s">
        <v>238</v>
      </c>
      <c r="D137" s="4">
        <v>400000</v>
      </c>
      <c r="E137" s="3" t="s">
        <v>335</v>
      </c>
      <c r="F137" s="3" t="s">
        <v>309</v>
      </c>
      <c r="G137" s="3" t="s">
        <v>218</v>
      </c>
    </row>
    <row r="138" spans="1:7" x14ac:dyDescent="0.2">
      <c r="A138" s="5" t="s">
        <v>321</v>
      </c>
      <c r="B138" s="5" t="s">
        <v>346</v>
      </c>
      <c r="C138" s="5" t="s">
        <v>239</v>
      </c>
      <c r="D138" s="6">
        <v>500000</v>
      </c>
      <c r="E138" s="5" t="s">
        <v>335</v>
      </c>
      <c r="F138" s="5" t="s">
        <v>309</v>
      </c>
      <c r="G138" s="5" t="s">
        <v>219</v>
      </c>
    </row>
    <row r="139" spans="1:7" x14ac:dyDescent="0.2">
      <c r="A139" s="3" t="s">
        <v>321</v>
      </c>
      <c r="B139" s="3" t="s">
        <v>346</v>
      </c>
      <c r="C139" s="3" t="s">
        <v>349</v>
      </c>
      <c r="D139" s="4">
        <v>56000</v>
      </c>
      <c r="E139" s="3" t="s">
        <v>335</v>
      </c>
      <c r="F139" s="3" t="s">
        <v>309</v>
      </c>
      <c r="G139" s="3"/>
    </row>
    <row r="140" spans="1:7" x14ac:dyDescent="0.2">
      <c r="A140" s="5" t="s">
        <v>321</v>
      </c>
      <c r="B140" s="5" t="s">
        <v>346</v>
      </c>
      <c r="C140" s="5" t="s">
        <v>350</v>
      </c>
      <c r="D140" s="6">
        <v>44000</v>
      </c>
      <c r="E140" s="5" t="s">
        <v>335</v>
      </c>
      <c r="F140" s="5" t="s">
        <v>309</v>
      </c>
      <c r="G140" s="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DBA8C-15F4-4DA6-8BD7-723FB5BD0A10}">
  <dimension ref="A1:G118"/>
  <sheetViews>
    <sheetView topLeftCell="A71" zoomScale="70" zoomScaleNormal="70" workbookViewId="0">
      <selection activeCell="B57" sqref="B57"/>
    </sheetView>
  </sheetViews>
  <sheetFormatPr defaultRowHeight="12.75" x14ac:dyDescent="0.2"/>
  <cols>
    <col min="1" max="1" width="11.5703125" bestFit="1" customWidth="1"/>
    <col min="2" max="2" width="19.7109375" bestFit="1" customWidth="1"/>
    <col min="3" max="3" width="73.42578125" bestFit="1" customWidth="1"/>
    <col min="4" max="4" width="10.28515625" bestFit="1" customWidth="1"/>
    <col min="5" max="5" width="6.85546875" bestFit="1" customWidth="1"/>
    <col min="6" max="6" width="10" bestFit="1" customWidth="1"/>
    <col min="7" max="7" width="64.85546875" bestFit="1" customWidth="1"/>
  </cols>
  <sheetData>
    <row r="1" spans="1:7" x14ac:dyDescent="0.2">
      <c r="A1" s="2" t="s">
        <v>304</v>
      </c>
      <c r="B1" s="2" t="s">
        <v>195</v>
      </c>
      <c r="C1" s="2" t="s">
        <v>0</v>
      </c>
      <c r="D1" s="2" t="s">
        <v>1</v>
      </c>
      <c r="E1" s="2" t="s">
        <v>2</v>
      </c>
      <c r="F1" s="2" t="s">
        <v>305</v>
      </c>
      <c r="G1" s="2" t="s">
        <v>196</v>
      </c>
    </row>
    <row r="2" spans="1:7" x14ac:dyDescent="0.2">
      <c r="A2" s="5" t="s">
        <v>351</v>
      </c>
      <c r="B2" s="5" t="s">
        <v>352</v>
      </c>
      <c r="C2" s="5" t="s">
        <v>353</v>
      </c>
      <c r="D2" s="6">
        <v>3395000</v>
      </c>
      <c r="E2" s="5" t="s">
        <v>322</v>
      </c>
      <c r="F2" s="5" t="s">
        <v>309</v>
      </c>
      <c r="G2" s="5"/>
    </row>
    <row r="3" spans="1:7" x14ac:dyDescent="0.2">
      <c r="A3" s="3" t="s">
        <v>351</v>
      </c>
      <c r="B3" s="3" t="s">
        <v>352</v>
      </c>
      <c r="C3" s="3" t="s">
        <v>354</v>
      </c>
      <c r="D3" s="4">
        <v>4031000</v>
      </c>
      <c r="E3" s="3" t="s">
        <v>322</v>
      </c>
      <c r="F3" s="3" t="s">
        <v>309</v>
      </c>
      <c r="G3" s="3"/>
    </row>
    <row r="4" spans="1:7" x14ac:dyDescent="0.2">
      <c r="A4" s="5" t="s">
        <v>351</v>
      </c>
      <c r="B4" s="5" t="s">
        <v>352</v>
      </c>
      <c r="C4" s="5" t="s">
        <v>355</v>
      </c>
      <c r="D4" s="6">
        <v>5834000</v>
      </c>
      <c r="E4" s="5" t="s">
        <v>322</v>
      </c>
      <c r="F4" s="5" t="s">
        <v>309</v>
      </c>
      <c r="G4" s="5"/>
    </row>
    <row r="5" spans="1:7" x14ac:dyDescent="0.2">
      <c r="A5" s="3" t="s">
        <v>351</v>
      </c>
      <c r="B5" s="3" t="s">
        <v>352</v>
      </c>
      <c r="C5" s="3" t="s">
        <v>356</v>
      </c>
      <c r="D5" s="4">
        <v>6682000</v>
      </c>
      <c r="E5" s="3" t="s">
        <v>322</v>
      </c>
      <c r="F5" s="3" t="s">
        <v>309</v>
      </c>
      <c r="G5" s="3"/>
    </row>
    <row r="6" spans="1:7" x14ac:dyDescent="0.2">
      <c r="A6" s="5" t="s">
        <v>351</v>
      </c>
      <c r="B6" s="5" t="s">
        <v>352</v>
      </c>
      <c r="C6" s="5" t="s">
        <v>118</v>
      </c>
      <c r="D6" s="6">
        <v>2440000</v>
      </c>
      <c r="E6" s="5" t="s">
        <v>322</v>
      </c>
      <c r="F6" s="5" t="s">
        <v>309</v>
      </c>
      <c r="G6" s="5"/>
    </row>
    <row r="7" spans="1:7" x14ac:dyDescent="0.2">
      <c r="A7" s="3" t="s">
        <v>351</v>
      </c>
      <c r="B7" s="3" t="s">
        <v>352</v>
      </c>
      <c r="C7" s="3" t="s">
        <v>119</v>
      </c>
      <c r="D7" s="4">
        <v>1804000</v>
      </c>
      <c r="E7" s="3" t="s">
        <v>322</v>
      </c>
      <c r="F7" s="3" t="s">
        <v>309</v>
      </c>
      <c r="G7" s="3"/>
    </row>
    <row r="8" spans="1:7" x14ac:dyDescent="0.2">
      <c r="A8" s="5" t="s">
        <v>351</v>
      </c>
      <c r="B8" s="5" t="s">
        <v>352</v>
      </c>
      <c r="C8" s="5" t="s">
        <v>120</v>
      </c>
      <c r="D8" s="6">
        <v>1592000</v>
      </c>
      <c r="E8" s="5" t="s">
        <v>322</v>
      </c>
      <c r="F8" s="5" t="s">
        <v>309</v>
      </c>
      <c r="G8" s="5"/>
    </row>
    <row r="9" spans="1:7" x14ac:dyDescent="0.2">
      <c r="A9" s="3" t="s">
        <v>351</v>
      </c>
      <c r="B9" s="3" t="s">
        <v>352</v>
      </c>
      <c r="C9" s="3" t="s">
        <v>121</v>
      </c>
      <c r="D9" s="4">
        <v>179000</v>
      </c>
      <c r="E9" s="3" t="s">
        <v>322</v>
      </c>
      <c r="F9" s="3" t="s">
        <v>309</v>
      </c>
      <c r="G9" s="3"/>
    </row>
    <row r="10" spans="1:7" x14ac:dyDescent="0.2">
      <c r="A10" s="5" t="s">
        <v>351</v>
      </c>
      <c r="B10" s="5" t="s">
        <v>352</v>
      </c>
      <c r="C10" s="5" t="s">
        <v>122</v>
      </c>
      <c r="D10" s="6">
        <v>254000</v>
      </c>
      <c r="E10" s="5" t="s">
        <v>322</v>
      </c>
      <c r="F10" s="5" t="s">
        <v>309</v>
      </c>
      <c r="G10" s="5"/>
    </row>
    <row r="11" spans="1:7" x14ac:dyDescent="0.2">
      <c r="A11" s="3" t="s">
        <v>351</v>
      </c>
      <c r="B11" s="3" t="s">
        <v>352</v>
      </c>
      <c r="C11" s="3" t="s">
        <v>123</v>
      </c>
      <c r="D11" s="4">
        <v>467000</v>
      </c>
      <c r="E11" s="3" t="s">
        <v>322</v>
      </c>
      <c r="F11" s="3" t="s">
        <v>309</v>
      </c>
      <c r="G11" s="3"/>
    </row>
    <row r="12" spans="1:7" x14ac:dyDescent="0.2">
      <c r="A12" s="5" t="s">
        <v>351</v>
      </c>
      <c r="B12" s="5" t="s">
        <v>352</v>
      </c>
      <c r="C12" s="5" t="s">
        <v>124</v>
      </c>
      <c r="D12" s="6">
        <v>559000</v>
      </c>
      <c r="E12" s="5" t="s">
        <v>322</v>
      </c>
      <c r="F12" s="5" t="s">
        <v>309</v>
      </c>
      <c r="G12" s="5"/>
    </row>
    <row r="13" spans="1:7" x14ac:dyDescent="0.2">
      <c r="A13" s="3" t="s">
        <v>351</v>
      </c>
      <c r="B13" s="3" t="s">
        <v>352</v>
      </c>
      <c r="C13" s="3" t="s">
        <v>125</v>
      </c>
      <c r="D13" s="4">
        <v>652000</v>
      </c>
      <c r="E13" s="3" t="s">
        <v>322</v>
      </c>
      <c r="F13" s="3" t="s">
        <v>309</v>
      </c>
      <c r="G13" s="3"/>
    </row>
    <row r="14" spans="1:7" x14ac:dyDescent="0.2">
      <c r="A14" s="5" t="s">
        <v>351</v>
      </c>
      <c r="B14" s="5" t="s">
        <v>352</v>
      </c>
      <c r="C14" s="5" t="s">
        <v>126</v>
      </c>
      <c r="D14" s="6">
        <v>926000</v>
      </c>
      <c r="E14" s="5" t="s">
        <v>322</v>
      </c>
      <c r="F14" s="5" t="s">
        <v>309</v>
      </c>
      <c r="G14" s="5"/>
    </row>
    <row r="15" spans="1:7" x14ac:dyDescent="0.2">
      <c r="A15" s="3" t="s">
        <v>351</v>
      </c>
      <c r="B15" s="3" t="s">
        <v>352</v>
      </c>
      <c r="C15" s="3" t="s">
        <v>127</v>
      </c>
      <c r="D15" s="4">
        <v>1115000</v>
      </c>
      <c r="E15" s="3" t="s">
        <v>322</v>
      </c>
      <c r="F15" s="3" t="s">
        <v>309</v>
      </c>
      <c r="G15" s="3"/>
    </row>
    <row r="16" spans="1:7" x14ac:dyDescent="0.2">
      <c r="A16" s="5" t="s">
        <v>351</v>
      </c>
      <c r="B16" s="5" t="s">
        <v>352</v>
      </c>
      <c r="C16" s="5" t="s">
        <v>128</v>
      </c>
      <c r="D16" s="6">
        <v>2133000</v>
      </c>
      <c r="E16" s="5" t="s">
        <v>322</v>
      </c>
      <c r="F16" s="5" t="s">
        <v>309</v>
      </c>
      <c r="G16" s="5"/>
    </row>
    <row r="17" spans="1:7" x14ac:dyDescent="0.2">
      <c r="A17" s="3" t="s">
        <v>351</v>
      </c>
      <c r="B17" s="3" t="s">
        <v>352</v>
      </c>
      <c r="C17" s="3" t="s">
        <v>129</v>
      </c>
      <c r="D17" s="4">
        <v>2318000</v>
      </c>
      <c r="E17" s="3" t="s">
        <v>322</v>
      </c>
      <c r="F17" s="3" t="s">
        <v>309</v>
      </c>
      <c r="G17" s="3"/>
    </row>
    <row r="18" spans="1:7" x14ac:dyDescent="0.2">
      <c r="A18" s="5" t="s">
        <v>351</v>
      </c>
      <c r="B18" s="5" t="s">
        <v>352</v>
      </c>
      <c r="C18" s="5" t="s">
        <v>130</v>
      </c>
      <c r="D18" s="6">
        <v>2318000</v>
      </c>
      <c r="E18" s="5" t="s">
        <v>322</v>
      </c>
      <c r="F18" s="5" t="s">
        <v>309</v>
      </c>
      <c r="G18" s="5"/>
    </row>
    <row r="19" spans="1:7" x14ac:dyDescent="0.2">
      <c r="A19" s="3" t="s">
        <v>351</v>
      </c>
      <c r="B19" s="3" t="s">
        <v>352</v>
      </c>
      <c r="C19" s="3" t="s">
        <v>131</v>
      </c>
      <c r="D19" s="4">
        <v>926000</v>
      </c>
      <c r="E19" s="3" t="s">
        <v>322</v>
      </c>
      <c r="F19" s="3" t="s">
        <v>309</v>
      </c>
      <c r="G19" s="3"/>
    </row>
    <row r="20" spans="1:7" x14ac:dyDescent="0.2">
      <c r="A20" s="5" t="s">
        <v>351</v>
      </c>
      <c r="B20" s="5" t="s">
        <v>352</v>
      </c>
      <c r="C20" s="5" t="s">
        <v>132</v>
      </c>
      <c r="D20" s="6">
        <v>1235000</v>
      </c>
      <c r="E20" s="5" t="s">
        <v>322</v>
      </c>
      <c r="F20" s="5" t="s">
        <v>309</v>
      </c>
      <c r="G20" s="5"/>
    </row>
    <row r="21" spans="1:7" x14ac:dyDescent="0.2">
      <c r="A21" s="3" t="s">
        <v>351</v>
      </c>
      <c r="B21" s="3" t="s">
        <v>352</v>
      </c>
      <c r="C21" s="3" t="s">
        <v>133</v>
      </c>
      <c r="D21" s="4">
        <v>1691000</v>
      </c>
      <c r="E21" s="3" t="s">
        <v>322</v>
      </c>
      <c r="F21" s="3" t="s">
        <v>309</v>
      </c>
      <c r="G21" s="3"/>
    </row>
    <row r="22" spans="1:7" x14ac:dyDescent="0.2">
      <c r="A22" s="5" t="s">
        <v>351</v>
      </c>
      <c r="B22" s="5" t="s">
        <v>352</v>
      </c>
      <c r="C22" s="5" t="s">
        <v>134</v>
      </c>
      <c r="D22" s="6">
        <v>2308000</v>
      </c>
      <c r="E22" s="5" t="s">
        <v>322</v>
      </c>
      <c r="F22" s="5" t="s">
        <v>309</v>
      </c>
      <c r="G22" s="5"/>
    </row>
    <row r="23" spans="1:7" x14ac:dyDescent="0.2">
      <c r="A23" s="3" t="s">
        <v>351</v>
      </c>
      <c r="B23" s="3" t="s">
        <v>357</v>
      </c>
      <c r="C23" s="3" t="s">
        <v>135</v>
      </c>
      <c r="D23" s="4">
        <v>7663000</v>
      </c>
      <c r="E23" s="3" t="s">
        <v>322</v>
      </c>
      <c r="F23" s="3" t="s">
        <v>309</v>
      </c>
      <c r="G23" s="3"/>
    </row>
    <row r="24" spans="1:7" x14ac:dyDescent="0.2">
      <c r="A24" s="5" t="s">
        <v>351</v>
      </c>
      <c r="B24" s="5" t="s">
        <v>357</v>
      </c>
      <c r="C24" s="5" t="s">
        <v>183</v>
      </c>
      <c r="D24" s="6">
        <v>604000</v>
      </c>
      <c r="E24" s="5" t="s">
        <v>322</v>
      </c>
      <c r="F24" s="5" t="s">
        <v>309</v>
      </c>
      <c r="G24" s="5"/>
    </row>
    <row r="25" spans="1:7" x14ac:dyDescent="0.2">
      <c r="A25" s="3" t="s">
        <v>351</v>
      </c>
      <c r="B25" s="3" t="s">
        <v>357</v>
      </c>
      <c r="C25" s="3" t="s">
        <v>358</v>
      </c>
      <c r="D25" s="4">
        <v>1663000</v>
      </c>
      <c r="E25" s="3" t="s">
        <v>322</v>
      </c>
      <c r="F25" s="3" t="s">
        <v>309</v>
      </c>
      <c r="G25" s="3"/>
    </row>
    <row r="26" spans="1:7" x14ac:dyDescent="0.2">
      <c r="A26" s="5" t="s">
        <v>351</v>
      </c>
      <c r="B26" s="5" t="s">
        <v>357</v>
      </c>
      <c r="C26" s="5" t="s">
        <v>136</v>
      </c>
      <c r="D26" s="6">
        <v>2205000</v>
      </c>
      <c r="E26" s="5" t="s">
        <v>322</v>
      </c>
      <c r="F26" s="5" t="s">
        <v>309</v>
      </c>
      <c r="G26" s="5"/>
    </row>
    <row r="27" spans="1:7" x14ac:dyDescent="0.2">
      <c r="A27" s="3" t="s">
        <v>351</v>
      </c>
      <c r="B27" s="3" t="s">
        <v>357</v>
      </c>
      <c r="C27" s="3" t="s">
        <v>137</v>
      </c>
      <c r="D27" s="4">
        <v>3449000</v>
      </c>
      <c r="E27" s="3" t="s">
        <v>322</v>
      </c>
      <c r="F27" s="3" t="s">
        <v>309</v>
      </c>
      <c r="G27" s="3"/>
    </row>
    <row r="28" spans="1:7" x14ac:dyDescent="0.2">
      <c r="A28" s="5" t="s">
        <v>351</v>
      </c>
      <c r="B28" s="5" t="s">
        <v>357</v>
      </c>
      <c r="C28" s="5" t="s">
        <v>184</v>
      </c>
      <c r="D28" s="6">
        <v>3503000</v>
      </c>
      <c r="E28" s="5" t="s">
        <v>322</v>
      </c>
      <c r="F28" s="5" t="s">
        <v>309</v>
      </c>
      <c r="G28" s="5"/>
    </row>
    <row r="29" spans="1:7" x14ac:dyDescent="0.2">
      <c r="A29" s="3" t="s">
        <v>351</v>
      </c>
      <c r="B29" s="3" t="s">
        <v>357</v>
      </c>
      <c r="C29" s="3" t="s">
        <v>185</v>
      </c>
      <c r="D29" s="4">
        <v>2638000</v>
      </c>
      <c r="E29" s="3" t="s">
        <v>322</v>
      </c>
      <c r="F29" s="3" t="s">
        <v>309</v>
      </c>
      <c r="G29" s="3"/>
    </row>
    <row r="30" spans="1:7" x14ac:dyDescent="0.2">
      <c r="A30" s="5" t="s">
        <v>351</v>
      </c>
      <c r="B30" s="5" t="s">
        <v>357</v>
      </c>
      <c r="C30" s="5" t="s">
        <v>186</v>
      </c>
      <c r="D30" s="6">
        <v>2070000</v>
      </c>
      <c r="E30" s="5" t="s">
        <v>322</v>
      </c>
      <c r="F30" s="5" t="s">
        <v>309</v>
      </c>
      <c r="G30" s="5"/>
    </row>
    <row r="31" spans="1:7" x14ac:dyDescent="0.2">
      <c r="A31" s="3" t="s">
        <v>351</v>
      </c>
      <c r="B31" s="3" t="s">
        <v>357</v>
      </c>
      <c r="C31" s="3" t="s">
        <v>187</v>
      </c>
      <c r="D31" s="4">
        <v>2626000</v>
      </c>
      <c r="E31" s="3" t="s">
        <v>322</v>
      </c>
      <c r="F31" s="3" t="s">
        <v>309</v>
      </c>
      <c r="G31" s="3"/>
    </row>
    <row r="32" spans="1:7" x14ac:dyDescent="0.2">
      <c r="A32" s="5" t="s">
        <v>351</v>
      </c>
      <c r="B32" s="5" t="s">
        <v>357</v>
      </c>
      <c r="C32" s="5" t="s">
        <v>138</v>
      </c>
      <c r="D32" s="6">
        <v>4261000</v>
      </c>
      <c r="E32" s="5" t="s">
        <v>322</v>
      </c>
      <c r="F32" s="5" t="s">
        <v>309</v>
      </c>
      <c r="G32" s="5"/>
    </row>
    <row r="33" spans="1:7" x14ac:dyDescent="0.2">
      <c r="A33" s="3" t="s">
        <v>351</v>
      </c>
      <c r="B33" s="3" t="s">
        <v>357</v>
      </c>
      <c r="C33" s="3" t="s">
        <v>359</v>
      </c>
      <c r="D33" s="4">
        <v>4040000</v>
      </c>
      <c r="E33" s="3" t="s">
        <v>322</v>
      </c>
      <c r="F33" s="3" t="s">
        <v>309</v>
      </c>
      <c r="G33" s="3"/>
    </row>
    <row r="34" spans="1:7" x14ac:dyDescent="0.2">
      <c r="A34" s="5" t="s">
        <v>351</v>
      </c>
      <c r="B34" s="5" t="s">
        <v>357</v>
      </c>
      <c r="C34" s="5" t="s">
        <v>360</v>
      </c>
      <c r="D34" s="6">
        <v>4501000</v>
      </c>
      <c r="E34" s="5" t="s">
        <v>322</v>
      </c>
      <c r="F34" s="5" t="s">
        <v>309</v>
      </c>
      <c r="G34" s="5" t="s">
        <v>658</v>
      </c>
    </row>
    <row r="35" spans="1:7" x14ac:dyDescent="0.2">
      <c r="A35" s="3" t="s">
        <v>351</v>
      </c>
      <c r="B35" s="3" t="s">
        <v>357</v>
      </c>
      <c r="C35" s="3" t="s">
        <v>361</v>
      </c>
      <c r="D35" s="4">
        <v>3929000</v>
      </c>
      <c r="E35" s="3" t="s">
        <v>322</v>
      </c>
      <c r="F35" s="3" t="s">
        <v>309</v>
      </c>
      <c r="G35" s="3"/>
    </row>
    <row r="36" spans="1:7" x14ac:dyDescent="0.2">
      <c r="A36" s="5" t="s">
        <v>351</v>
      </c>
      <c r="B36" s="5" t="s">
        <v>357</v>
      </c>
      <c r="C36" s="5" t="s">
        <v>362</v>
      </c>
      <c r="D36" s="6">
        <v>256000</v>
      </c>
      <c r="E36" s="5" t="s">
        <v>322</v>
      </c>
      <c r="F36" s="5" t="s">
        <v>309</v>
      </c>
      <c r="G36" s="5" t="s">
        <v>656</v>
      </c>
    </row>
    <row r="37" spans="1:7" x14ac:dyDescent="0.2">
      <c r="A37" s="3" t="s">
        <v>351</v>
      </c>
      <c r="B37" s="3" t="s">
        <v>357</v>
      </c>
      <c r="C37" s="3" t="s">
        <v>363</v>
      </c>
      <c r="D37" s="4">
        <v>1149000</v>
      </c>
      <c r="E37" s="3" t="s">
        <v>322</v>
      </c>
      <c r="F37" s="3" t="s">
        <v>309</v>
      </c>
      <c r="G37" s="3"/>
    </row>
    <row r="38" spans="1:7" x14ac:dyDescent="0.2">
      <c r="A38" s="5" t="s">
        <v>351</v>
      </c>
      <c r="B38" s="5" t="s">
        <v>357</v>
      </c>
      <c r="C38" s="5" t="s">
        <v>364</v>
      </c>
      <c r="D38" s="6">
        <v>1349000</v>
      </c>
      <c r="E38" s="5" t="s">
        <v>322</v>
      </c>
      <c r="F38" s="5" t="s">
        <v>309</v>
      </c>
      <c r="G38" s="5"/>
    </row>
    <row r="39" spans="1:7" x14ac:dyDescent="0.2">
      <c r="A39" s="3" t="s">
        <v>351</v>
      </c>
      <c r="B39" s="3" t="s">
        <v>357</v>
      </c>
      <c r="C39" s="3" t="s">
        <v>365</v>
      </c>
      <c r="D39" s="4">
        <v>577000</v>
      </c>
      <c r="E39" s="3" t="s">
        <v>322</v>
      </c>
      <c r="F39" s="3" t="s">
        <v>309</v>
      </c>
      <c r="G39" s="3" t="s">
        <v>656</v>
      </c>
    </row>
    <row r="40" spans="1:7" x14ac:dyDescent="0.2">
      <c r="A40" s="5" t="s">
        <v>351</v>
      </c>
      <c r="B40" s="5" t="s">
        <v>357</v>
      </c>
      <c r="C40" s="5" t="s">
        <v>366</v>
      </c>
      <c r="D40" s="6">
        <v>4734000</v>
      </c>
      <c r="E40" s="5" t="s">
        <v>322</v>
      </c>
      <c r="F40" s="5" t="s">
        <v>309</v>
      </c>
      <c r="G40" s="5"/>
    </row>
    <row r="41" spans="1:7" x14ac:dyDescent="0.2">
      <c r="A41" s="3" t="s">
        <v>351</v>
      </c>
      <c r="B41" s="3" t="s">
        <v>357</v>
      </c>
      <c r="C41" s="3" t="s">
        <v>367</v>
      </c>
      <c r="D41" s="4">
        <v>625000</v>
      </c>
      <c r="E41" s="3" t="s">
        <v>322</v>
      </c>
      <c r="F41" s="3" t="s">
        <v>309</v>
      </c>
      <c r="G41" s="3"/>
    </row>
    <row r="42" spans="1:7" x14ac:dyDescent="0.2">
      <c r="A42" s="5" t="s">
        <v>351</v>
      </c>
      <c r="B42" s="5" t="s">
        <v>357</v>
      </c>
      <c r="C42" s="5" t="s">
        <v>368</v>
      </c>
      <c r="D42" s="6">
        <v>3503000</v>
      </c>
      <c r="E42" s="5" t="s">
        <v>322</v>
      </c>
      <c r="F42" s="5" t="s">
        <v>309</v>
      </c>
      <c r="G42" s="5"/>
    </row>
    <row r="43" spans="1:7" x14ac:dyDescent="0.2">
      <c r="A43" s="3" t="s">
        <v>351</v>
      </c>
      <c r="B43" s="3" t="s">
        <v>357</v>
      </c>
      <c r="C43" s="3" t="s">
        <v>369</v>
      </c>
      <c r="D43" s="4">
        <v>3689000</v>
      </c>
      <c r="E43" s="3" t="s">
        <v>322</v>
      </c>
      <c r="F43" s="3" t="s">
        <v>309</v>
      </c>
      <c r="G43" s="3" t="s">
        <v>370</v>
      </c>
    </row>
    <row r="44" spans="1:7" x14ac:dyDescent="0.2">
      <c r="A44" s="5" t="s">
        <v>351</v>
      </c>
      <c r="B44" s="5" t="s">
        <v>357</v>
      </c>
      <c r="C44" s="5" t="s">
        <v>139</v>
      </c>
      <c r="D44" s="6">
        <v>4357000</v>
      </c>
      <c r="E44" s="5" t="s">
        <v>322</v>
      </c>
      <c r="F44" s="5" t="s">
        <v>309</v>
      </c>
      <c r="G44" s="5"/>
    </row>
    <row r="45" spans="1:7" x14ac:dyDescent="0.2">
      <c r="A45" s="3" t="s">
        <v>351</v>
      </c>
      <c r="B45" s="3" t="s">
        <v>357</v>
      </c>
      <c r="C45" s="3" t="s">
        <v>371</v>
      </c>
      <c r="D45" s="4">
        <v>10983000</v>
      </c>
      <c r="E45" s="3" t="s">
        <v>322</v>
      </c>
      <c r="F45" s="3" t="s">
        <v>309</v>
      </c>
      <c r="G45" s="3"/>
    </row>
    <row r="46" spans="1:7" x14ac:dyDescent="0.2">
      <c r="A46" s="5" t="s">
        <v>351</v>
      </c>
      <c r="B46" s="5" t="s">
        <v>357</v>
      </c>
      <c r="C46" s="5" t="s">
        <v>372</v>
      </c>
      <c r="D46" s="6">
        <v>10983000</v>
      </c>
      <c r="E46" s="5" t="s">
        <v>322</v>
      </c>
      <c r="F46" s="5" t="s">
        <v>309</v>
      </c>
      <c r="G46" s="5"/>
    </row>
    <row r="47" spans="1:7" x14ac:dyDescent="0.2">
      <c r="A47" s="3" t="s">
        <v>351</v>
      </c>
      <c r="B47" s="3" t="s">
        <v>357</v>
      </c>
      <c r="C47" s="3" t="s">
        <v>140</v>
      </c>
      <c r="D47" s="4">
        <v>2568000</v>
      </c>
      <c r="E47" s="3" t="s">
        <v>322</v>
      </c>
      <c r="F47" s="3" t="s">
        <v>309</v>
      </c>
      <c r="G47" s="3"/>
    </row>
    <row r="48" spans="1:7" x14ac:dyDescent="0.2">
      <c r="A48" s="5" t="s">
        <v>351</v>
      </c>
      <c r="B48" s="5" t="s">
        <v>373</v>
      </c>
      <c r="C48" s="5" t="s">
        <v>374</v>
      </c>
      <c r="D48" s="6">
        <v>967000</v>
      </c>
      <c r="E48" s="5" t="s">
        <v>322</v>
      </c>
      <c r="F48" s="5" t="s">
        <v>309</v>
      </c>
      <c r="G48" s="5"/>
    </row>
    <row r="49" spans="1:7" x14ac:dyDescent="0.2">
      <c r="A49" s="3" t="s">
        <v>351</v>
      </c>
      <c r="B49" s="3" t="s">
        <v>373</v>
      </c>
      <c r="C49" s="3" t="s">
        <v>375</v>
      </c>
      <c r="D49" s="4">
        <v>4625000</v>
      </c>
      <c r="E49" s="3" t="s">
        <v>322</v>
      </c>
      <c r="F49" s="3" t="s">
        <v>309</v>
      </c>
      <c r="G49" s="3" t="s">
        <v>376</v>
      </c>
    </row>
    <row r="50" spans="1:7" x14ac:dyDescent="0.2">
      <c r="A50" s="5" t="s">
        <v>351</v>
      </c>
      <c r="B50" s="5" t="s">
        <v>373</v>
      </c>
      <c r="C50" s="5" t="s">
        <v>377</v>
      </c>
      <c r="D50" s="6">
        <v>1224000</v>
      </c>
      <c r="E50" s="5" t="s">
        <v>322</v>
      </c>
      <c r="F50" s="5" t="s">
        <v>309</v>
      </c>
      <c r="G50" s="5"/>
    </row>
    <row r="51" spans="1:7" x14ac:dyDescent="0.2">
      <c r="A51" s="3" t="s">
        <v>351</v>
      </c>
      <c r="B51" s="3" t="s">
        <v>373</v>
      </c>
      <c r="C51" s="3" t="s">
        <v>378</v>
      </c>
      <c r="D51" s="4">
        <v>1609000</v>
      </c>
      <c r="E51" s="3" t="s">
        <v>322</v>
      </c>
      <c r="F51" s="3" t="s">
        <v>309</v>
      </c>
      <c r="G51" s="3"/>
    </row>
    <row r="52" spans="1:7" x14ac:dyDescent="0.2">
      <c r="A52" s="5" t="s">
        <v>351</v>
      </c>
      <c r="B52" s="5" t="s">
        <v>379</v>
      </c>
      <c r="C52" s="5" t="s">
        <v>380</v>
      </c>
      <c r="D52" s="6">
        <v>5664000</v>
      </c>
      <c r="E52" s="5" t="s">
        <v>322</v>
      </c>
      <c r="F52" s="5" t="s">
        <v>309</v>
      </c>
      <c r="G52" s="5"/>
    </row>
    <row r="53" spans="1:7" x14ac:dyDescent="0.2">
      <c r="A53" s="3" t="s">
        <v>351</v>
      </c>
      <c r="B53" s="3" t="s">
        <v>379</v>
      </c>
      <c r="C53" s="3" t="s">
        <v>381</v>
      </c>
      <c r="D53" s="4">
        <v>3921000</v>
      </c>
      <c r="E53" s="3" t="s">
        <v>322</v>
      </c>
      <c r="F53" s="3" t="s">
        <v>309</v>
      </c>
      <c r="G53" s="3"/>
    </row>
    <row r="54" spans="1:7" x14ac:dyDescent="0.2">
      <c r="A54" s="5" t="s">
        <v>351</v>
      </c>
      <c r="B54" s="5" t="s">
        <v>379</v>
      </c>
      <c r="C54" s="5" t="s">
        <v>382</v>
      </c>
      <c r="D54" s="6">
        <v>6125000</v>
      </c>
      <c r="E54" s="5" t="s">
        <v>322</v>
      </c>
      <c r="F54" s="5" t="s">
        <v>309</v>
      </c>
      <c r="G54" s="5" t="s">
        <v>383</v>
      </c>
    </row>
    <row r="55" spans="1:7" x14ac:dyDescent="0.2">
      <c r="A55" s="3" t="s">
        <v>351</v>
      </c>
      <c r="B55" s="3" t="s">
        <v>379</v>
      </c>
      <c r="C55" s="3" t="s">
        <v>384</v>
      </c>
      <c r="D55" s="4">
        <v>12798000</v>
      </c>
      <c r="E55" s="3" t="s">
        <v>322</v>
      </c>
      <c r="F55" s="3" t="s">
        <v>309</v>
      </c>
      <c r="G55" s="3"/>
    </row>
    <row r="56" spans="1:7" x14ac:dyDescent="0.2">
      <c r="A56" s="5" t="s">
        <v>351</v>
      </c>
      <c r="B56" s="5" t="s">
        <v>379</v>
      </c>
      <c r="C56" s="5" t="s">
        <v>385</v>
      </c>
      <c r="D56" s="6">
        <v>13293000</v>
      </c>
      <c r="E56" s="5" t="s">
        <v>322</v>
      </c>
      <c r="F56" s="5" t="s">
        <v>309</v>
      </c>
      <c r="G56" s="5"/>
    </row>
    <row r="57" spans="1:7" x14ac:dyDescent="0.2">
      <c r="A57" s="3" t="s">
        <v>351</v>
      </c>
      <c r="B57" s="3" t="s">
        <v>379</v>
      </c>
      <c r="C57" s="3" t="s">
        <v>386</v>
      </c>
      <c r="D57" s="4">
        <v>7048000</v>
      </c>
      <c r="E57" s="3" t="s">
        <v>322</v>
      </c>
      <c r="F57" s="3" t="s">
        <v>309</v>
      </c>
      <c r="G57" s="3" t="s">
        <v>383</v>
      </c>
    </row>
    <row r="58" spans="1:7" x14ac:dyDescent="0.2">
      <c r="A58" s="5" t="s">
        <v>351</v>
      </c>
      <c r="B58" s="5" t="s">
        <v>387</v>
      </c>
      <c r="C58" s="5" t="s">
        <v>188</v>
      </c>
      <c r="D58" s="6">
        <v>1273000</v>
      </c>
      <c r="E58" s="5" t="s">
        <v>322</v>
      </c>
      <c r="F58" s="5" t="s">
        <v>309</v>
      </c>
      <c r="G58" s="5" t="s">
        <v>656</v>
      </c>
    </row>
    <row r="59" spans="1:7" x14ac:dyDescent="0.2">
      <c r="A59" s="3" t="s">
        <v>351</v>
      </c>
      <c r="B59" s="3" t="s">
        <v>387</v>
      </c>
      <c r="C59" s="3" t="s">
        <v>189</v>
      </c>
      <c r="D59" s="4">
        <v>135000</v>
      </c>
      <c r="E59" s="3" t="s">
        <v>322</v>
      </c>
      <c r="F59" s="3" t="s">
        <v>309</v>
      </c>
      <c r="G59" s="3" t="s">
        <v>656</v>
      </c>
    </row>
    <row r="60" spans="1:7" x14ac:dyDescent="0.2">
      <c r="A60" s="5" t="s">
        <v>351</v>
      </c>
      <c r="B60" s="5" t="s">
        <v>387</v>
      </c>
      <c r="C60" s="5" t="s">
        <v>388</v>
      </c>
      <c r="D60" s="6">
        <v>1041000</v>
      </c>
      <c r="E60" s="5" t="s">
        <v>322</v>
      </c>
      <c r="F60" s="5" t="s">
        <v>309</v>
      </c>
      <c r="G60" s="5"/>
    </row>
    <row r="61" spans="1:7" x14ac:dyDescent="0.2">
      <c r="A61" s="3" t="s">
        <v>351</v>
      </c>
      <c r="B61" s="3" t="s">
        <v>387</v>
      </c>
      <c r="C61" s="3" t="s">
        <v>389</v>
      </c>
      <c r="D61" s="4">
        <v>417000</v>
      </c>
      <c r="E61" s="3" t="s">
        <v>322</v>
      </c>
      <c r="F61" s="3" t="s">
        <v>309</v>
      </c>
      <c r="G61" s="3"/>
    </row>
    <row r="62" spans="1:7" x14ac:dyDescent="0.2">
      <c r="A62" s="5" t="s">
        <v>351</v>
      </c>
      <c r="B62" s="5" t="s">
        <v>390</v>
      </c>
      <c r="C62" s="5" t="s">
        <v>391</v>
      </c>
      <c r="D62" s="6">
        <v>13275000</v>
      </c>
      <c r="E62" s="5" t="s">
        <v>322</v>
      </c>
      <c r="F62" s="5" t="s">
        <v>309</v>
      </c>
      <c r="G62" s="5" t="s">
        <v>392</v>
      </c>
    </row>
    <row r="63" spans="1:7" x14ac:dyDescent="0.2">
      <c r="A63" s="3" t="s">
        <v>351</v>
      </c>
      <c r="B63" s="3" t="s">
        <v>390</v>
      </c>
      <c r="C63" s="3" t="s">
        <v>393</v>
      </c>
      <c r="D63" s="4">
        <v>4349000</v>
      </c>
      <c r="E63" s="3" t="s">
        <v>322</v>
      </c>
      <c r="F63" s="3" t="s">
        <v>309</v>
      </c>
      <c r="G63" s="3"/>
    </row>
    <row r="64" spans="1:7" x14ac:dyDescent="0.2">
      <c r="A64" s="5" t="s">
        <v>351</v>
      </c>
      <c r="B64" s="5" t="s">
        <v>390</v>
      </c>
      <c r="C64" s="5" t="s">
        <v>394</v>
      </c>
      <c r="D64" s="6">
        <v>3303000</v>
      </c>
      <c r="E64" s="5" t="s">
        <v>322</v>
      </c>
      <c r="F64" s="5" t="s">
        <v>309</v>
      </c>
      <c r="G64" s="5"/>
    </row>
    <row r="65" spans="1:7" x14ac:dyDescent="0.2">
      <c r="A65" s="3" t="s">
        <v>351</v>
      </c>
      <c r="B65" s="3" t="s">
        <v>390</v>
      </c>
      <c r="C65" s="3" t="s">
        <v>395</v>
      </c>
      <c r="D65" s="4">
        <v>1434000</v>
      </c>
      <c r="E65" s="3" t="s">
        <v>322</v>
      </c>
      <c r="F65" s="3" t="s">
        <v>309</v>
      </c>
      <c r="G65" s="3"/>
    </row>
    <row r="66" spans="1:7" x14ac:dyDescent="0.2">
      <c r="A66" s="5" t="s">
        <v>351</v>
      </c>
      <c r="B66" s="5" t="s">
        <v>390</v>
      </c>
      <c r="C66" s="5" t="s">
        <v>396</v>
      </c>
      <c r="D66" s="6">
        <v>3248000</v>
      </c>
      <c r="E66" s="5" t="s">
        <v>322</v>
      </c>
      <c r="F66" s="5" t="s">
        <v>309</v>
      </c>
      <c r="G66" s="5"/>
    </row>
    <row r="67" spans="1:7" x14ac:dyDescent="0.2">
      <c r="A67" s="3" t="s">
        <v>351</v>
      </c>
      <c r="B67" s="3" t="s">
        <v>390</v>
      </c>
      <c r="C67" s="3" t="s">
        <v>397</v>
      </c>
      <c r="D67" s="4">
        <v>13903000</v>
      </c>
      <c r="E67" s="3" t="s">
        <v>322</v>
      </c>
      <c r="F67" s="3" t="s">
        <v>309</v>
      </c>
      <c r="G67" s="3"/>
    </row>
    <row r="68" spans="1:7" x14ac:dyDescent="0.2">
      <c r="A68" s="5" t="s">
        <v>351</v>
      </c>
      <c r="B68" s="5" t="s">
        <v>390</v>
      </c>
      <c r="C68" s="5" t="s">
        <v>398</v>
      </c>
      <c r="D68" s="6">
        <v>640000</v>
      </c>
      <c r="E68" s="5" t="s">
        <v>322</v>
      </c>
      <c r="F68" s="5" t="s">
        <v>309</v>
      </c>
      <c r="G68" s="5"/>
    </row>
    <row r="69" spans="1:7" x14ac:dyDescent="0.2">
      <c r="A69" s="3" t="s">
        <v>351</v>
      </c>
      <c r="B69" s="3" t="s">
        <v>390</v>
      </c>
      <c r="C69" s="3" t="s">
        <v>399</v>
      </c>
      <c r="D69" s="4">
        <v>7770000</v>
      </c>
      <c r="E69" s="3" t="s">
        <v>322</v>
      </c>
      <c r="F69" s="3" t="s">
        <v>309</v>
      </c>
      <c r="G69" s="3"/>
    </row>
    <row r="70" spans="1:7" x14ac:dyDescent="0.2">
      <c r="A70" s="5" t="s">
        <v>351</v>
      </c>
      <c r="B70" s="5" t="s">
        <v>400</v>
      </c>
      <c r="C70" s="5" t="s">
        <v>401</v>
      </c>
      <c r="D70" s="6">
        <v>4328000</v>
      </c>
      <c r="E70" s="5" t="s">
        <v>322</v>
      </c>
      <c r="F70" s="5" t="s">
        <v>309</v>
      </c>
      <c r="G70" s="5"/>
    </row>
    <row r="71" spans="1:7" x14ac:dyDescent="0.2">
      <c r="A71" s="3" t="s">
        <v>351</v>
      </c>
      <c r="B71" s="3" t="s">
        <v>400</v>
      </c>
      <c r="C71" s="3" t="s">
        <v>402</v>
      </c>
      <c r="D71" s="4">
        <v>6632000</v>
      </c>
      <c r="E71" s="3" t="s">
        <v>322</v>
      </c>
      <c r="F71" s="3" t="s">
        <v>309</v>
      </c>
      <c r="G71" s="3"/>
    </row>
    <row r="72" spans="1:7" x14ac:dyDescent="0.2">
      <c r="A72" s="5" t="s">
        <v>351</v>
      </c>
      <c r="B72" s="5" t="s">
        <v>400</v>
      </c>
      <c r="C72" s="5" t="s">
        <v>403</v>
      </c>
      <c r="D72" s="6">
        <v>8268000</v>
      </c>
      <c r="E72" s="5" t="s">
        <v>322</v>
      </c>
      <c r="F72" s="5" t="s">
        <v>309</v>
      </c>
      <c r="G72" s="5"/>
    </row>
    <row r="73" spans="1:7" x14ac:dyDescent="0.2">
      <c r="A73" s="3" t="s">
        <v>351</v>
      </c>
      <c r="B73" s="3" t="s">
        <v>400</v>
      </c>
      <c r="C73" s="3" t="s">
        <v>404</v>
      </c>
      <c r="D73" s="4">
        <v>1636000</v>
      </c>
      <c r="E73" s="3" t="s">
        <v>322</v>
      </c>
      <c r="F73" s="3" t="s">
        <v>309</v>
      </c>
      <c r="G73" s="3"/>
    </row>
    <row r="74" spans="1:7" x14ac:dyDescent="0.2">
      <c r="A74" s="5" t="s">
        <v>351</v>
      </c>
      <c r="B74" s="5" t="s">
        <v>400</v>
      </c>
      <c r="C74" s="5" t="s">
        <v>405</v>
      </c>
      <c r="D74" s="6">
        <v>9228000</v>
      </c>
      <c r="E74" s="5" t="s">
        <v>322</v>
      </c>
      <c r="F74" s="5" t="s">
        <v>309</v>
      </c>
      <c r="G74" s="5"/>
    </row>
    <row r="75" spans="1:7" x14ac:dyDescent="0.2">
      <c r="A75" s="3" t="s">
        <v>351</v>
      </c>
      <c r="B75" s="3" t="s">
        <v>400</v>
      </c>
      <c r="C75" s="3" t="s">
        <v>406</v>
      </c>
      <c r="D75" s="4">
        <v>3364000</v>
      </c>
      <c r="E75" s="3" t="s">
        <v>322</v>
      </c>
      <c r="F75" s="3" t="s">
        <v>309</v>
      </c>
      <c r="G75" s="3"/>
    </row>
    <row r="76" spans="1:7" x14ac:dyDescent="0.2">
      <c r="A76" s="5" t="s">
        <v>351</v>
      </c>
      <c r="B76" s="5" t="s">
        <v>400</v>
      </c>
      <c r="C76" s="5" t="s">
        <v>407</v>
      </c>
      <c r="D76" s="6">
        <v>22394000</v>
      </c>
      <c r="E76" s="5" t="s">
        <v>322</v>
      </c>
      <c r="F76" s="5" t="s">
        <v>309</v>
      </c>
      <c r="G76" s="5"/>
    </row>
    <row r="77" spans="1:7" x14ac:dyDescent="0.2">
      <c r="A77" s="3" t="s">
        <v>351</v>
      </c>
      <c r="B77" s="3" t="s">
        <v>400</v>
      </c>
      <c r="C77" s="3" t="s">
        <v>408</v>
      </c>
      <c r="D77" s="4">
        <v>2308000</v>
      </c>
      <c r="E77" s="3" t="s">
        <v>322</v>
      </c>
      <c r="F77" s="3" t="s">
        <v>309</v>
      </c>
      <c r="G77" s="3"/>
    </row>
    <row r="78" spans="1:7" x14ac:dyDescent="0.2">
      <c r="A78" s="5" t="s">
        <v>351</v>
      </c>
      <c r="B78" s="5" t="s">
        <v>400</v>
      </c>
      <c r="C78" s="5" t="s">
        <v>409</v>
      </c>
      <c r="D78" s="6">
        <v>1156000</v>
      </c>
      <c r="E78" s="5" t="s">
        <v>322</v>
      </c>
      <c r="F78" s="5" t="s">
        <v>309</v>
      </c>
      <c r="G78" s="5"/>
    </row>
    <row r="79" spans="1:7" x14ac:dyDescent="0.2">
      <c r="A79" s="3" t="s">
        <v>351</v>
      </c>
      <c r="B79" s="3" t="s">
        <v>400</v>
      </c>
      <c r="C79" s="3" t="s">
        <v>410</v>
      </c>
      <c r="D79" s="4">
        <v>975000</v>
      </c>
      <c r="E79" s="3" t="s">
        <v>322</v>
      </c>
      <c r="F79" s="3" t="s">
        <v>309</v>
      </c>
      <c r="G79" s="3"/>
    </row>
    <row r="80" spans="1:7" x14ac:dyDescent="0.2">
      <c r="A80" s="5" t="s">
        <v>351</v>
      </c>
      <c r="B80" s="5" t="s">
        <v>400</v>
      </c>
      <c r="C80" s="5" t="s">
        <v>411</v>
      </c>
      <c r="D80" s="6">
        <v>9999000</v>
      </c>
      <c r="E80" s="5" t="s">
        <v>322</v>
      </c>
      <c r="F80" s="5" t="s">
        <v>309</v>
      </c>
      <c r="G80" s="5"/>
    </row>
    <row r="81" spans="1:7" x14ac:dyDescent="0.2">
      <c r="A81" s="3" t="s">
        <v>351</v>
      </c>
      <c r="B81" s="3" t="s">
        <v>400</v>
      </c>
      <c r="C81" s="3" t="s">
        <v>412</v>
      </c>
      <c r="D81" s="4">
        <v>10287000</v>
      </c>
      <c r="E81" s="3" t="s">
        <v>322</v>
      </c>
      <c r="F81" s="3" t="s">
        <v>309</v>
      </c>
      <c r="G81" s="3"/>
    </row>
    <row r="82" spans="1:7" x14ac:dyDescent="0.2">
      <c r="A82" s="5" t="s">
        <v>351</v>
      </c>
      <c r="B82" s="5" t="s">
        <v>400</v>
      </c>
      <c r="C82" s="5" t="s">
        <v>413</v>
      </c>
      <c r="D82" s="6">
        <v>42672000</v>
      </c>
      <c r="E82" s="5" t="s">
        <v>322</v>
      </c>
      <c r="F82" s="5" t="s">
        <v>309</v>
      </c>
      <c r="G82" s="5"/>
    </row>
    <row r="83" spans="1:7" x14ac:dyDescent="0.2">
      <c r="A83" s="3" t="s">
        <v>351</v>
      </c>
      <c r="B83" s="3" t="s">
        <v>400</v>
      </c>
      <c r="C83" s="3" t="s">
        <v>414</v>
      </c>
      <c r="D83" s="4">
        <v>7212000</v>
      </c>
      <c r="E83" s="3" t="s">
        <v>322</v>
      </c>
      <c r="F83" s="3" t="s">
        <v>309</v>
      </c>
      <c r="G83" s="3"/>
    </row>
    <row r="84" spans="1:7" x14ac:dyDescent="0.2">
      <c r="A84" s="5" t="s">
        <v>351</v>
      </c>
      <c r="B84" s="5" t="s">
        <v>415</v>
      </c>
      <c r="C84" s="5" t="s">
        <v>416</v>
      </c>
      <c r="D84" s="6">
        <v>1746000</v>
      </c>
      <c r="E84" s="5" t="s">
        <v>335</v>
      </c>
      <c r="F84" s="5" t="s">
        <v>309</v>
      </c>
      <c r="G84" s="5" t="s">
        <v>417</v>
      </c>
    </row>
    <row r="85" spans="1:7" x14ac:dyDescent="0.2">
      <c r="A85" s="3" t="s">
        <v>351</v>
      </c>
      <c r="B85" s="3" t="s">
        <v>415</v>
      </c>
      <c r="C85" s="3" t="s">
        <v>418</v>
      </c>
      <c r="D85" s="4">
        <v>9025000</v>
      </c>
      <c r="E85" s="3" t="s">
        <v>322</v>
      </c>
      <c r="F85" s="3" t="s">
        <v>309</v>
      </c>
      <c r="G85" s="3"/>
    </row>
    <row r="86" spans="1:7" x14ac:dyDescent="0.2">
      <c r="A86" s="5" t="s">
        <v>351</v>
      </c>
      <c r="B86" s="5" t="s">
        <v>415</v>
      </c>
      <c r="C86" s="5" t="s">
        <v>419</v>
      </c>
      <c r="D86" s="6">
        <v>31311000</v>
      </c>
      <c r="E86" s="5" t="s">
        <v>322</v>
      </c>
      <c r="F86" s="5" t="s">
        <v>309</v>
      </c>
      <c r="G86" s="5"/>
    </row>
    <row r="87" spans="1:7" x14ac:dyDescent="0.2">
      <c r="A87" s="3" t="s">
        <v>351</v>
      </c>
      <c r="B87" s="3" t="s">
        <v>415</v>
      </c>
      <c r="C87" s="3" t="s">
        <v>420</v>
      </c>
      <c r="D87" s="4">
        <v>18330000</v>
      </c>
      <c r="E87" s="3" t="s">
        <v>322</v>
      </c>
      <c r="F87" s="3" t="s">
        <v>309</v>
      </c>
      <c r="G87" s="3"/>
    </row>
    <row r="88" spans="1:7" x14ac:dyDescent="0.2">
      <c r="A88" s="5" t="s">
        <v>351</v>
      </c>
      <c r="B88" s="5" t="s">
        <v>415</v>
      </c>
      <c r="C88" s="5" t="s">
        <v>421</v>
      </c>
      <c r="D88" s="6">
        <v>15942000</v>
      </c>
      <c r="E88" s="5" t="s">
        <v>322</v>
      </c>
      <c r="F88" s="5" t="s">
        <v>309</v>
      </c>
      <c r="G88" s="5"/>
    </row>
    <row r="89" spans="1:7" x14ac:dyDescent="0.2">
      <c r="A89" s="3" t="s">
        <v>351</v>
      </c>
      <c r="B89" s="3" t="s">
        <v>415</v>
      </c>
      <c r="C89" s="3" t="s">
        <v>422</v>
      </c>
      <c r="D89" s="4">
        <v>15942000</v>
      </c>
      <c r="E89" s="3" t="s">
        <v>322</v>
      </c>
      <c r="F89" s="3" t="s">
        <v>309</v>
      </c>
      <c r="G89" s="3"/>
    </row>
    <row r="90" spans="1:7" x14ac:dyDescent="0.2">
      <c r="A90" s="5" t="s">
        <v>351</v>
      </c>
      <c r="B90" s="5" t="s">
        <v>415</v>
      </c>
      <c r="C90" s="5" t="s">
        <v>423</v>
      </c>
      <c r="D90" s="6">
        <v>19644000</v>
      </c>
      <c r="E90" s="5" t="s">
        <v>322</v>
      </c>
      <c r="F90" s="5" t="s">
        <v>309</v>
      </c>
      <c r="G90" s="5"/>
    </row>
    <row r="91" spans="1:7" x14ac:dyDescent="0.2">
      <c r="A91" s="3" t="s">
        <v>351</v>
      </c>
      <c r="B91" s="3" t="s">
        <v>424</v>
      </c>
      <c r="C91" s="3" t="s">
        <v>141</v>
      </c>
      <c r="D91" s="4">
        <v>6909000</v>
      </c>
      <c r="E91" s="3" t="s">
        <v>322</v>
      </c>
      <c r="F91" s="3" t="s">
        <v>309</v>
      </c>
      <c r="G91" s="3" t="s">
        <v>656</v>
      </c>
    </row>
    <row r="92" spans="1:7" x14ac:dyDescent="0.2">
      <c r="A92" s="5" t="s">
        <v>351</v>
      </c>
      <c r="B92" s="5" t="s">
        <v>424</v>
      </c>
      <c r="C92" s="5" t="s">
        <v>142</v>
      </c>
      <c r="D92" s="6">
        <v>6246000</v>
      </c>
      <c r="E92" s="5" t="s">
        <v>322</v>
      </c>
      <c r="F92" s="5" t="s">
        <v>309</v>
      </c>
      <c r="G92" s="5" t="s">
        <v>656</v>
      </c>
    </row>
    <row r="93" spans="1:7" x14ac:dyDescent="0.2">
      <c r="A93" s="3" t="s">
        <v>351</v>
      </c>
      <c r="B93" s="3" t="s">
        <v>424</v>
      </c>
      <c r="C93" s="3" t="s">
        <v>143</v>
      </c>
      <c r="D93" s="4">
        <v>5761000</v>
      </c>
      <c r="E93" s="3" t="s">
        <v>322</v>
      </c>
      <c r="F93" s="3" t="s">
        <v>309</v>
      </c>
      <c r="G93" s="3" t="s">
        <v>656</v>
      </c>
    </row>
    <row r="94" spans="1:7" x14ac:dyDescent="0.2">
      <c r="A94" s="5" t="s">
        <v>351</v>
      </c>
      <c r="B94" s="5" t="s">
        <v>424</v>
      </c>
      <c r="C94" s="5" t="s">
        <v>144</v>
      </c>
      <c r="D94" s="6">
        <v>14254000</v>
      </c>
      <c r="E94" s="5" t="s">
        <v>322</v>
      </c>
      <c r="F94" s="5" t="s">
        <v>309</v>
      </c>
      <c r="G94" s="5" t="s">
        <v>656</v>
      </c>
    </row>
    <row r="95" spans="1:7" x14ac:dyDescent="0.2">
      <c r="A95" s="3" t="s">
        <v>351</v>
      </c>
      <c r="B95" s="3" t="s">
        <v>424</v>
      </c>
      <c r="C95" s="3" t="s">
        <v>145</v>
      </c>
      <c r="D95" s="4">
        <v>14405000</v>
      </c>
      <c r="E95" s="3" t="s">
        <v>322</v>
      </c>
      <c r="F95" s="3" t="s">
        <v>309</v>
      </c>
      <c r="G95" s="3" t="s">
        <v>656</v>
      </c>
    </row>
    <row r="96" spans="1:7" x14ac:dyDescent="0.2">
      <c r="A96" s="5" t="s">
        <v>351</v>
      </c>
      <c r="B96" s="5" t="s">
        <v>424</v>
      </c>
      <c r="C96" s="5" t="s">
        <v>146</v>
      </c>
      <c r="D96" s="6">
        <v>14819000</v>
      </c>
      <c r="E96" s="5" t="s">
        <v>322</v>
      </c>
      <c r="F96" s="5" t="s">
        <v>309</v>
      </c>
      <c r="G96" s="5" t="s">
        <v>656</v>
      </c>
    </row>
    <row r="97" spans="1:7" x14ac:dyDescent="0.2">
      <c r="A97" s="3" t="s">
        <v>351</v>
      </c>
      <c r="B97" s="3" t="s">
        <v>424</v>
      </c>
      <c r="C97" s="3" t="s">
        <v>147</v>
      </c>
      <c r="D97" s="4">
        <v>16557000</v>
      </c>
      <c r="E97" s="3" t="s">
        <v>322</v>
      </c>
      <c r="F97" s="3" t="s">
        <v>309</v>
      </c>
      <c r="G97" s="3" t="s">
        <v>656</v>
      </c>
    </row>
    <row r="98" spans="1:7" x14ac:dyDescent="0.2">
      <c r="A98" s="5" t="s">
        <v>351</v>
      </c>
      <c r="B98" s="5" t="s">
        <v>424</v>
      </c>
      <c r="C98" s="5" t="s">
        <v>148</v>
      </c>
      <c r="D98" s="6">
        <v>20728000</v>
      </c>
      <c r="E98" s="5" t="s">
        <v>322</v>
      </c>
      <c r="F98" s="5" t="s">
        <v>309</v>
      </c>
      <c r="G98" s="5" t="s">
        <v>656</v>
      </c>
    </row>
    <row r="99" spans="1:7" x14ac:dyDescent="0.2">
      <c r="A99" s="3" t="s">
        <v>351</v>
      </c>
      <c r="B99" s="3" t="s">
        <v>424</v>
      </c>
      <c r="C99" s="3" t="s">
        <v>149</v>
      </c>
      <c r="D99" s="4">
        <v>26769000</v>
      </c>
      <c r="E99" s="3" t="s">
        <v>322</v>
      </c>
      <c r="F99" s="3" t="s">
        <v>309</v>
      </c>
      <c r="G99" s="3" t="s">
        <v>656</v>
      </c>
    </row>
    <row r="100" spans="1:7" x14ac:dyDescent="0.2">
      <c r="A100" s="5" t="s">
        <v>351</v>
      </c>
      <c r="B100" s="5" t="s">
        <v>424</v>
      </c>
      <c r="C100" s="5" t="s">
        <v>150</v>
      </c>
      <c r="D100" s="6">
        <v>22643000</v>
      </c>
      <c r="E100" s="5" t="s">
        <v>322</v>
      </c>
      <c r="F100" s="5" t="s">
        <v>309</v>
      </c>
      <c r="G100" s="5" t="s">
        <v>656</v>
      </c>
    </row>
    <row r="101" spans="1:7" x14ac:dyDescent="0.2">
      <c r="A101" s="3" t="s">
        <v>351</v>
      </c>
      <c r="B101" s="3" t="s">
        <v>424</v>
      </c>
      <c r="C101" s="3" t="s">
        <v>151</v>
      </c>
      <c r="D101" s="4">
        <v>52775000</v>
      </c>
      <c r="E101" s="3" t="s">
        <v>322</v>
      </c>
      <c r="F101" s="3" t="s">
        <v>309</v>
      </c>
      <c r="G101" s="3" t="s">
        <v>656</v>
      </c>
    </row>
    <row r="102" spans="1:7" x14ac:dyDescent="0.2">
      <c r="A102" s="5" t="s">
        <v>351</v>
      </c>
      <c r="B102" s="5" t="s">
        <v>424</v>
      </c>
      <c r="C102" s="5" t="s">
        <v>152</v>
      </c>
      <c r="D102" s="6">
        <v>34412000</v>
      </c>
      <c r="E102" s="5" t="s">
        <v>322</v>
      </c>
      <c r="F102" s="5" t="s">
        <v>309</v>
      </c>
      <c r="G102" s="5" t="s">
        <v>656</v>
      </c>
    </row>
    <row r="103" spans="1:7" x14ac:dyDescent="0.2">
      <c r="A103" s="3" t="s">
        <v>351</v>
      </c>
      <c r="B103" s="3" t="s">
        <v>424</v>
      </c>
      <c r="C103" s="3" t="s">
        <v>153</v>
      </c>
      <c r="D103" s="4">
        <v>15038000</v>
      </c>
      <c r="E103" s="3" t="s">
        <v>322</v>
      </c>
      <c r="F103" s="3" t="s">
        <v>309</v>
      </c>
      <c r="G103" s="3" t="s">
        <v>656</v>
      </c>
    </row>
    <row r="104" spans="1:7" x14ac:dyDescent="0.2">
      <c r="A104" s="5" t="s">
        <v>351</v>
      </c>
      <c r="B104" s="5" t="s">
        <v>424</v>
      </c>
      <c r="C104" s="5" t="s">
        <v>154</v>
      </c>
      <c r="D104" s="6">
        <v>15038000</v>
      </c>
      <c r="E104" s="5" t="s">
        <v>322</v>
      </c>
      <c r="F104" s="5" t="s">
        <v>309</v>
      </c>
      <c r="G104" s="5" t="s">
        <v>656</v>
      </c>
    </row>
    <row r="105" spans="1:7" x14ac:dyDescent="0.2">
      <c r="A105" s="3" t="s">
        <v>351</v>
      </c>
      <c r="B105" s="3" t="s">
        <v>424</v>
      </c>
      <c r="C105" s="3" t="s">
        <v>155</v>
      </c>
      <c r="D105" s="4">
        <v>29538000</v>
      </c>
      <c r="E105" s="3" t="s">
        <v>322</v>
      </c>
      <c r="F105" s="3" t="s">
        <v>309</v>
      </c>
      <c r="G105" s="3" t="s">
        <v>656</v>
      </c>
    </row>
    <row r="106" spans="1:7" x14ac:dyDescent="0.2">
      <c r="A106" s="5" t="s">
        <v>351</v>
      </c>
      <c r="B106" s="5" t="s">
        <v>424</v>
      </c>
      <c r="C106" s="5" t="s">
        <v>156</v>
      </c>
      <c r="D106" s="6">
        <v>52240000</v>
      </c>
      <c r="E106" s="5" t="s">
        <v>322</v>
      </c>
      <c r="F106" s="5" t="s">
        <v>309</v>
      </c>
      <c r="G106" s="5" t="s">
        <v>656</v>
      </c>
    </row>
    <row r="107" spans="1:7" x14ac:dyDescent="0.2">
      <c r="A107" s="3" t="s">
        <v>351</v>
      </c>
      <c r="B107" s="3" t="s">
        <v>424</v>
      </c>
      <c r="C107" s="3" t="s">
        <v>425</v>
      </c>
      <c r="D107" s="4">
        <v>10758000</v>
      </c>
      <c r="E107" s="3" t="s">
        <v>322</v>
      </c>
      <c r="F107" s="3" t="s">
        <v>309</v>
      </c>
      <c r="G107" s="3" t="s">
        <v>656</v>
      </c>
    </row>
    <row r="108" spans="1:7" x14ac:dyDescent="0.2">
      <c r="A108" s="5" t="s">
        <v>351</v>
      </c>
      <c r="B108" s="5" t="s">
        <v>424</v>
      </c>
      <c r="C108" s="5" t="s">
        <v>426</v>
      </c>
      <c r="D108" s="6">
        <v>15384000</v>
      </c>
      <c r="E108" s="5" t="s">
        <v>322</v>
      </c>
      <c r="F108" s="5" t="s">
        <v>309</v>
      </c>
      <c r="G108" s="5" t="s">
        <v>657</v>
      </c>
    </row>
    <row r="109" spans="1:7" x14ac:dyDescent="0.2">
      <c r="A109" s="3" t="s">
        <v>351</v>
      </c>
      <c r="B109" s="3" t="s">
        <v>424</v>
      </c>
      <c r="C109" s="3" t="s">
        <v>427</v>
      </c>
      <c r="D109" s="4">
        <v>8996000</v>
      </c>
      <c r="E109" s="3" t="s">
        <v>322</v>
      </c>
      <c r="F109" s="3" t="s">
        <v>309</v>
      </c>
      <c r="G109" s="3" t="s">
        <v>657</v>
      </c>
    </row>
    <row r="110" spans="1:7" x14ac:dyDescent="0.2">
      <c r="A110" s="5" t="s">
        <v>351</v>
      </c>
      <c r="B110" s="5" t="s">
        <v>424</v>
      </c>
      <c r="C110" s="5" t="s">
        <v>157</v>
      </c>
      <c r="D110" s="6">
        <v>858000</v>
      </c>
      <c r="E110" s="5" t="s">
        <v>322</v>
      </c>
      <c r="F110" s="5" t="s">
        <v>309</v>
      </c>
      <c r="G110" s="5"/>
    </row>
    <row r="111" spans="1:7" x14ac:dyDescent="0.2">
      <c r="A111" s="3" t="s">
        <v>351</v>
      </c>
      <c r="B111" s="3" t="s">
        <v>424</v>
      </c>
      <c r="C111" s="3" t="s">
        <v>158</v>
      </c>
      <c r="D111" s="4">
        <v>1123000</v>
      </c>
      <c r="E111" s="3" t="s">
        <v>322</v>
      </c>
      <c r="F111" s="3" t="s">
        <v>309</v>
      </c>
      <c r="G111" s="3"/>
    </row>
    <row r="112" spans="1:7" x14ac:dyDescent="0.2">
      <c r="A112" s="5" t="s">
        <v>351</v>
      </c>
      <c r="B112" s="5" t="s">
        <v>424</v>
      </c>
      <c r="C112" s="5" t="s">
        <v>159</v>
      </c>
      <c r="D112" s="6">
        <v>858000</v>
      </c>
      <c r="E112" s="5" t="s">
        <v>322</v>
      </c>
      <c r="F112" s="5" t="s">
        <v>309</v>
      </c>
      <c r="G112" s="5"/>
    </row>
    <row r="113" spans="1:7" x14ac:dyDescent="0.2">
      <c r="A113" s="3" t="s">
        <v>351</v>
      </c>
      <c r="B113" s="3" t="s">
        <v>424</v>
      </c>
      <c r="C113" s="3" t="s">
        <v>160</v>
      </c>
      <c r="D113" s="4">
        <v>3186000</v>
      </c>
      <c r="E113" s="3" t="s">
        <v>322</v>
      </c>
      <c r="F113" s="3" t="s">
        <v>309</v>
      </c>
      <c r="G113" s="3"/>
    </row>
    <row r="114" spans="1:7" x14ac:dyDescent="0.2">
      <c r="A114" s="5" t="s">
        <v>351</v>
      </c>
      <c r="B114" s="5" t="s">
        <v>428</v>
      </c>
      <c r="C114" s="5" t="s">
        <v>429</v>
      </c>
      <c r="D114" s="6">
        <v>2140000</v>
      </c>
      <c r="E114" s="5" t="s">
        <v>322</v>
      </c>
      <c r="F114" s="5" t="s">
        <v>309</v>
      </c>
      <c r="G114" s="5"/>
    </row>
    <row r="115" spans="1:7" x14ac:dyDescent="0.2">
      <c r="A115" s="3" t="s">
        <v>351</v>
      </c>
      <c r="B115" s="3" t="s">
        <v>428</v>
      </c>
      <c r="C115" s="3" t="s">
        <v>190</v>
      </c>
      <c r="D115" s="4">
        <v>952000</v>
      </c>
      <c r="E115" s="3" t="s">
        <v>322</v>
      </c>
      <c r="F115" s="3" t="s">
        <v>309</v>
      </c>
      <c r="G115" s="3"/>
    </row>
    <row r="116" spans="1:7" x14ac:dyDescent="0.2">
      <c r="A116" s="5" t="s">
        <v>351</v>
      </c>
      <c r="B116" s="5" t="s">
        <v>428</v>
      </c>
      <c r="C116" s="5" t="s">
        <v>191</v>
      </c>
      <c r="D116" s="6">
        <v>812000</v>
      </c>
      <c r="E116" s="5" t="s">
        <v>322</v>
      </c>
      <c r="F116" s="5" t="s">
        <v>309</v>
      </c>
      <c r="G116" s="5"/>
    </row>
    <row r="117" spans="1:7" x14ac:dyDescent="0.2">
      <c r="A117" s="3" t="s">
        <v>351</v>
      </c>
      <c r="B117" s="3" t="s">
        <v>428</v>
      </c>
      <c r="C117" s="3" t="s">
        <v>430</v>
      </c>
      <c r="D117" s="4">
        <v>869000</v>
      </c>
      <c r="E117" s="3" t="s">
        <v>335</v>
      </c>
      <c r="F117" s="3" t="s">
        <v>309</v>
      </c>
      <c r="G117" s="3"/>
    </row>
    <row r="118" spans="1:7" x14ac:dyDescent="0.2">
      <c r="A118" s="5" t="s">
        <v>351</v>
      </c>
      <c r="B118" s="5" t="s">
        <v>428</v>
      </c>
      <c r="C118" s="5" t="s">
        <v>431</v>
      </c>
      <c r="D118" s="6">
        <v>1125000</v>
      </c>
      <c r="E118" s="5" t="s">
        <v>335</v>
      </c>
      <c r="F118" s="5" t="s">
        <v>309</v>
      </c>
      <c r="G118" s="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298DF-3BB6-479C-A79E-D9795CE24301}">
  <dimension ref="A1:H145"/>
  <sheetViews>
    <sheetView zoomScale="115" zoomScaleNormal="115" workbookViewId="0">
      <selection activeCell="C10" sqref="C10"/>
    </sheetView>
  </sheetViews>
  <sheetFormatPr defaultRowHeight="12.75" x14ac:dyDescent="0.2"/>
  <cols>
    <col min="1" max="1" width="9.140625" bestFit="1" customWidth="1"/>
    <col min="2" max="2" width="16.5703125" bestFit="1" customWidth="1"/>
    <col min="3" max="3" width="71.85546875" bestFit="1" customWidth="1"/>
    <col min="4" max="4" width="14" bestFit="1" customWidth="1"/>
    <col min="5" max="5" width="8.42578125" style="1" bestFit="1" customWidth="1"/>
    <col min="6" max="6" width="9.140625" bestFit="1" customWidth="1"/>
    <col min="7" max="7" width="7.7109375" bestFit="1" customWidth="1"/>
    <col min="8" max="8" width="70.7109375" bestFit="1" customWidth="1"/>
  </cols>
  <sheetData>
    <row r="1" spans="1:8" x14ac:dyDescent="0.2">
      <c r="A1" s="2" t="s">
        <v>304</v>
      </c>
      <c r="B1" s="2" t="s">
        <v>195</v>
      </c>
      <c r="C1" s="2" t="s">
        <v>0</v>
      </c>
      <c r="D1" s="2" t="s">
        <v>197</v>
      </c>
      <c r="E1" s="2" t="s">
        <v>161</v>
      </c>
      <c r="F1" s="2" t="s">
        <v>1</v>
      </c>
      <c r="G1" s="2" t="s">
        <v>305</v>
      </c>
      <c r="H1" s="2" t="s">
        <v>196</v>
      </c>
    </row>
    <row r="2" spans="1:8" x14ac:dyDescent="0.2">
      <c r="A2" s="5" t="s">
        <v>444</v>
      </c>
      <c r="B2" s="5" t="s">
        <v>445</v>
      </c>
      <c r="C2" s="5" t="s">
        <v>540</v>
      </c>
      <c r="D2" s="5" t="s">
        <v>198</v>
      </c>
      <c r="E2" s="5">
        <v>180</v>
      </c>
      <c r="F2" s="6">
        <v>210000</v>
      </c>
      <c r="G2" s="5" t="s">
        <v>309</v>
      </c>
      <c r="H2" s="5" t="s">
        <v>446</v>
      </c>
    </row>
    <row r="3" spans="1:8" x14ac:dyDescent="0.2">
      <c r="A3" s="3" t="s">
        <v>444</v>
      </c>
      <c r="B3" s="3" t="s">
        <v>445</v>
      </c>
      <c r="C3" s="3" t="s">
        <v>541</v>
      </c>
      <c r="D3" s="3" t="s">
        <v>198</v>
      </c>
      <c r="E3" s="3">
        <v>260</v>
      </c>
      <c r="F3" s="4">
        <v>230000</v>
      </c>
      <c r="G3" s="3" t="s">
        <v>309</v>
      </c>
      <c r="H3" s="3" t="s">
        <v>446</v>
      </c>
    </row>
    <row r="4" spans="1:8" x14ac:dyDescent="0.2">
      <c r="A4" s="5" t="s">
        <v>444</v>
      </c>
      <c r="B4" s="5" t="s">
        <v>445</v>
      </c>
      <c r="C4" s="5" t="s">
        <v>542</v>
      </c>
      <c r="D4" s="5" t="s">
        <v>198</v>
      </c>
      <c r="E4" s="5">
        <v>410</v>
      </c>
      <c r="F4" s="6">
        <v>250000</v>
      </c>
      <c r="G4" s="5" t="s">
        <v>309</v>
      </c>
      <c r="H4" s="5" t="s">
        <v>446</v>
      </c>
    </row>
    <row r="5" spans="1:8" x14ac:dyDescent="0.2">
      <c r="A5" s="3" t="s">
        <v>444</v>
      </c>
      <c r="B5" s="3" t="s">
        <v>445</v>
      </c>
      <c r="C5" s="3" t="s">
        <v>543</v>
      </c>
      <c r="D5" s="3" t="s">
        <v>198</v>
      </c>
      <c r="E5" s="3">
        <v>560</v>
      </c>
      <c r="F5" s="4">
        <v>280000</v>
      </c>
      <c r="G5" s="3" t="s">
        <v>309</v>
      </c>
      <c r="H5" s="3" t="s">
        <v>446</v>
      </c>
    </row>
    <row r="6" spans="1:8" x14ac:dyDescent="0.2">
      <c r="A6" s="5" t="s">
        <v>444</v>
      </c>
      <c r="B6" s="5" t="s">
        <v>445</v>
      </c>
      <c r="C6" s="5" t="s">
        <v>544</v>
      </c>
      <c r="D6" s="5" t="s">
        <v>198</v>
      </c>
      <c r="E6" s="5">
        <v>860</v>
      </c>
      <c r="F6" s="6">
        <v>330000</v>
      </c>
      <c r="G6" s="5" t="s">
        <v>309</v>
      </c>
      <c r="H6" s="5" t="s">
        <v>446</v>
      </c>
    </row>
    <row r="7" spans="1:8" x14ac:dyDescent="0.2">
      <c r="A7" s="3" t="s">
        <v>444</v>
      </c>
      <c r="B7" s="3" t="s">
        <v>445</v>
      </c>
      <c r="C7" s="3" t="s">
        <v>545</v>
      </c>
      <c r="D7" s="3" t="s">
        <v>198</v>
      </c>
      <c r="E7" s="3">
        <v>1160</v>
      </c>
      <c r="F7" s="4">
        <v>380000</v>
      </c>
      <c r="G7" s="3" t="s">
        <v>309</v>
      </c>
      <c r="H7" s="3" t="s">
        <v>446</v>
      </c>
    </row>
    <row r="8" spans="1:8" x14ac:dyDescent="0.2">
      <c r="A8" s="5" t="s">
        <v>444</v>
      </c>
      <c r="B8" s="5" t="s">
        <v>445</v>
      </c>
      <c r="C8" s="5" t="s">
        <v>546</v>
      </c>
      <c r="D8" s="5" t="s">
        <v>198</v>
      </c>
      <c r="E8" s="5">
        <v>3000</v>
      </c>
      <c r="F8" s="6">
        <v>860000</v>
      </c>
      <c r="G8" s="5" t="s">
        <v>309</v>
      </c>
      <c r="H8" s="5" t="s">
        <v>446</v>
      </c>
    </row>
    <row r="9" spans="1:8" x14ac:dyDescent="0.2">
      <c r="A9" s="3" t="s">
        <v>444</v>
      </c>
      <c r="B9" s="3" t="s">
        <v>445</v>
      </c>
      <c r="C9" s="3" t="s">
        <v>547</v>
      </c>
      <c r="D9" s="3" t="s">
        <v>199</v>
      </c>
      <c r="E9" s="3">
        <v>120</v>
      </c>
      <c r="F9" s="4">
        <v>200000</v>
      </c>
      <c r="G9" s="3" t="s">
        <v>309</v>
      </c>
      <c r="H9" s="3" t="s">
        <v>447</v>
      </c>
    </row>
    <row r="10" spans="1:8" x14ac:dyDescent="0.2">
      <c r="A10" s="5" t="s">
        <v>444</v>
      </c>
      <c r="B10" s="5" t="s">
        <v>445</v>
      </c>
      <c r="C10" s="5" t="s">
        <v>548</v>
      </c>
      <c r="D10" s="5" t="s">
        <v>199</v>
      </c>
      <c r="E10" s="5">
        <v>240</v>
      </c>
      <c r="F10" s="6">
        <v>220000</v>
      </c>
      <c r="G10" s="5" t="s">
        <v>309</v>
      </c>
      <c r="H10" s="5" t="s">
        <v>447</v>
      </c>
    </row>
    <row r="11" spans="1:8" x14ac:dyDescent="0.2">
      <c r="A11" s="3" t="s">
        <v>444</v>
      </c>
      <c r="B11" s="3" t="s">
        <v>445</v>
      </c>
      <c r="C11" s="3" t="s">
        <v>549</v>
      </c>
      <c r="D11" s="3" t="s">
        <v>199</v>
      </c>
      <c r="E11" s="3">
        <v>360</v>
      </c>
      <c r="F11" s="4">
        <v>240000</v>
      </c>
      <c r="G11" s="3" t="s">
        <v>309</v>
      </c>
      <c r="H11" s="3" t="s">
        <v>447</v>
      </c>
    </row>
    <row r="12" spans="1:8" x14ac:dyDescent="0.2">
      <c r="A12" s="5" t="s">
        <v>444</v>
      </c>
      <c r="B12" s="5" t="s">
        <v>445</v>
      </c>
      <c r="C12" s="5" t="s">
        <v>550</v>
      </c>
      <c r="D12" s="5" t="s">
        <v>199</v>
      </c>
      <c r="E12" s="5">
        <v>480</v>
      </c>
      <c r="F12" s="6">
        <v>260000</v>
      </c>
      <c r="G12" s="5" t="s">
        <v>309</v>
      </c>
      <c r="H12" s="5" t="s">
        <v>447</v>
      </c>
    </row>
    <row r="13" spans="1:8" x14ac:dyDescent="0.2">
      <c r="A13" s="3" t="s">
        <v>444</v>
      </c>
      <c r="B13" s="3" t="s">
        <v>445</v>
      </c>
      <c r="C13" s="3" t="s">
        <v>551</v>
      </c>
      <c r="D13" s="3" t="s">
        <v>199</v>
      </c>
      <c r="E13" s="3">
        <v>600</v>
      </c>
      <c r="F13" s="4">
        <v>280000</v>
      </c>
      <c r="G13" s="3" t="s">
        <v>309</v>
      </c>
      <c r="H13" s="3" t="s">
        <v>447</v>
      </c>
    </row>
    <row r="14" spans="1:8" x14ac:dyDescent="0.2">
      <c r="A14" s="5" t="s">
        <v>444</v>
      </c>
      <c r="B14" s="5" t="s">
        <v>445</v>
      </c>
      <c r="C14" s="5" t="s">
        <v>552</v>
      </c>
      <c r="D14" s="5" t="s">
        <v>199</v>
      </c>
      <c r="E14" s="5">
        <v>3000</v>
      </c>
      <c r="F14" s="6">
        <v>820000</v>
      </c>
      <c r="G14" s="5" t="s">
        <v>309</v>
      </c>
      <c r="H14" s="5" t="s">
        <v>447</v>
      </c>
    </row>
    <row r="15" spans="1:8" x14ac:dyDescent="0.2">
      <c r="A15" s="3" t="s">
        <v>444</v>
      </c>
      <c r="B15" s="3" t="s">
        <v>445</v>
      </c>
      <c r="C15" s="3" t="s">
        <v>553</v>
      </c>
      <c r="D15" s="3" t="s">
        <v>200</v>
      </c>
      <c r="E15" s="3">
        <v>420</v>
      </c>
      <c r="F15" s="4">
        <v>320000</v>
      </c>
      <c r="G15" s="3" t="s">
        <v>309</v>
      </c>
      <c r="H15" s="3" t="s">
        <v>446</v>
      </c>
    </row>
    <row r="16" spans="1:8" x14ac:dyDescent="0.2">
      <c r="A16" s="5" t="s">
        <v>444</v>
      </c>
      <c r="B16" s="5" t="s">
        <v>445</v>
      </c>
      <c r="C16" s="5" t="s">
        <v>554</v>
      </c>
      <c r="D16" s="5" t="s">
        <v>200</v>
      </c>
      <c r="E16" s="5">
        <v>540</v>
      </c>
      <c r="F16" s="6">
        <v>360000</v>
      </c>
      <c r="G16" s="5" t="s">
        <v>309</v>
      </c>
      <c r="H16" s="5" t="s">
        <v>446</v>
      </c>
    </row>
    <row r="17" spans="1:8" x14ac:dyDescent="0.2">
      <c r="A17" s="3" t="s">
        <v>444</v>
      </c>
      <c r="B17" s="3" t="s">
        <v>445</v>
      </c>
      <c r="C17" s="3" t="s">
        <v>555</v>
      </c>
      <c r="D17" s="3" t="s">
        <v>200</v>
      </c>
      <c r="E17" s="3">
        <v>900</v>
      </c>
      <c r="F17" s="4">
        <v>470000</v>
      </c>
      <c r="G17" s="3" t="s">
        <v>309</v>
      </c>
      <c r="H17" s="3" t="s">
        <v>446</v>
      </c>
    </row>
    <row r="18" spans="1:8" x14ac:dyDescent="0.2">
      <c r="A18" s="5" t="s">
        <v>444</v>
      </c>
      <c r="B18" s="5" t="s">
        <v>445</v>
      </c>
      <c r="C18" s="5" t="s">
        <v>556</v>
      </c>
      <c r="D18" s="5" t="s">
        <v>200</v>
      </c>
      <c r="E18" s="5">
        <v>1100</v>
      </c>
      <c r="F18" s="6">
        <v>540000</v>
      </c>
      <c r="G18" s="5" t="s">
        <v>309</v>
      </c>
      <c r="H18" s="5" t="s">
        <v>446</v>
      </c>
    </row>
    <row r="19" spans="1:8" x14ac:dyDescent="0.2">
      <c r="A19" s="3" t="s">
        <v>444</v>
      </c>
      <c r="B19" s="3" t="s">
        <v>445</v>
      </c>
      <c r="C19" s="3" t="s">
        <v>557</v>
      </c>
      <c r="D19" s="3" t="s">
        <v>200</v>
      </c>
      <c r="E19" s="3">
        <v>3000</v>
      </c>
      <c r="F19" s="4">
        <v>1470000</v>
      </c>
      <c r="G19" s="3" t="s">
        <v>309</v>
      </c>
      <c r="H19" s="3" t="s">
        <v>446</v>
      </c>
    </row>
    <row r="20" spans="1:8" x14ac:dyDescent="0.2">
      <c r="A20" s="5" t="s">
        <v>444</v>
      </c>
      <c r="B20" s="5" t="s">
        <v>445</v>
      </c>
      <c r="C20" s="5" t="s">
        <v>558</v>
      </c>
      <c r="D20" s="5" t="s">
        <v>201</v>
      </c>
      <c r="E20" s="5">
        <v>903</v>
      </c>
      <c r="F20" s="6">
        <v>460000</v>
      </c>
      <c r="G20" s="5" t="s">
        <v>309</v>
      </c>
      <c r="H20" s="5" t="s">
        <v>659</v>
      </c>
    </row>
    <row r="21" spans="1:8" x14ac:dyDescent="0.2">
      <c r="A21" s="3" t="s">
        <v>444</v>
      </c>
      <c r="B21" s="3" t="s">
        <v>445</v>
      </c>
      <c r="C21" s="3" t="s">
        <v>559</v>
      </c>
      <c r="D21" s="3" t="s">
        <v>201</v>
      </c>
      <c r="E21" s="3">
        <v>824</v>
      </c>
      <c r="F21" s="4">
        <v>440000</v>
      </c>
      <c r="G21" s="3" t="s">
        <v>309</v>
      </c>
      <c r="H21" s="3" t="s">
        <v>659</v>
      </c>
    </row>
    <row r="22" spans="1:8" x14ac:dyDescent="0.2">
      <c r="A22" s="5" t="s">
        <v>444</v>
      </c>
      <c r="B22" s="5" t="s">
        <v>445</v>
      </c>
      <c r="C22" s="5" t="s">
        <v>560</v>
      </c>
      <c r="D22" s="5" t="s">
        <v>201</v>
      </c>
      <c r="E22" s="5">
        <v>764</v>
      </c>
      <c r="F22" s="6">
        <v>420000</v>
      </c>
      <c r="G22" s="5" t="s">
        <v>309</v>
      </c>
      <c r="H22" s="5" t="s">
        <v>659</v>
      </c>
    </row>
    <row r="23" spans="1:8" x14ac:dyDescent="0.2">
      <c r="A23" s="3" t="s">
        <v>444</v>
      </c>
      <c r="B23" s="3" t="s">
        <v>445</v>
      </c>
      <c r="C23" s="3" t="s">
        <v>561</v>
      </c>
      <c r="D23" s="3" t="s">
        <v>201</v>
      </c>
      <c r="E23" s="3">
        <v>703</v>
      </c>
      <c r="F23" s="4">
        <v>400000</v>
      </c>
      <c r="G23" s="3" t="s">
        <v>309</v>
      </c>
      <c r="H23" s="3" t="s">
        <v>659</v>
      </c>
    </row>
    <row r="24" spans="1:8" x14ac:dyDescent="0.2">
      <c r="A24" s="5" t="s">
        <v>444</v>
      </c>
      <c r="B24" s="5" t="s">
        <v>445</v>
      </c>
      <c r="C24" s="5" t="s">
        <v>562</v>
      </c>
      <c r="D24" s="5" t="s">
        <v>201</v>
      </c>
      <c r="E24" s="5">
        <v>3000</v>
      </c>
      <c r="F24" s="6">
        <v>1420000</v>
      </c>
      <c r="G24" s="5" t="s">
        <v>309</v>
      </c>
      <c r="H24" s="5" t="s">
        <v>659</v>
      </c>
    </row>
    <row r="25" spans="1:8" x14ac:dyDescent="0.2">
      <c r="A25" s="3" t="s">
        <v>444</v>
      </c>
      <c r="B25" s="3" t="s">
        <v>445</v>
      </c>
      <c r="C25" s="3" t="s">
        <v>563</v>
      </c>
      <c r="D25" s="3" t="s">
        <v>202</v>
      </c>
      <c r="E25" s="3">
        <v>477</v>
      </c>
      <c r="F25" s="4">
        <v>350000</v>
      </c>
      <c r="G25" s="3" t="s">
        <v>309</v>
      </c>
      <c r="H25" s="3"/>
    </row>
    <row r="26" spans="1:8" x14ac:dyDescent="0.2">
      <c r="A26" s="5" t="s">
        <v>444</v>
      </c>
      <c r="B26" s="5" t="s">
        <v>445</v>
      </c>
      <c r="C26" s="5" t="s">
        <v>564</v>
      </c>
      <c r="D26" s="5" t="s">
        <v>202</v>
      </c>
      <c r="E26" s="5">
        <v>597</v>
      </c>
      <c r="F26" s="6">
        <v>380000</v>
      </c>
      <c r="G26" s="5" t="s">
        <v>309</v>
      </c>
      <c r="H26" s="5"/>
    </row>
    <row r="27" spans="1:8" x14ac:dyDescent="0.2">
      <c r="A27" s="3" t="s">
        <v>444</v>
      </c>
      <c r="B27" s="3" t="s">
        <v>445</v>
      </c>
      <c r="C27" s="3" t="s">
        <v>565</v>
      </c>
      <c r="D27" s="3" t="s">
        <v>202</v>
      </c>
      <c r="E27" s="3">
        <v>957</v>
      </c>
      <c r="F27" s="4">
        <v>490000</v>
      </c>
      <c r="G27" s="3" t="s">
        <v>309</v>
      </c>
      <c r="H27" s="3"/>
    </row>
    <row r="28" spans="1:8" x14ac:dyDescent="0.2">
      <c r="A28" s="5" t="s">
        <v>444</v>
      </c>
      <c r="B28" s="5" t="s">
        <v>445</v>
      </c>
      <c r="C28" s="5" t="s">
        <v>566</v>
      </c>
      <c r="D28" s="5" t="s">
        <v>202</v>
      </c>
      <c r="E28" s="5">
        <v>3000</v>
      </c>
      <c r="F28" s="6">
        <v>1410000</v>
      </c>
      <c r="G28" s="5" t="s">
        <v>309</v>
      </c>
      <c r="H28" s="5"/>
    </row>
    <row r="29" spans="1:8" x14ac:dyDescent="0.2">
      <c r="A29" s="3" t="s">
        <v>444</v>
      </c>
      <c r="B29" s="3" t="s">
        <v>445</v>
      </c>
      <c r="C29" s="3" t="s">
        <v>567</v>
      </c>
      <c r="D29" s="3" t="s">
        <v>203</v>
      </c>
      <c r="E29" s="3">
        <v>477</v>
      </c>
      <c r="F29" s="4">
        <v>300000</v>
      </c>
      <c r="G29" s="3" t="s">
        <v>309</v>
      </c>
      <c r="H29" s="3" t="s">
        <v>660</v>
      </c>
    </row>
    <row r="30" spans="1:8" x14ac:dyDescent="0.2">
      <c r="A30" s="5" t="s">
        <v>444</v>
      </c>
      <c r="B30" s="5" t="s">
        <v>445</v>
      </c>
      <c r="C30" s="5" t="s">
        <v>568</v>
      </c>
      <c r="D30" s="5" t="s">
        <v>203</v>
      </c>
      <c r="E30" s="5">
        <v>597</v>
      </c>
      <c r="F30" s="6">
        <v>330000</v>
      </c>
      <c r="G30" s="5" t="s">
        <v>309</v>
      </c>
      <c r="H30" s="5" t="s">
        <v>660</v>
      </c>
    </row>
    <row r="31" spans="1:8" x14ac:dyDescent="0.2">
      <c r="A31" s="3" t="s">
        <v>444</v>
      </c>
      <c r="B31" s="3" t="s">
        <v>445</v>
      </c>
      <c r="C31" s="3" t="s">
        <v>569</v>
      </c>
      <c r="D31" s="3" t="s">
        <v>203</v>
      </c>
      <c r="E31" s="3">
        <v>957</v>
      </c>
      <c r="F31" s="4">
        <v>420000</v>
      </c>
      <c r="G31" s="3" t="s">
        <v>309</v>
      </c>
      <c r="H31" s="3" t="s">
        <v>660</v>
      </c>
    </row>
    <row r="32" spans="1:8" x14ac:dyDescent="0.2">
      <c r="A32" s="5" t="s">
        <v>444</v>
      </c>
      <c r="B32" s="5" t="s">
        <v>445</v>
      </c>
      <c r="C32" s="5" t="s">
        <v>570</v>
      </c>
      <c r="D32" s="5" t="s">
        <v>203</v>
      </c>
      <c r="E32" s="5">
        <v>3000</v>
      </c>
      <c r="F32" s="6">
        <v>1190000</v>
      </c>
      <c r="G32" s="5" t="s">
        <v>309</v>
      </c>
      <c r="H32" s="5" t="s">
        <v>660</v>
      </c>
    </row>
    <row r="33" spans="1:8" x14ac:dyDescent="0.2">
      <c r="A33" s="3" t="s">
        <v>444</v>
      </c>
      <c r="B33" s="3" t="s">
        <v>445</v>
      </c>
      <c r="C33" s="3" t="s">
        <v>448</v>
      </c>
      <c r="D33" s="3" t="s">
        <v>203</v>
      </c>
      <c r="E33" s="3"/>
      <c r="F33" s="4">
        <v>70000</v>
      </c>
      <c r="G33" s="3" t="s">
        <v>309</v>
      </c>
      <c r="H33" s="3" t="s">
        <v>449</v>
      </c>
    </row>
    <row r="34" spans="1:8" x14ac:dyDescent="0.2">
      <c r="A34" s="5" t="s">
        <v>444</v>
      </c>
      <c r="B34" s="5" t="s">
        <v>450</v>
      </c>
      <c r="C34" s="5" t="s">
        <v>162</v>
      </c>
      <c r="D34" s="5"/>
      <c r="E34" s="5"/>
      <c r="F34" s="6">
        <v>197000</v>
      </c>
      <c r="G34" s="5" t="s">
        <v>309</v>
      </c>
      <c r="H34" s="5" t="s">
        <v>163</v>
      </c>
    </row>
    <row r="35" spans="1:8" x14ac:dyDescent="0.2">
      <c r="A35" s="3" t="s">
        <v>444</v>
      </c>
      <c r="B35" s="3" t="s">
        <v>450</v>
      </c>
      <c r="C35" s="3" t="s">
        <v>164</v>
      </c>
      <c r="D35" s="3"/>
      <c r="E35" s="3"/>
      <c r="F35" s="4">
        <v>120000</v>
      </c>
      <c r="G35" s="3" t="s">
        <v>309</v>
      </c>
      <c r="H35" s="3"/>
    </row>
    <row r="36" spans="1:8" x14ac:dyDescent="0.2">
      <c r="A36" s="5" t="s">
        <v>444</v>
      </c>
      <c r="B36" s="5" t="s">
        <v>450</v>
      </c>
      <c r="C36" s="5" t="s">
        <v>451</v>
      </c>
      <c r="D36" s="5"/>
      <c r="E36" s="5"/>
      <c r="F36" s="6">
        <v>122000</v>
      </c>
      <c r="G36" s="5" t="s">
        <v>309</v>
      </c>
      <c r="H36" s="5"/>
    </row>
    <row r="37" spans="1:8" x14ac:dyDescent="0.2">
      <c r="A37" s="3" t="s">
        <v>444</v>
      </c>
      <c r="B37" s="3" t="s">
        <v>450</v>
      </c>
      <c r="C37" s="3" t="s">
        <v>452</v>
      </c>
      <c r="D37" s="3"/>
      <c r="E37" s="3"/>
      <c r="F37" s="4">
        <v>130000</v>
      </c>
      <c r="G37" s="3" t="s">
        <v>309</v>
      </c>
      <c r="H37" s="3"/>
    </row>
    <row r="38" spans="1:8" x14ac:dyDescent="0.2">
      <c r="A38" s="5" t="s">
        <v>444</v>
      </c>
      <c r="B38" s="5" t="s">
        <v>450</v>
      </c>
      <c r="C38" s="5" t="s">
        <v>453</v>
      </c>
      <c r="D38" s="5"/>
      <c r="E38" s="5"/>
      <c r="F38" s="6">
        <v>150000</v>
      </c>
      <c r="G38" s="5" t="s">
        <v>309</v>
      </c>
      <c r="H38" s="5"/>
    </row>
    <row r="39" spans="1:8" x14ac:dyDescent="0.2">
      <c r="A39" s="3" t="s">
        <v>444</v>
      </c>
      <c r="B39" s="3" t="s">
        <v>450</v>
      </c>
      <c r="C39" s="3" t="s">
        <v>165</v>
      </c>
      <c r="D39" s="3"/>
      <c r="E39" s="3"/>
      <c r="F39" s="4">
        <v>120000</v>
      </c>
      <c r="G39" s="3" t="s">
        <v>309</v>
      </c>
      <c r="H39" s="3"/>
    </row>
    <row r="40" spans="1:8" x14ac:dyDescent="0.2">
      <c r="A40" s="5" t="s">
        <v>444</v>
      </c>
      <c r="B40" s="5" t="s">
        <v>450</v>
      </c>
      <c r="C40" s="5" t="s">
        <v>166</v>
      </c>
      <c r="D40" s="5"/>
      <c r="E40" s="5"/>
      <c r="F40" s="6">
        <v>110000</v>
      </c>
      <c r="G40" s="5" t="s">
        <v>309</v>
      </c>
      <c r="H40" s="5"/>
    </row>
    <row r="41" spans="1:8" x14ac:dyDescent="0.2">
      <c r="A41" s="3" t="s">
        <v>444</v>
      </c>
      <c r="B41" s="3" t="s">
        <v>450</v>
      </c>
      <c r="C41" s="3" t="s">
        <v>454</v>
      </c>
      <c r="D41" s="3"/>
      <c r="E41" s="3"/>
      <c r="F41" s="4">
        <v>90000</v>
      </c>
      <c r="G41" s="3" t="s">
        <v>309</v>
      </c>
      <c r="H41" s="3"/>
    </row>
    <row r="42" spans="1:8" x14ac:dyDescent="0.2">
      <c r="A42" s="5" t="s">
        <v>444</v>
      </c>
      <c r="B42" s="5" t="s">
        <v>450</v>
      </c>
      <c r="C42" s="5" t="s">
        <v>455</v>
      </c>
      <c r="D42" s="5"/>
      <c r="E42" s="5"/>
      <c r="F42" s="6">
        <v>80000</v>
      </c>
      <c r="G42" s="5" t="s">
        <v>309</v>
      </c>
      <c r="H42" s="5"/>
    </row>
    <row r="43" spans="1:8" x14ac:dyDescent="0.2">
      <c r="A43" s="3" t="s">
        <v>444</v>
      </c>
      <c r="B43" s="3" t="s">
        <v>450</v>
      </c>
      <c r="C43" s="3" t="s">
        <v>456</v>
      </c>
      <c r="D43" s="3"/>
      <c r="E43" s="3"/>
      <c r="F43" s="4">
        <v>417000</v>
      </c>
      <c r="G43" s="3" t="s">
        <v>309</v>
      </c>
      <c r="H43" s="3"/>
    </row>
    <row r="44" spans="1:8" x14ac:dyDescent="0.2">
      <c r="A44" s="5" t="s">
        <v>444</v>
      </c>
      <c r="B44" s="5" t="s">
        <v>450</v>
      </c>
      <c r="C44" s="5" t="s">
        <v>457</v>
      </c>
      <c r="D44" s="5"/>
      <c r="E44" s="5"/>
      <c r="F44" s="6">
        <v>264000</v>
      </c>
      <c r="G44" s="5" t="s">
        <v>309</v>
      </c>
      <c r="H44" s="5"/>
    </row>
    <row r="45" spans="1:8" x14ac:dyDescent="0.2">
      <c r="A45" s="3" t="s">
        <v>444</v>
      </c>
      <c r="B45" s="3" t="s">
        <v>450</v>
      </c>
      <c r="C45" s="3" t="s">
        <v>458</v>
      </c>
      <c r="D45" s="3"/>
      <c r="E45" s="3"/>
      <c r="F45" s="4">
        <v>180000</v>
      </c>
      <c r="G45" s="3" t="s">
        <v>309</v>
      </c>
      <c r="H45" s="3"/>
    </row>
    <row r="46" spans="1:8" x14ac:dyDescent="0.2">
      <c r="A46" s="5" t="s">
        <v>444</v>
      </c>
      <c r="B46" s="5" t="s">
        <v>450</v>
      </c>
      <c r="C46" s="5" t="s">
        <v>204</v>
      </c>
      <c r="D46" s="5"/>
      <c r="E46" s="5"/>
      <c r="F46" s="6">
        <v>600000</v>
      </c>
      <c r="G46" s="5" t="s">
        <v>309</v>
      </c>
      <c r="H46" s="5" t="s">
        <v>661</v>
      </c>
    </row>
    <row r="47" spans="1:8" x14ac:dyDescent="0.2">
      <c r="A47" s="3" t="s">
        <v>444</v>
      </c>
      <c r="B47" s="3" t="s">
        <v>450</v>
      </c>
      <c r="C47" s="3" t="s">
        <v>205</v>
      </c>
      <c r="D47" s="3"/>
      <c r="E47" s="3"/>
      <c r="F47" s="4">
        <v>600000</v>
      </c>
      <c r="G47" s="3" t="s">
        <v>309</v>
      </c>
      <c r="H47" s="3" t="s">
        <v>661</v>
      </c>
    </row>
    <row r="48" spans="1:8" x14ac:dyDescent="0.2">
      <c r="A48" s="5" t="s">
        <v>444</v>
      </c>
      <c r="B48" s="5" t="s">
        <v>450</v>
      </c>
      <c r="C48" s="5" t="s">
        <v>459</v>
      </c>
      <c r="D48" s="5"/>
      <c r="E48" s="5"/>
      <c r="F48" s="6">
        <v>225000</v>
      </c>
      <c r="G48" s="5" t="s">
        <v>309</v>
      </c>
      <c r="H48" s="5"/>
    </row>
    <row r="49" spans="1:8" x14ac:dyDescent="0.2">
      <c r="A49" s="3" t="s">
        <v>444</v>
      </c>
      <c r="B49" s="3" t="s">
        <v>450</v>
      </c>
      <c r="C49" s="3" t="s">
        <v>460</v>
      </c>
      <c r="D49" s="3"/>
      <c r="E49" s="3"/>
      <c r="F49" s="4">
        <v>97000</v>
      </c>
      <c r="G49" s="3" t="s">
        <v>309</v>
      </c>
      <c r="H49" s="3"/>
    </row>
    <row r="50" spans="1:8" x14ac:dyDescent="0.2">
      <c r="A50" s="5" t="s">
        <v>444</v>
      </c>
      <c r="B50" s="5" t="s">
        <v>450</v>
      </c>
      <c r="C50" s="5" t="s">
        <v>167</v>
      </c>
      <c r="D50" s="5"/>
      <c r="E50" s="5"/>
      <c r="F50" s="6">
        <v>529000</v>
      </c>
      <c r="G50" s="5" t="s">
        <v>309</v>
      </c>
      <c r="H50" s="5"/>
    </row>
    <row r="51" spans="1:8" x14ac:dyDescent="0.2">
      <c r="A51" s="3" t="s">
        <v>444</v>
      </c>
      <c r="B51" s="3" t="s">
        <v>450</v>
      </c>
      <c r="C51" s="3" t="s">
        <v>168</v>
      </c>
      <c r="D51" s="3"/>
      <c r="E51" s="3"/>
      <c r="F51" s="4">
        <v>616000</v>
      </c>
      <c r="G51" s="3" t="s">
        <v>309</v>
      </c>
      <c r="H51" s="3"/>
    </row>
    <row r="52" spans="1:8" x14ac:dyDescent="0.2">
      <c r="A52" s="5" t="s">
        <v>444</v>
      </c>
      <c r="B52" s="5" t="s">
        <v>450</v>
      </c>
      <c r="C52" s="5" t="s">
        <v>461</v>
      </c>
      <c r="D52" s="5"/>
      <c r="E52" s="5"/>
      <c r="F52" s="6">
        <v>95000</v>
      </c>
      <c r="G52" s="5" t="s">
        <v>309</v>
      </c>
      <c r="H52" s="5"/>
    </row>
    <row r="53" spans="1:8" x14ac:dyDescent="0.2">
      <c r="A53" s="3" t="s">
        <v>444</v>
      </c>
      <c r="B53" s="3" t="s">
        <v>450</v>
      </c>
      <c r="C53" s="3" t="s">
        <v>169</v>
      </c>
      <c r="D53" s="3"/>
      <c r="E53" s="3"/>
      <c r="F53" s="4">
        <v>135000</v>
      </c>
      <c r="G53" s="3" t="s">
        <v>309</v>
      </c>
      <c r="H53" s="3"/>
    </row>
    <row r="54" spans="1:8" x14ac:dyDescent="0.2">
      <c r="A54" s="5" t="s">
        <v>444</v>
      </c>
      <c r="B54" s="5" t="s">
        <v>450</v>
      </c>
      <c r="C54" s="5" t="s">
        <v>462</v>
      </c>
      <c r="D54" s="5"/>
      <c r="E54" s="5"/>
      <c r="F54" s="6">
        <v>121000</v>
      </c>
      <c r="G54" s="5" t="s">
        <v>309</v>
      </c>
      <c r="H54" s="5" t="s">
        <v>463</v>
      </c>
    </row>
    <row r="55" spans="1:8" x14ac:dyDescent="0.2">
      <c r="A55" s="3" t="s">
        <v>444</v>
      </c>
      <c r="B55" s="3" t="s">
        <v>450</v>
      </c>
      <c r="C55" s="3" t="s">
        <v>464</v>
      </c>
      <c r="D55" s="3"/>
      <c r="E55" s="3"/>
      <c r="F55" s="4">
        <v>248000</v>
      </c>
      <c r="G55" s="3" t="s">
        <v>309</v>
      </c>
      <c r="H55" s="3"/>
    </row>
    <row r="56" spans="1:8" x14ac:dyDescent="0.2">
      <c r="A56" s="5" t="s">
        <v>444</v>
      </c>
      <c r="B56" s="5" t="s">
        <v>450</v>
      </c>
      <c r="C56" s="5" t="s">
        <v>170</v>
      </c>
      <c r="D56" s="5"/>
      <c r="E56" s="5"/>
      <c r="F56" s="6">
        <v>37000</v>
      </c>
      <c r="G56" s="5" t="s">
        <v>309</v>
      </c>
      <c r="H56" s="5"/>
    </row>
    <row r="57" spans="1:8" x14ac:dyDescent="0.2">
      <c r="A57" s="3" t="s">
        <v>444</v>
      </c>
      <c r="B57" s="3" t="s">
        <v>465</v>
      </c>
      <c r="C57" s="3" t="s">
        <v>466</v>
      </c>
      <c r="D57" s="3"/>
      <c r="E57" s="3"/>
      <c r="F57" s="4">
        <v>591000</v>
      </c>
      <c r="G57" s="3" t="s">
        <v>309</v>
      </c>
      <c r="H57" s="3"/>
    </row>
    <row r="58" spans="1:8" x14ac:dyDescent="0.2">
      <c r="A58" s="5" t="s">
        <v>444</v>
      </c>
      <c r="B58" s="5" t="s">
        <v>465</v>
      </c>
      <c r="C58" s="5" t="s">
        <v>467</v>
      </c>
      <c r="D58" s="5"/>
      <c r="E58" s="5"/>
      <c r="F58" s="6">
        <v>350000</v>
      </c>
      <c r="G58" s="5" t="s">
        <v>309</v>
      </c>
      <c r="H58" s="5"/>
    </row>
    <row r="59" spans="1:8" x14ac:dyDescent="0.2">
      <c r="A59" s="3" t="s">
        <v>444</v>
      </c>
      <c r="B59" s="3" t="s">
        <v>465</v>
      </c>
      <c r="C59" s="3" t="s">
        <v>468</v>
      </c>
      <c r="D59" s="3"/>
      <c r="E59" s="3"/>
      <c r="F59" s="4">
        <v>253000</v>
      </c>
      <c r="G59" s="3" t="s">
        <v>309</v>
      </c>
      <c r="H59" s="3"/>
    </row>
    <row r="60" spans="1:8" x14ac:dyDescent="0.2">
      <c r="A60" s="5" t="s">
        <v>444</v>
      </c>
      <c r="B60" s="5" t="s">
        <v>465</v>
      </c>
      <c r="C60" s="5" t="s">
        <v>469</v>
      </c>
      <c r="D60" s="5"/>
      <c r="E60" s="5"/>
      <c r="F60" s="6">
        <v>432000</v>
      </c>
      <c r="G60" s="5" t="s">
        <v>309</v>
      </c>
      <c r="H60" s="5"/>
    </row>
    <row r="61" spans="1:8" x14ac:dyDescent="0.2">
      <c r="A61" s="3" t="s">
        <v>444</v>
      </c>
      <c r="B61" s="3" t="s">
        <v>465</v>
      </c>
      <c r="C61" s="3" t="s">
        <v>470</v>
      </c>
      <c r="D61" s="3"/>
      <c r="E61" s="3"/>
      <c r="F61" s="4">
        <v>388000</v>
      </c>
      <c r="G61" s="3" t="s">
        <v>309</v>
      </c>
      <c r="H61" s="3"/>
    </row>
    <row r="62" spans="1:8" x14ac:dyDescent="0.2">
      <c r="A62" s="5" t="s">
        <v>444</v>
      </c>
      <c r="B62" s="5" t="s">
        <v>465</v>
      </c>
      <c r="C62" s="5" t="s">
        <v>471</v>
      </c>
      <c r="D62" s="5"/>
      <c r="E62" s="5"/>
      <c r="F62" s="6">
        <v>379000</v>
      </c>
      <c r="G62" s="5" t="s">
        <v>309</v>
      </c>
      <c r="H62" s="5"/>
    </row>
    <row r="63" spans="1:8" x14ac:dyDescent="0.2">
      <c r="A63" s="3" t="s">
        <v>444</v>
      </c>
      <c r="B63" s="3" t="s">
        <v>465</v>
      </c>
      <c r="C63" s="3" t="s">
        <v>472</v>
      </c>
      <c r="D63" s="3"/>
      <c r="E63" s="3"/>
      <c r="F63" s="4">
        <v>424000</v>
      </c>
      <c r="G63" s="3" t="s">
        <v>309</v>
      </c>
      <c r="H63" s="3"/>
    </row>
    <row r="64" spans="1:8" x14ac:dyDescent="0.2">
      <c r="A64" s="5" t="s">
        <v>444</v>
      </c>
      <c r="B64" s="5" t="s">
        <v>465</v>
      </c>
      <c r="C64" s="5" t="s">
        <v>473</v>
      </c>
      <c r="D64" s="5"/>
      <c r="E64" s="5"/>
      <c r="F64" s="6">
        <v>187000</v>
      </c>
      <c r="G64" s="5" t="s">
        <v>309</v>
      </c>
      <c r="H64" s="5"/>
    </row>
    <row r="65" spans="1:8" x14ac:dyDescent="0.2">
      <c r="A65" s="3" t="s">
        <v>444</v>
      </c>
      <c r="B65" s="3" t="s">
        <v>465</v>
      </c>
      <c r="C65" s="3" t="s">
        <v>474</v>
      </c>
      <c r="D65" s="3"/>
      <c r="E65" s="3"/>
      <c r="F65" s="4">
        <v>20000</v>
      </c>
      <c r="G65" s="3" t="s">
        <v>309</v>
      </c>
      <c r="H65" s="3"/>
    </row>
    <row r="66" spans="1:8" x14ac:dyDescent="0.2">
      <c r="A66" s="5" t="s">
        <v>444</v>
      </c>
      <c r="B66" s="5" t="s">
        <v>465</v>
      </c>
      <c r="C66" s="5" t="s">
        <v>475</v>
      </c>
      <c r="D66" s="5"/>
      <c r="E66" s="5"/>
      <c r="F66" s="6">
        <v>107000</v>
      </c>
      <c r="G66" s="5" t="s">
        <v>640</v>
      </c>
      <c r="H66" s="5" t="s">
        <v>476</v>
      </c>
    </row>
    <row r="67" spans="1:8" x14ac:dyDescent="0.2">
      <c r="A67" s="3" t="s">
        <v>444</v>
      </c>
      <c r="B67" s="3" t="s">
        <v>465</v>
      </c>
      <c r="C67" s="3" t="s">
        <v>477</v>
      </c>
      <c r="D67" s="3"/>
      <c r="E67" s="3"/>
      <c r="F67" s="4">
        <v>2057000</v>
      </c>
      <c r="G67" s="3" t="s">
        <v>309</v>
      </c>
      <c r="H67" s="3" t="s">
        <v>478</v>
      </c>
    </row>
    <row r="68" spans="1:8" x14ac:dyDescent="0.2">
      <c r="A68" s="5" t="s">
        <v>444</v>
      </c>
      <c r="B68" s="5" t="s">
        <v>465</v>
      </c>
      <c r="C68" s="5" t="s">
        <v>479</v>
      </c>
      <c r="D68" s="5"/>
      <c r="E68" s="5"/>
      <c r="F68" s="6">
        <v>281000</v>
      </c>
      <c r="G68" s="5" t="s">
        <v>309</v>
      </c>
      <c r="H68" s="5" t="s">
        <v>463</v>
      </c>
    </row>
    <row r="69" spans="1:8" x14ac:dyDescent="0.2">
      <c r="A69" s="3" t="s">
        <v>444</v>
      </c>
      <c r="B69" s="3" t="s">
        <v>465</v>
      </c>
      <c r="C69" s="3" t="s">
        <v>480</v>
      </c>
      <c r="D69" s="3"/>
      <c r="E69" s="3"/>
      <c r="F69" s="4">
        <v>125000</v>
      </c>
      <c r="G69" s="3" t="s">
        <v>309</v>
      </c>
      <c r="H69" s="3"/>
    </row>
    <row r="70" spans="1:8" x14ac:dyDescent="0.2">
      <c r="A70" s="5" t="s">
        <v>444</v>
      </c>
      <c r="B70" s="5" t="s">
        <v>465</v>
      </c>
      <c r="C70" s="5" t="s">
        <v>481</v>
      </c>
      <c r="D70" s="5"/>
      <c r="E70" s="5"/>
      <c r="F70" s="6">
        <v>197000</v>
      </c>
      <c r="G70" s="5" t="s">
        <v>309</v>
      </c>
      <c r="H70" s="5" t="s">
        <v>478</v>
      </c>
    </row>
    <row r="71" spans="1:8" x14ac:dyDescent="0.2">
      <c r="A71" s="3" t="s">
        <v>444</v>
      </c>
      <c r="B71" s="3" t="s">
        <v>465</v>
      </c>
      <c r="C71" s="3" t="s">
        <v>482</v>
      </c>
      <c r="D71" s="3"/>
      <c r="E71" s="3"/>
      <c r="F71" s="4">
        <v>173000</v>
      </c>
      <c r="G71" s="3" t="s">
        <v>309</v>
      </c>
      <c r="H71" s="3"/>
    </row>
    <row r="72" spans="1:8" x14ac:dyDescent="0.2">
      <c r="A72" s="5" t="s">
        <v>444</v>
      </c>
      <c r="B72" s="5" t="s">
        <v>465</v>
      </c>
      <c r="C72" s="5" t="s">
        <v>483</v>
      </c>
      <c r="D72" s="5"/>
      <c r="E72" s="5"/>
      <c r="F72" s="6">
        <v>89000</v>
      </c>
      <c r="G72" s="5" t="s">
        <v>309</v>
      </c>
      <c r="H72" s="5" t="s">
        <v>478</v>
      </c>
    </row>
    <row r="73" spans="1:8" x14ac:dyDescent="0.2">
      <c r="A73" s="3" t="s">
        <v>444</v>
      </c>
      <c r="B73" s="3" t="s">
        <v>465</v>
      </c>
      <c r="C73" s="3" t="s">
        <v>484</v>
      </c>
      <c r="D73" s="3"/>
      <c r="E73" s="3"/>
      <c r="F73" s="4">
        <v>447000</v>
      </c>
      <c r="G73" s="3" t="s">
        <v>309</v>
      </c>
      <c r="H73" s="3"/>
    </row>
    <row r="74" spans="1:8" x14ac:dyDescent="0.2">
      <c r="A74" s="5" t="s">
        <v>444</v>
      </c>
      <c r="B74" s="5" t="s">
        <v>465</v>
      </c>
      <c r="C74" s="5" t="s">
        <v>485</v>
      </c>
      <c r="D74" s="5"/>
      <c r="E74" s="5"/>
      <c r="F74" s="6">
        <v>239000</v>
      </c>
      <c r="G74" s="5" t="s">
        <v>309</v>
      </c>
      <c r="H74" s="5"/>
    </row>
    <row r="75" spans="1:8" x14ac:dyDescent="0.2">
      <c r="A75" s="3" t="s">
        <v>444</v>
      </c>
      <c r="B75" s="3" t="s">
        <v>465</v>
      </c>
      <c r="C75" s="3" t="s">
        <v>486</v>
      </c>
      <c r="D75" s="3"/>
      <c r="E75" s="3"/>
      <c r="F75" s="4">
        <v>399000</v>
      </c>
      <c r="G75" s="3" t="s">
        <v>309</v>
      </c>
      <c r="H75" s="3"/>
    </row>
    <row r="76" spans="1:8" x14ac:dyDescent="0.2">
      <c r="A76" s="5" t="s">
        <v>444</v>
      </c>
      <c r="B76" s="5" t="s">
        <v>465</v>
      </c>
      <c r="C76" s="5" t="s">
        <v>487</v>
      </c>
      <c r="D76" s="5"/>
      <c r="E76" s="5"/>
      <c r="F76" s="6">
        <v>345000</v>
      </c>
      <c r="G76" s="5" t="s">
        <v>309</v>
      </c>
      <c r="H76" s="5"/>
    </row>
    <row r="77" spans="1:8" x14ac:dyDescent="0.2">
      <c r="A77" s="3" t="s">
        <v>444</v>
      </c>
      <c r="B77" s="3" t="s">
        <v>465</v>
      </c>
      <c r="C77" s="3" t="s">
        <v>488</v>
      </c>
      <c r="D77" s="3"/>
      <c r="E77" s="3"/>
      <c r="F77" s="4">
        <v>101000</v>
      </c>
      <c r="G77" s="3" t="s">
        <v>309</v>
      </c>
      <c r="H77" s="3"/>
    </row>
    <row r="78" spans="1:8" x14ac:dyDescent="0.2">
      <c r="A78" s="5" t="s">
        <v>444</v>
      </c>
      <c r="B78" s="5" t="s">
        <v>465</v>
      </c>
      <c r="C78" s="5" t="s">
        <v>489</v>
      </c>
      <c r="D78" s="5"/>
      <c r="E78" s="5"/>
      <c r="F78" s="6">
        <v>69000</v>
      </c>
      <c r="G78" s="5" t="s">
        <v>309</v>
      </c>
      <c r="H78" s="5"/>
    </row>
    <row r="79" spans="1:8" x14ac:dyDescent="0.2">
      <c r="A79" s="3" t="s">
        <v>444</v>
      </c>
      <c r="B79" s="3" t="s">
        <v>465</v>
      </c>
      <c r="C79" s="3" t="s">
        <v>490</v>
      </c>
      <c r="D79" s="3"/>
      <c r="E79" s="3"/>
      <c r="F79" s="4">
        <v>49000</v>
      </c>
      <c r="G79" s="3" t="s">
        <v>309</v>
      </c>
      <c r="H79" s="3" t="s">
        <v>478</v>
      </c>
    </row>
    <row r="80" spans="1:8" x14ac:dyDescent="0.2">
      <c r="A80" s="5" t="s">
        <v>444</v>
      </c>
      <c r="B80" s="5" t="s">
        <v>465</v>
      </c>
      <c r="C80" s="5" t="s">
        <v>491</v>
      </c>
      <c r="D80" s="5"/>
      <c r="E80" s="5"/>
      <c r="F80" s="6">
        <v>185000</v>
      </c>
      <c r="G80" s="5" t="s">
        <v>309</v>
      </c>
      <c r="H80" s="5"/>
    </row>
    <row r="81" spans="1:8" x14ac:dyDescent="0.2">
      <c r="A81" s="3" t="s">
        <v>444</v>
      </c>
      <c r="B81" s="3" t="s">
        <v>465</v>
      </c>
      <c r="C81" s="3" t="s">
        <v>492</v>
      </c>
      <c r="D81" s="3"/>
      <c r="E81" s="3"/>
      <c r="F81" s="4">
        <v>206000</v>
      </c>
      <c r="G81" s="3" t="s">
        <v>309</v>
      </c>
      <c r="H81" s="3" t="s">
        <v>478</v>
      </c>
    </row>
    <row r="82" spans="1:8" x14ac:dyDescent="0.2">
      <c r="A82" s="5" t="s">
        <v>444</v>
      </c>
      <c r="B82" s="5" t="s">
        <v>465</v>
      </c>
      <c r="C82" s="5" t="s">
        <v>493</v>
      </c>
      <c r="D82" s="5"/>
      <c r="E82" s="5"/>
      <c r="F82" s="6">
        <v>409000</v>
      </c>
      <c r="G82" s="5" t="s">
        <v>309</v>
      </c>
      <c r="H82" s="5"/>
    </row>
    <row r="83" spans="1:8" x14ac:dyDescent="0.2">
      <c r="A83" s="3" t="s">
        <v>444</v>
      </c>
      <c r="B83" s="3" t="s">
        <v>465</v>
      </c>
      <c r="C83" s="3" t="s">
        <v>494</v>
      </c>
      <c r="D83" s="3"/>
      <c r="E83" s="3"/>
      <c r="F83" s="4">
        <v>378000</v>
      </c>
      <c r="G83" s="3" t="s">
        <v>309</v>
      </c>
      <c r="H83" s="3"/>
    </row>
    <row r="84" spans="1:8" x14ac:dyDescent="0.2">
      <c r="A84" s="5" t="s">
        <v>444</v>
      </c>
      <c r="B84" s="5" t="s">
        <v>465</v>
      </c>
      <c r="C84" s="5" t="s">
        <v>495</v>
      </c>
      <c r="D84" s="5"/>
      <c r="E84" s="5"/>
      <c r="F84" s="6">
        <v>241000</v>
      </c>
      <c r="G84" s="5" t="s">
        <v>309</v>
      </c>
      <c r="H84" s="5"/>
    </row>
    <row r="85" spans="1:8" x14ac:dyDescent="0.2">
      <c r="A85" s="3" t="s">
        <v>444</v>
      </c>
      <c r="B85" s="3" t="s">
        <v>465</v>
      </c>
      <c r="C85" s="3" t="s">
        <v>171</v>
      </c>
      <c r="D85" s="3"/>
      <c r="E85" s="3"/>
      <c r="F85" s="4">
        <v>90000</v>
      </c>
      <c r="G85" s="3" t="s">
        <v>309</v>
      </c>
      <c r="H85" s="3"/>
    </row>
    <row r="86" spans="1:8" x14ac:dyDescent="0.2">
      <c r="A86" s="5" t="s">
        <v>444</v>
      </c>
      <c r="B86" s="5" t="s">
        <v>465</v>
      </c>
      <c r="C86" s="5" t="s">
        <v>496</v>
      </c>
      <c r="D86" s="5"/>
      <c r="E86" s="5"/>
      <c r="F86" s="6">
        <v>251000</v>
      </c>
      <c r="G86" s="5" t="s">
        <v>309</v>
      </c>
      <c r="H86" s="5"/>
    </row>
    <row r="87" spans="1:8" x14ac:dyDescent="0.2">
      <c r="A87" s="3" t="s">
        <v>444</v>
      </c>
      <c r="B87" s="3" t="s">
        <v>465</v>
      </c>
      <c r="C87" s="3" t="s">
        <v>497</v>
      </c>
      <c r="D87" s="3"/>
      <c r="E87" s="3"/>
      <c r="F87" s="4">
        <v>321000</v>
      </c>
      <c r="G87" s="3" t="s">
        <v>309</v>
      </c>
      <c r="H87" s="3"/>
    </row>
    <row r="88" spans="1:8" x14ac:dyDescent="0.2">
      <c r="A88" s="5" t="s">
        <v>444</v>
      </c>
      <c r="B88" s="5" t="s">
        <v>465</v>
      </c>
      <c r="C88" s="5" t="s">
        <v>498</v>
      </c>
      <c r="D88" s="5"/>
      <c r="E88" s="5"/>
      <c r="F88" s="6">
        <v>516000</v>
      </c>
      <c r="G88" s="5" t="s">
        <v>309</v>
      </c>
      <c r="H88" s="5"/>
    </row>
    <row r="89" spans="1:8" x14ac:dyDescent="0.2">
      <c r="A89" s="3" t="s">
        <v>444</v>
      </c>
      <c r="B89" s="3" t="s">
        <v>465</v>
      </c>
      <c r="C89" s="3" t="s">
        <v>499</v>
      </c>
      <c r="D89" s="3"/>
      <c r="E89" s="3"/>
      <c r="F89" s="4">
        <v>300000</v>
      </c>
      <c r="G89" s="3" t="s">
        <v>309</v>
      </c>
      <c r="H89" s="3"/>
    </row>
    <row r="90" spans="1:8" x14ac:dyDescent="0.2">
      <c r="A90" s="5" t="s">
        <v>444</v>
      </c>
      <c r="B90" s="5" t="s">
        <v>465</v>
      </c>
      <c r="C90" s="5" t="s">
        <v>500</v>
      </c>
      <c r="D90" s="5"/>
      <c r="E90" s="5"/>
      <c r="F90" s="6">
        <v>409000</v>
      </c>
      <c r="G90" s="5" t="s">
        <v>309</v>
      </c>
      <c r="H90" s="5"/>
    </row>
    <row r="91" spans="1:8" x14ac:dyDescent="0.2">
      <c r="A91" s="3" t="s">
        <v>444</v>
      </c>
      <c r="B91" s="3" t="s">
        <v>465</v>
      </c>
      <c r="C91" s="3" t="s">
        <v>501</v>
      </c>
      <c r="D91" s="3"/>
      <c r="E91" s="3"/>
      <c r="F91" s="4">
        <v>368000</v>
      </c>
      <c r="G91" s="3" t="s">
        <v>309</v>
      </c>
      <c r="H91" s="3"/>
    </row>
    <row r="92" spans="1:8" x14ac:dyDescent="0.2">
      <c r="A92" s="5" t="s">
        <v>444</v>
      </c>
      <c r="B92" s="5" t="s">
        <v>465</v>
      </c>
      <c r="C92" s="5" t="s">
        <v>502</v>
      </c>
      <c r="D92" s="5"/>
      <c r="E92" s="5"/>
      <c r="F92" s="6">
        <v>126000</v>
      </c>
      <c r="G92" s="5" t="s">
        <v>309</v>
      </c>
      <c r="H92" s="5"/>
    </row>
    <row r="93" spans="1:8" x14ac:dyDescent="0.2">
      <c r="A93" s="3" t="s">
        <v>444</v>
      </c>
      <c r="B93" s="3" t="s">
        <v>465</v>
      </c>
      <c r="C93" s="3" t="s">
        <v>503</v>
      </c>
      <c r="D93" s="3"/>
      <c r="E93" s="3"/>
      <c r="F93" s="4">
        <v>1472000</v>
      </c>
      <c r="G93" s="3" t="s">
        <v>309</v>
      </c>
      <c r="H93" s="3"/>
    </row>
    <row r="94" spans="1:8" x14ac:dyDescent="0.2">
      <c r="A94" s="5" t="s">
        <v>444</v>
      </c>
      <c r="B94" s="5" t="s">
        <v>465</v>
      </c>
      <c r="C94" s="5" t="s">
        <v>504</v>
      </c>
      <c r="D94" s="5"/>
      <c r="E94" s="5"/>
      <c r="F94" s="6">
        <v>380000</v>
      </c>
      <c r="G94" s="5" t="s">
        <v>309</v>
      </c>
      <c r="H94" s="5"/>
    </row>
    <row r="95" spans="1:8" x14ac:dyDescent="0.2">
      <c r="A95" s="3" t="s">
        <v>444</v>
      </c>
      <c r="B95" s="3" t="s">
        <v>465</v>
      </c>
      <c r="C95" s="3" t="s">
        <v>505</v>
      </c>
      <c r="D95" s="3"/>
      <c r="E95" s="3"/>
      <c r="F95" s="4">
        <v>143000</v>
      </c>
      <c r="G95" s="3" t="s">
        <v>640</v>
      </c>
      <c r="H95" s="3" t="s">
        <v>476</v>
      </c>
    </row>
    <row r="96" spans="1:8" x14ac:dyDescent="0.2">
      <c r="A96" s="5" t="s">
        <v>444</v>
      </c>
      <c r="B96" s="5" t="s">
        <v>465</v>
      </c>
      <c r="C96" s="5" t="s">
        <v>506</v>
      </c>
      <c r="D96" s="5"/>
      <c r="E96" s="5"/>
      <c r="F96" s="6">
        <v>278000</v>
      </c>
      <c r="G96" s="5" t="s">
        <v>309</v>
      </c>
      <c r="H96" s="5"/>
    </row>
    <row r="97" spans="1:8" x14ac:dyDescent="0.2">
      <c r="A97" s="3" t="s">
        <v>444</v>
      </c>
      <c r="B97" s="3" t="s">
        <v>465</v>
      </c>
      <c r="C97" s="3" t="s">
        <v>507</v>
      </c>
      <c r="D97" s="3"/>
      <c r="E97" s="3"/>
      <c r="F97" s="4">
        <v>241000</v>
      </c>
      <c r="G97" s="3" t="s">
        <v>309</v>
      </c>
      <c r="H97" s="3"/>
    </row>
    <row r="98" spans="1:8" x14ac:dyDescent="0.2">
      <c r="A98" s="5" t="s">
        <v>444</v>
      </c>
      <c r="B98" s="5" t="s">
        <v>465</v>
      </c>
      <c r="C98" s="5" t="s">
        <v>508</v>
      </c>
      <c r="D98" s="5"/>
      <c r="E98" s="5"/>
      <c r="F98" s="6">
        <v>159000</v>
      </c>
      <c r="G98" s="5" t="s">
        <v>309</v>
      </c>
      <c r="H98" s="5"/>
    </row>
    <row r="99" spans="1:8" x14ac:dyDescent="0.2">
      <c r="A99" s="3" t="s">
        <v>444</v>
      </c>
      <c r="B99" s="3" t="s">
        <v>465</v>
      </c>
      <c r="C99" s="3" t="s">
        <v>509</v>
      </c>
      <c r="D99" s="3"/>
      <c r="E99" s="3"/>
      <c r="F99" s="4">
        <v>62000</v>
      </c>
      <c r="G99" s="3" t="s">
        <v>309</v>
      </c>
      <c r="H99" s="3"/>
    </row>
    <row r="100" spans="1:8" x14ac:dyDescent="0.2">
      <c r="A100" s="5" t="s">
        <v>444</v>
      </c>
      <c r="B100" s="5" t="s">
        <v>465</v>
      </c>
      <c r="C100" s="5" t="s">
        <v>510</v>
      </c>
      <c r="D100" s="5"/>
      <c r="E100" s="5"/>
      <c r="F100" s="6">
        <v>27000</v>
      </c>
      <c r="G100" s="5" t="s">
        <v>309</v>
      </c>
      <c r="H100" s="5"/>
    </row>
    <row r="101" spans="1:8" x14ac:dyDescent="0.2">
      <c r="A101" s="3" t="s">
        <v>444</v>
      </c>
      <c r="B101" s="3" t="s">
        <v>465</v>
      </c>
      <c r="C101" s="3" t="s">
        <v>511</v>
      </c>
      <c r="D101" s="3"/>
      <c r="E101" s="3"/>
      <c r="F101" s="4">
        <v>52000</v>
      </c>
      <c r="G101" s="3" t="s">
        <v>309</v>
      </c>
      <c r="H101" s="3"/>
    </row>
    <row r="102" spans="1:8" x14ac:dyDescent="0.2">
      <c r="A102" s="5" t="s">
        <v>444</v>
      </c>
      <c r="B102" s="5" t="s">
        <v>465</v>
      </c>
      <c r="C102" s="5" t="s">
        <v>512</v>
      </c>
      <c r="D102" s="5"/>
      <c r="E102" s="5"/>
      <c r="F102" s="6">
        <v>55000</v>
      </c>
      <c r="G102" s="5" t="s">
        <v>309</v>
      </c>
      <c r="H102" s="5"/>
    </row>
    <row r="103" spans="1:8" x14ac:dyDescent="0.2">
      <c r="A103" s="3" t="s">
        <v>444</v>
      </c>
      <c r="B103" s="3" t="s">
        <v>465</v>
      </c>
      <c r="C103" s="3" t="s">
        <v>172</v>
      </c>
      <c r="D103" s="3"/>
      <c r="E103" s="3"/>
      <c r="F103" s="4">
        <v>482000</v>
      </c>
      <c r="G103" s="3" t="s">
        <v>309</v>
      </c>
      <c r="H103" s="3" t="s">
        <v>478</v>
      </c>
    </row>
    <row r="104" spans="1:8" x14ac:dyDescent="0.2">
      <c r="A104" s="5" t="s">
        <v>444</v>
      </c>
      <c r="B104" s="5" t="s">
        <v>465</v>
      </c>
      <c r="C104" s="5" t="s">
        <v>173</v>
      </c>
      <c r="D104" s="5"/>
      <c r="E104" s="5"/>
      <c r="F104" s="6">
        <v>238000</v>
      </c>
      <c r="G104" s="5" t="s">
        <v>309</v>
      </c>
      <c r="H104" s="5"/>
    </row>
    <row r="105" spans="1:8" x14ac:dyDescent="0.2">
      <c r="A105" s="3" t="s">
        <v>444</v>
      </c>
      <c r="B105" s="3" t="s">
        <v>465</v>
      </c>
      <c r="C105" s="3" t="s">
        <v>513</v>
      </c>
      <c r="D105" s="3"/>
      <c r="E105" s="3"/>
      <c r="F105" s="4">
        <v>739000</v>
      </c>
      <c r="G105" s="3" t="s">
        <v>309</v>
      </c>
      <c r="H105" s="3"/>
    </row>
    <row r="106" spans="1:8" x14ac:dyDescent="0.2">
      <c r="A106" s="5" t="s">
        <v>444</v>
      </c>
      <c r="B106" s="5" t="s">
        <v>465</v>
      </c>
      <c r="C106" s="5" t="s">
        <v>514</v>
      </c>
      <c r="D106" s="5"/>
      <c r="E106" s="5"/>
      <c r="F106" s="6">
        <v>401000</v>
      </c>
      <c r="G106" s="5" t="s">
        <v>309</v>
      </c>
      <c r="H106" s="5"/>
    </row>
    <row r="107" spans="1:8" x14ac:dyDescent="0.2">
      <c r="A107" s="3" t="s">
        <v>444</v>
      </c>
      <c r="B107" s="3" t="s">
        <v>465</v>
      </c>
      <c r="C107" s="3" t="s">
        <v>515</v>
      </c>
      <c r="D107" s="3"/>
      <c r="E107" s="3"/>
      <c r="F107" s="4">
        <v>289000</v>
      </c>
      <c r="G107" s="3" t="s">
        <v>309</v>
      </c>
      <c r="H107" s="3"/>
    </row>
    <row r="108" spans="1:8" x14ac:dyDescent="0.2">
      <c r="A108" s="5" t="s">
        <v>444</v>
      </c>
      <c r="B108" s="5" t="s">
        <v>465</v>
      </c>
      <c r="C108" s="5" t="s">
        <v>516</v>
      </c>
      <c r="D108" s="5"/>
      <c r="E108" s="5"/>
      <c r="F108" s="6">
        <v>55000</v>
      </c>
      <c r="G108" s="5" t="s">
        <v>309</v>
      </c>
      <c r="H108" s="5"/>
    </row>
    <row r="109" spans="1:8" x14ac:dyDescent="0.2">
      <c r="A109" s="3" t="s">
        <v>444</v>
      </c>
      <c r="B109" s="3" t="s">
        <v>465</v>
      </c>
      <c r="C109" s="3" t="s">
        <v>517</v>
      </c>
      <c r="D109" s="3"/>
      <c r="E109" s="3"/>
      <c r="F109" s="4">
        <v>337000</v>
      </c>
      <c r="G109" s="3" t="s">
        <v>309</v>
      </c>
      <c r="H109" s="3"/>
    </row>
    <row r="110" spans="1:8" x14ac:dyDescent="0.2">
      <c r="A110" s="5" t="s">
        <v>444</v>
      </c>
      <c r="B110" s="5" t="s">
        <v>465</v>
      </c>
      <c r="C110" s="5" t="s">
        <v>518</v>
      </c>
      <c r="D110" s="5"/>
      <c r="E110" s="5"/>
      <c r="F110" s="6">
        <v>272000</v>
      </c>
      <c r="G110" s="5" t="s">
        <v>309</v>
      </c>
      <c r="H110" s="5"/>
    </row>
    <row r="111" spans="1:8" x14ac:dyDescent="0.2">
      <c r="A111" s="3" t="s">
        <v>444</v>
      </c>
      <c r="B111" s="3" t="s">
        <v>465</v>
      </c>
      <c r="C111" s="3" t="s">
        <v>519</v>
      </c>
      <c r="D111" s="3"/>
      <c r="E111" s="3"/>
      <c r="F111" s="4">
        <v>463000</v>
      </c>
      <c r="G111" s="3" t="s">
        <v>309</v>
      </c>
      <c r="H111" s="3"/>
    </row>
    <row r="112" spans="1:8" x14ac:dyDescent="0.2">
      <c r="A112" s="5" t="s">
        <v>444</v>
      </c>
      <c r="B112" s="5" t="s">
        <v>465</v>
      </c>
      <c r="C112" s="5" t="s">
        <v>520</v>
      </c>
      <c r="D112" s="5"/>
      <c r="E112" s="5"/>
      <c r="F112" s="6">
        <v>62000</v>
      </c>
      <c r="G112" s="5" t="s">
        <v>309</v>
      </c>
      <c r="H112" s="5"/>
    </row>
    <row r="113" spans="1:8" x14ac:dyDescent="0.2">
      <c r="A113" s="3" t="s">
        <v>444</v>
      </c>
      <c r="B113" s="3" t="s">
        <v>465</v>
      </c>
      <c r="C113" s="3" t="s">
        <v>521</v>
      </c>
      <c r="D113" s="3"/>
      <c r="E113" s="3"/>
      <c r="F113" s="4">
        <v>75000</v>
      </c>
      <c r="G113" s="3" t="s">
        <v>309</v>
      </c>
      <c r="H113" s="3"/>
    </row>
    <row r="114" spans="1:8" x14ac:dyDescent="0.2">
      <c r="A114" s="5" t="s">
        <v>444</v>
      </c>
      <c r="B114" s="5" t="s">
        <v>465</v>
      </c>
      <c r="C114" s="5" t="s">
        <v>522</v>
      </c>
      <c r="D114" s="5"/>
      <c r="E114" s="5"/>
      <c r="F114" s="6">
        <v>179000</v>
      </c>
      <c r="G114" s="5" t="s">
        <v>309</v>
      </c>
      <c r="H114" s="5" t="s">
        <v>478</v>
      </c>
    </row>
    <row r="115" spans="1:8" x14ac:dyDescent="0.2">
      <c r="A115" s="3" t="s">
        <v>444</v>
      </c>
      <c r="B115" s="3" t="s">
        <v>465</v>
      </c>
      <c r="C115" s="3" t="s">
        <v>523</v>
      </c>
      <c r="D115" s="3"/>
      <c r="E115" s="3"/>
      <c r="F115" s="4">
        <v>179000</v>
      </c>
      <c r="G115" s="3" t="s">
        <v>309</v>
      </c>
      <c r="H115" s="3" t="s">
        <v>478</v>
      </c>
    </row>
    <row r="116" spans="1:8" x14ac:dyDescent="0.2">
      <c r="A116" s="5" t="s">
        <v>444</v>
      </c>
      <c r="B116" s="5" t="s">
        <v>465</v>
      </c>
      <c r="C116" s="5" t="s">
        <v>524</v>
      </c>
      <c r="D116" s="5"/>
      <c r="E116" s="5"/>
      <c r="F116" s="6">
        <v>359000</v>
      </c>
      <c r="G116" s="5" t="s">
        <v>309</v>
      </c>
      <c r="H116" s="5"/>
    </row>
    <row r="117" spans="1:8" x14ac:dyDescent="0.2">
      <c r="A117" s="3" t="s">
        <v>444</v>
      </c>
      <c r="B117" s="3" t="s">
        <v>465</v>
      </c>
      <c r="C117" s="3" t="s">
        <v>525</v>
      </c>
      <c r="D117" s="3"/>
      <c r="E117" s="3"/>
      <c r="F117" s="4">
        <v>359000</v>
      </c>
      <c r="G117" s="3" t="s">
        <v>309</v>
      </c>
      <c r="H117" s="3"/>
    </row>
    <row r="118" spans="1:8" x14ac:dyDescent="0.2">
      <c r="A118" s="5" t="s">
        <v>444</v>
      </c>
      <c r="B118" s="5" t="s">
        <v>465</v>
      </c>
      <c r="C118" s="5" t="s">
        <v>526</v>
      </c>
      <c r="D118" s="5"/>
      <c r="E118" s="5"/>
      <c r="F118" s="6">
        <v>193000</v>
      </c>
      <c r="G118" s="5" t="s">
        <v>309</v>
      </c>
      <c r="H118" s="5"/>
    </row>
    <row r="119" spans="1:8" x14ac:dyDescent="0.2">
      <c r="A119" s="3" t="s">
        <v>444</v>
      </c>
      <c r="B119" s="3" t="s">
        <v>465</v>
      </c>
      <c r="C119" s="3" t="s">
        <v>527</v>
      </c>
      <c r="D119" s="3"/>
      <c r="E119" s="3"/>
      <c r="F119" s="4">
        <v>198000</v>
      </c>
      <c r="G119" s="3" t="s">
        <v>309</v>
      </c>
      <c r="H119" s="3"/>
    </row>
    <row r="120" spans="1:8" x14ac:dyDescent="0.2">
      <c r="A120" s="5" t="s">
        <v>444</v>
      </c>
      <c r="B120" s="5" t="s">
        <v>465</v>
      </c>
      <c r="C120" s="5" t="s">
        <v>528</v>
      </c>
      <c r="D120" s="5"/>
      <c r="E120" s="5"/>
      <c r="F120" s="6">
        <v>376000</v>
      </c>
      <c r="G120" s="5" t="s">
        <v>309</v>
      </c>
      <c r="H120" s="5"/>
    </row>
    <row r="121" spans="1:8" x14ac:dyDescent="0.2">
      <c r="A121" s="3" t="s">
        <v>444</v>
      </c>
      <c r="B121" s="3" t="s">
        <v>465</v>
      </c>
      <c r="C121" s="3" t="s">
        <v>529</v>
      </c>
      <c r="D121" s="3"/>
      <c r="E121" s="3"/>
      <c r="F121" s="4">
        <v>573000</v>
      </c>
      <c r="G121" s="3" t="s">
        <v>309</v>
      </c>
      <c r="H121" s="3"/>
    </row>
    <row r="122" spans="1:8" x14ac:dyDescent="0.2">
      <c r="A122" s="5" t="s">
        <v>444</v>
      </c>
      <c r="B122" s="5" t="s">
        <v>465</v>
      </c>
      <c r="C122" s="5" t="s">
        <v>530</v>
      </c>
      <c r="D122" s="5"/>
      <c r="E122" s="5"/>
      <c r="F122" s="6">
        <v>372000</v>
      </c>
      <c r="G122" s="5" t="s">
        <v>309</v>
      </c>
      <c r="H122" s="5" t="s">
        <v>478</v>
      </c>
    </row>
    <row r="123" spans="1:8" x14ac:dyDescent="0.2">
      <c r="A123" s="3" t="s">
        <v>444</v>
      </c>
      <c r="B123" s="3" t="s">
        <v>465</v>
      </c>
      <c r="C123" s="3" t="s">
        <v>531</v>
      </c>
      <c r="D123" s="3"/>
      <c r="E123" s="3"/>
      <c r="F123" s="4">
        <v>131000</v>
      </c>
      <c r="G123" s="3" t="s">
        <v>309</v>
      </c>
      <c r="H123" s="3"/>
    </row>
    <row r="124" spans="1:8" x14ac:dyDescent="0.2">
      <c r="A124" s="5" t="s">
        <v>444</v>
      </c>
      <c r="B124" s="5" t="s">
        <v>465</v>
      </c>
      <c r="C124" s="5" t="s">
        <v>532</v>
      </c>
      <c r="D124" s="5"/>
      <c r="E124" s="5"/>
      <c r="F124" s="6">
        <v>39000</v>
      </c>
      <c r="G124" s="5" t="s">
        <v>309</v>
      </c>
      <c r="H124" s="5"/>
    </row>
    <row r="125" spans="1:8" x14ac:dyDescent="0.2">
      <c r="A125" s="3" t="s">
        <v>444</v>
      </c>
      <c r="B125" s="3" t="s">
        <v>465</v>
      </c>
      <c r="C125" s="3" t="s">
        <v>533</v>
      </c>
      <c r="D125" s="3"/>
      <c r="E125" s="3"/>
      <c r="F125" s="4">
        <v>51000</v>
      </c>
      <c r="G125" s="3" t="s">
        <v>309</v>
      </c>
      <c r="H125" s="3"/>
    </row>
    <row r="126" spans="1:8" x14ac:dyDescent="0.2">
      <c r="A126" s="5" t="s">
        <v>444</v>
      </c>
      <c r="B126" s="5" t="s">
        <v>465</v>
      </c>
      <c r="C126" s="5" t="s">
        <v>534</v>
      </c>
      <c r="D126" s="5"/>
      <c r="E126" s="5"/>
      <c r="F126" s="6">
        <v>67000</v>
      </c>
      <c r="G126" s="5" t="s">
        <v>309</v>
      </c>
      <c r="H126" s="5"/>
    </row>
    <row r="127" spans="1:8" x14ac:dyDescent="0.2">
      <c r="A127" s="3" t="s">
        <v>444</v>
      </c>
      <c r="B127" s="3" t="s">
        <v>465</v>
      </c>
      <c r="C127" s="3" t="s">
        <v>483</v>
      </c>
      <c r="D127" s="3"/>
      <c r="E127" s="3"/>
      <c r="F127" s="4">
        <v>89000</v>
      </c>
      <c r="G127" s="3" t="s">
        <v>309</v>
      </c>
      <c r="H127" s="3" t="s">
        <v>478</v>
      </c>
    </row>
    <row r="128" spans="1:8" x14ac:dyDescent="0.2">
      <c r="A128" s="5" t="s">
        <v>444</v>
      </c>
      <c r="B128" s="5" t="s">
        <v>465</v>
      </c>
      <c r="C128" s="5" t="s">
        <v>535</v>
      </c>
      <c r="D128" s="5"/>
      <c r="E128" s="5"/>
      <c r="F128" s="6">
        <v>282000</v>
      </c>
      <c r="G128" s="5" t="s">
        <v>309</v>
      </c>
      <c r="H128" s="5"/>
    </row>
    <row r="129" spans="1:8" x14ac:dyDescent="0.2">
      <c r="A129" s="3" t="s">
        <v>444</v>
      </c>
      <c r="B129" s="3" t="s">
        <v>465</v>
      </c>
      <c r="C129" s="3" t="s">
        <v>536</v>
      </c>
      <c r="D129" s="3"/>
      <c r="E129" s="3"/>
      <c r="F129" s="4">
        <v>3119000</v>
      </c>
      <c r="G129" s="3" t="s">
        <v>309</v>
      </c>
      <c r="H129" s="3"/>
    </row>
    <row r="130" spans="1:8" x14ac:dyDescent="0.2">
      <c r="A130" s="5" t="s">
        <v>444</v>
      </c>
      <c r="B130" s="5" t="s">
        <v>465</v>
      </c>
      <c r="C130" s="5" t="s">
        <v>537</v>
      </c>
      <c r="D130" s="5"/>
      <c r="E130" s="5"/>
      <c r="F130" s="6">
        <v>1399000</v>
      </c>
      <c r="G130" s="5" t="s">
        <v>309</v>
      </c>
      <c r="H130" s="5"/>
    </row>
    <row r="131" spans="1:8" x14ac:dyDescent="0.2">
      <c r="A131" s="3" t="s">
        <v>444</v>
      </c>
      <c r="B131" s="3" t="s">
        <v>465</v>
      </c>
      <c r="C131" s="3" t="s">
        <v>538</v>
      </c>
      <c r="D131" s="3"/>
      <c r="E131" s="3"/>
      <c r="F131" s="4">
        <v>993000</v>
      </c>
      <c r="G131" s="3" t="s">
        <v>309</v>
      </c>
      <c r="H131" s="3" t="s">
        <v>478</v>
      </c>
    </row>
    <row r="132" spans="1:8" x14ac:dyDescent="0.2">
      <c r="A132" s="5" t="s">
        <v>444</v>
      </c>
      <c r="B132" s="5" t="s">
        <v>465</v>
      </c>
      <c r="C132" s="5" t="s">
        <v>539</v>
      </c>
      <c r="D132" s="5"/>
      <c r="E132" s="5"/>
      <c r="F132" s="6">
        <v>768000</v>
      </c>
      <c r="G132" s="5" t="s">
        <v>309</v>
      </c>
      <c r="H132" s="5" t="s">
        <v>478</v>
      </c>
    </row>
    <row r="133" spans="1:8" x14ac:dyDescent="0.2">
      <c r="E133"/>
    </row>
    <row r="134" spans="1:8" x14ac:dyDescent="0.2">
      <c r="E134"/>
    </row>
    <row r="135" spans="1:8" x14ac:dyDescent="0.2">
      <c r="E135"/>
    </row>
    <row r="136" spans="1:8" x14ac:dyDescent="0.2">
      <c r="E136"/>
    </row>
    <row r="137" spans="1:8" x14ac:dyDescent="0.2">
      <c r="E137"/>
    </row>
    <row r="138" spans="1:8" x14ac:dyDescent="0.2">
      <c r="E138"/>
    </row>
    <row r="139" spans="1:8" x14ac:dyDescent="0.2">
      <c r="E139"/>
    </row>
    <row r="140" spans="1:8" x14ac:dyDescent="0.2">
      <c r="E140"/>
    </row>
    <row r="141" spans="1:8" x14ac:dyDescent="0.2">
      <c r="E141"/>
    </row>
    <row r="142" spans="1:8" x14ac:dyDescent="0.2">
      <c r="E142"/>
    </row>
    <row r="143" spans="1:8" x14ac:dyDescent="0.2">
      <c r="E143"/>
    </row>
    <row r="144" spans="1:8" x14ac:dyDescent="0.2">
      <c r="E144"/>
    </row>
    <row r="145" spans="5:5" x14ac:dyDescent="0.2">
      <c r="E14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C6AC1-2174-4559-BC40-74C097024926}">
  <dimension ref="A1:G16"/>
  <sheetViews>
    <sheetView workbookViewId="0">
      <selection activeCell="G24" sqref="G24"/>
    </sheetView>
  </sheetViews>
  <sheetFormatPr defaultRowHeight="12.75" x14ac:dyDescent="0.2"/>
  <cols>
    <col min="1" max="1" width="9.140625" bestFit="1" customWidth="1"/>
    <col min="2" max="2" width="23" bestFit="1" customWidth="1"/>
    <col min="3" max="3" width="29.85546875" bestFit="1" customWidth="1"/>
    <col min="4" max="4" width="5.28515625" bestFit="1" customWidth="1"/>
    <col min="5" max="5" width="9.140625" bestFit="1" customWidth="1"/>
    <col min="6" max="6" width="7.7109375" bestFit="1" customWidth="1"/>
    <col min="7" max="7" width="89.140625" bestFit="1" customWidth="1"/>
  </cols>
  <sheetData>
    <row r="1" spans="1:7" x14ac:dyDescent="0.2">
      <c r="A1" s="2" t="s">
        <v>304</v>
      </c>
      <c r="B1" s="2" t="s">
        <v>195</v>
      </c>
      <c r="C1" s="2" t="s">
        <v>0</v>
      </c>
      <c r="D1" s="2" t="s">
        <v>2</v>
      </c>
      <c r="E1" s="2" t="s">
        <v>1</v>
      </c>
      <c r="F1" s="2" t="s">
        <v>305</v>
      </c>
      <c r="G1" s="2" t="s">
        <v>196</v>
      </c>
    </row>
    <row r="2" spans="1:7" x14ac:dyDescent="0.2">
      <c r="A2" s="5" t="s">
        <v>306</v>
      </c>
      <c r="B2" s="5" t="s">
        <v>307</v>
      </c>
      <c r="C2" s="5" t="s">
        <v>308</v>
      </c>
      <c r="D2" s="5" t="s">
        <v>206</v>
      </c>
      <c r="E2" s="6">
        <v>5880000</v>
      </c>
      <c r="F2" s="5" t="s">
        <v>309</v>
      </c>
      <c r="G2" s="5" t="s">
        <v>664</v>
      </c>
    </row>
    <row r="3" spans="1:7" x14ac:dyDescent="0.2">
      <c r="A3" s="3" t="s">
        <v>306</v>
      </c>
      <c r="B3" s="3" t="s">
        <v>307</v>
      </c>
      <c r="C3" s="3" t="s">
        <v>310</v>
      </c>
      <c r="D3" s="3" t="s">
        <v>206</v>
      </c>
      <c r="E3" s="4">
        <v>6980000</v>
      </c>
      <c r="F3" s="3" t="s">
        <v>309</v>
      </c>
      <c r="G3" s="3" t="s">
        <v>664</v>
      </c>
    </row>
    <row r="4" spans="1:7" x14ac:dyDescent="0.2">
      <c r="A4" s="5" t="s">
        <v>306</v>
      </c>
      <c r="B4" s="5" t="s">
        <v>307</v>
      </c>
      <c r="C4" s="5" t="s">
        <v>311</v>
      </c>
      <c r="D4" s="5" t="s">
        <v>206</v>
      </c>
      <c r="E4" s="6">
        <v>5980000</v>
      </c>
      <c r="F4" s="5" t="s">
        <v>309</v>
      </c>
      <c r="G4" s="5" t="s">
        <v>664</v>
      </c>
    </row>
    <row r="5" spans="1:7" x14ac:dyDescent="0.2">
      <c r="A5" s="3" t="s">
        <v>306</v>
      </c>
      <c r="B5" s="3" t="s">
        <v>307</v>
      </c>
      <c r="C5" s="3" t="s">
        <v>312</v>
      </c>
      <c r="D5" s="3" t="s">
        <v>206</v>
      </c>
      <c r="E5" s="4">
        <v>4780000</v>
      </c>
      <c r="F5" s="3" t="s">
        <v>309</v>
      </c>
      <c r="G5" s="3" t="s">
        <v>664</v>
      </c>
    </row>
    <row r="6" spans="1:7" x14ac:dyDescent="0.2">
      <c r="A6" s="5" t="s">
        <v>306</v>
      </c>
      <c r="B6" s="5" t="s">
        <v>307</v>
      </c>
      <c r="C6" s="5" t="s">
        <v>313</v>
      </c>
      <c r="D6" s="5" t="s">
        <v>206</v>
      </c>
      <c r="E6" s="6">
        <v>475000</v>
      </c>
      <c r="F6" s="5" t="s">
        <v>309</v>
      </c>
      <c r="G6" s="5" t="s">
        <v>664</v>
      </c>
    </row>
    <row r="7" spans="1:7" x14ac:dyDescent="0.2">
      <c r="A7" s="3" t="s">
        <v>306</v>
      </c>
      <c r="B7" s="3" t="s">
        <v>307</v>
      </c>
      <c r="C7" s="3" t="s">
        <v>314</v>
      </c>
      <c r="D7" s="3" t="s">
        <v>206</v>
      </c>
      <c r="E7" s="4">
        <v>6080000</v>
      </c>
      <c r="F7" s="3" t="s">
        <v>309</v>
      </c>
      <c r="G7" s="3" t="s">
        <v>664</v>
      </c>
    </row>
    <row r="8" spans="1:7" x14ac:dyDescent="0.2">
      <c r="A8" s="5" t="s">
        <v>306</v>
      </c>
      <c r="B8" s="5" t="s">
        <v>307</v>
      </c>
      <c r="C8" s="5" t="s">
        <v>315</v>
      </c>
      <c r="D8" s="5" t="s">
        <v>206</v>
      </c>
      <c r="E8" s="6">
        <v>7180000</v>
      </c>
      <c r="F8" s="5" t="s">
        <v>309</v>
      </c>
      <c r="G8" s="5" t="s">
        <v>664</v>
      </c>
    </row>
    <row r="9" spans="1:7" x14ac:dyDescent="0.2">
      <c r="A9" s="3" t="s">
        <v>306</v>
      </c>
      <c r="B9" s="3" t="s">
        <v>307</v>
      </c>
      <c r="C9" s="3" t="s">
        <v>316</v>
      </c>
      <c r="D9" s="3" t="s">
        <v>206</v>
      </c>
      <c r="E9" s="4">
        <v>6180000</v>
      </c>
      <c r="F9" s="3" t="s">
        <v>309</v>
      </c>
      <c r="G9" s="3" t="s">
        <v>664</v>
      </c>
    </row>
    <row r="10" spans="1:7" x14ac:dyDescent="0.2">
      <c r="A10" s="5" t="s">
        <v>306</v>
      </c>
      <c r="B10" s="5" t="s">
        <v>174</v>
      </c>
      <c r="C10" s="5" t="s">
        <v>175</v>
      </c>
      <c r="D10" s="5" t="s">
        <v>206</v>
      </c>
      <c r="E10" s="6">
        <v>2980000</v>
      </c>
      <c r="F10" s="5" t="s">
        <v>309</v>
      </c>
      <c r="G10" s="5" t="s">
        <v>665</v>
      </c>
    </row>
    <row r="11" spans="1:7" x14ac:dyDescent="0.2">
      <c r="A11" s="3" t="s">
        <v>306</v>
      </c>
      <c r="B11" s="3" t="s">
        <v>174</v>
      </c>
      <c r="C11" s="3" t="s">
        <v>176</v>
      </c>
      <c r="D11" s="3" t="s">
        <v>206</v>
      </c>
      <c r="E11" s="4">
        <v>3180000</v>
      </c>
      <c r="F11" s="3" t="s">
        <v>309</v>
      </c>
      <c r="G11" s="3" t="s">
        <v>665</v>
      </c>
    </row>
    <row r="12" spans="1:7" x14ac:dyDescent="0.2">
      <c r="A12" s="5" t="s">
        <v>306</v>
      </c>
      <c r="B12" s="5" t="s">
        <v>174</v>
      </c>
      <c r="C12" s="5" t="s">
        <v>177</v>
      </c>
      <c r="D12" s="5" t="s">
        <v>206</v>
      </c>
      <c r="E12" s="6">
        <v>2680000</v>
      </c>
      <c r="F12" s="5" t="s">
        <v>309</v>
      </c>
      <c r="G12" s="5" t="s">
        <v>665</v>
      </c>
    </row>
    <row r="13" spans="1:7" x14ac:dyDescent="0.2">
      <c r="A13" s="3" t="s">
        <v>306</v>
      </c>
      <c r="B13" s="3" t="s">
        <v>174</v>
      </c>
      <c r="C13" s="3" t="s">
        <v>178</v>
      </c>
      <c r="D13" s="3" t="s">
        <v>206</v>
      </c>
      <c r="E13" s="4">
        <v>2880000</v>
      </c>
      <c r="F13" s="3" t="s">
        <v>309</v>
      </c>
      <c r="G13" s="3" t="s">
        <v>665</v>
      </c>
    </row>
    <row r="14" spans="1:7" x14ac:dyDescent="0.2">
      <c r="A14" s="5" t="s">
        <v>306</v>
      </c>
      <c r="B14" s="5" t="s">
        <v>179</v>
      </c>
      <c r="C14" s="5" t="s">
        <v>180</v>
      </c>
      <c r="D14" s="5" t="s">
        <v>206</v>
      </c>
      <c r="E14" s="6">
        <v>4780000</v>
      </c>
      <c r="F14" s="5" t="s">
        <v>309</v>
      </c>
      <c r="G14" s="5" t="s">
        <v>666</v>
      </c>
    </row>
    <row r="15" spans="1:7" x14ac:dyDescent="0.2">
      <c r="A15" s="3" t="s">
        <v>306</v>
      </c>
      <c r="B15" s="3" t="s">
        <v>179</v>
      </c>
      <c r="C15" s="3" t="s">
        <v>181</v>
      </c>
      <c r="D15" s="3" t="s">
        <v>206</v>
      </c>
      <c r="E15" s="4">
        <v>7180000</v>
      </c>
      <c r="F15" s="3" t="s">
        <v>309</v>
      </c>
      <c r="G15" s="3" t="s">
        <v>666</v>
      </c>
    </row>
    <row r="16" spans="1:7" x14ac:dyDescent="0.2">
      <c r="A16" s="5" t="s">
        <v>306</v>
      </c>
      <c r="B16" s="5" t="s">
        <v>179</v>
      </c>
      <c r="C16" s="5" t="s">
        <v>182</v>
      </c>
      <c r="D16" s="5" t="s">
        <v>206</v>
      </c>
      <c r="E16" s="6">
        <v>7380000</v>
      </c>
      <c r="F16" s="5" t="s">
        <v>309</v>
      </c>
      <c r="G16" s="5" t="s">
        <v>666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Validation Report</vt:lpstr>
      <vt:lpstr>Solid Surface (FLAT)</vt:lpstr>
      <vt:lpstr>Lighting (FLAT)</vt:lpstr>
      <vt:lpstr>Wardrobe Acc (FLAT)</vt:lpstr>
      <vt:lpstr>Kitchen Acc (FLAT)</vt:lpstr>
      <vt:lpstr>Handles (FLAT)</vt:lpstr>
      <vt:lpstr>Mirror LED (FLAT)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Gerald Untario</cp:lastModifiedBy>
  <dcterms:modified xsi:type="dcterms:W3CDTF">2026-07-09T05:14:06Z</dcterms:modified>
</cp:coreProperties>
</file>