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l\Documents\pCloud\WORK\MulyaOne\SM Price List\"/>
    </mc:Choice>
  </mc:AlternateContent>
  <xr:revisionPtr revIDLastSave="0" documentId="13_ncr:1_{21857F86-D66E-47CA-BDBA-DF3AE413E6A2}" xr6:coauthVersionLast="47" xr6:coauthVersionMax="47" xr10:uidLastSave="{00000000-0000-0000-0000-000000000000}"/>
  <bookViews>
    <workbookView xWindow="-120" yWindow="-120" windowWidth="29040" windowHeight="15720" firstSheet="9" activeTab="9" xr2:uid="{00000000-000D-0000-FFFF-FFFF00000000}"/>
  </bookViews>
  <sheets>
    <sheet name="SOLIDSURFACE" sheetId="1" r:id="rId1"/>
    <sheet name="LIGHTING" sheetId="2" r:id="rId2"/>
    <sheet name="ACC WD" sheetId="3" r:id="rId3"/>
    <sheet name="ACC KIT" sheetId="4" r:id="rId4"/>
    <sheet name="Handles" sheetId="5" r:id="rId5"/>
    <sheet name="Mirror with LED" sheetId="6" r:id="rId6"/>
    <sheet name="FLUTE GLASS OPTIONS GALLERY" sheetId="7" r:id="rId7"/>
    <sheet name="Flute Glass Simple" sheetId="9" r:id="rId8"/>
    <sheet name="Solid Surface Simple" sheetId="10" r:id="rId9"/>
    <sheet name="Lighting Simple" sheetId="11" r:id="rId10"/>
    <sheet name="Kitchen Acc Simple" sheetId="13" r:id="rId11"/>
    <sheet name="Wardrobe Acc Simple" sheetId="12" r:id="rId12"/>
    <sheet name="Handles Simple" sheetId="14" r:id="rId13"/>
    <sheet name="Mirror LED Simple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7" l="1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2" i="5"/>
  <c r="A28" i="5"/>
  <c r="A23" i="5"/>
  <c r="A18" i="5"/>
  <c r="A12" i="5"/>
  <c r="A5" i="5"/>
  <c r="A132" i="4"/>
  <c r="A131" i="4"/>
  <c r="A130" i="4"/>
  <c r="A129" i="4"/>
  <c r="A128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7" i="4"/>
  <c r="A105" i="4"/>
  <c r="A104" i="4"/>
  <c r="A102" i="4"/>
  <c r="A101" i="4"/>
  <c r="A100" i="4"/>
  <c r="A99" i="4"/>
  <c r="A98" i="4"/>
  <c r="A97" i="4"/>
  <c r="A96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79" i="4"/>
  <c r="A78" i="4"/>
  <c r="A77" i="4"/>
  <c r="A76" i="4"/>
  <c r="A75" i="4"/>
  <c r="A74" i="4"/>
  <c r="A73" i="4"/>
  <c r="A72" i="4"/>
  <c r="A70" i="4"/>
  <c r="A69" i="4"/>
  <c r="A68" i="4"/>
  <c r="A67" i="4"/>
  <c r="A65" i="4"/>
  <c r="A64" i="4"/>
  <c r="A63" i="4"/>
  <c r="A62" i="4"/>
  <c r="A61" i="4"/>
  <c r="A60" i="4"/>
  <c r="A58" i="4"/>
  <c r="A57" i="4"/>
  <c r="A56" i="4"/>
  <c r="A55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39" i="4"/>
  <c r="A38" i="4"/>
  <c r="A37" i="4"/>
  <c r="A36" i="4"/>
  <c r="A35" i="4"/>
  <c r="A34" i="4"/>
  <c r="A33" i="4"/>
  <c r="A32" i="4"/>
  <c r="A31" i="4"/>
  <c r="A30" i="4"/>
  <c r="A29" i="4"/>
  <c r="A24" i="4"/>
  <c r="A23" i="4"/>
  <c r="A22" i="4"/>
  <c r="A21" i="4"/>
  <c r="A20" i="4"/>
  <c r="A19" i="4"/>
  <c r="A18" i="4"/>
  <c r="A17" i="4"/>
  <c r="A16" i="4"/>
  <c r="A15" i="4"/>
  <c r="A14" i="4"/>
  <c r="A7" i="4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33" i="3"/>
  <c r="A132" i="3"/>
  <c r="A131" i="3"/>
  <c r="A130" i="3"/>
  <c r="A129" i="3"/>
  <c r="A122" i="3"/>
  <c r="A121" i="3"/>
  <c r="A120" i="3"/>
  <c r="A119" i="3"/>
  <c r="A104" i="3"/>
  <c r="A91" i="3"/>
  <c r="A81" i="3"/>
  <c r="A55" i="3"/>
  <c r="A35" i="3"/>
  <c r="A30" i="3"/>
  <c r="A9" i="3"/>
  <c r="A32" i="2"/>
  <c r="A31" i="2"/>
  <c r="A30" i="2"/>
  <c r="A29" i="2"/>
  <c r="A28" i="2"/>
  <c r="A25" i="2"/>
  <c r="A24" i="2"/>
  <c r="A23" i="2"/>
  <c r="A22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</calcChain>
</file>

<file path=xl/sharedStrings.xml><?xml version="1.0" encoding="utf-8"?>
<sst xmlns="http://schemas.openxmlformats.org/spreadsheetml/2006/main" count="1680" uniqueCount="655">
  <si>
    <t>SOLID SURFACE</t>
  </si>
  <si>
    <t>SHOWROOM
JUN 2026</t>
  </si>
  <si>
    <t>ITEM</t>
  </si>
  <si>
    <t>DESCRIPTION</t>
  </si>
  <si>
    <t>T</t>
  </si>
  <si>
    <t>D</t>
  </si>
  <si>
    <t>L</t>
  </si>
  <si>
    <t>PRICE</t>
  </si>
  <si>
    <t>WORKTOP</t>
  </si>
  <si>
    <t>KITCHEN WORKTOP Depth. 30 CM</t>
  </si>
  <si>
    <t>No Backsplash. Bullnose 4cm</t>
  </si>
  <si>
    <t>1 LM</t>
  </si>
  <si>
    <t>KITCHEN WORKTOP Depth. 60 CM</t>
  </si>
  <si>
    <t>Back splash 6 cm + Bullnose 4cm</t>
  </si>
  <si>
    <t>KITCHEN WORKTOP Depth. 65 CM</t>
  </si>
  <si>
    <t>KITCHEN WORKTOP Depth. 70 CM</t>
  </si>
  <si>
    <t>KITCHEN WORKTOP Depth. 75 CM</t>
  </si>
  <si>
    <t>ISLAND TOP ( Price per meter)</t>
  </si>
  <si>
    <t>ISLAND TOP W. 60 CM</t>
  </si>
  <si>
    <t>Profile 40 mm 4 sides</t>
  </si>
  <si>
    <t>ISLAND TOP W 70 CM</t>
  </si>
  <si>
    <t>ISLAND TOP W 80 CM</t>
  </si>
  <si>
    <t>ISLAND TOP W 90 CM</t>
  </si>
  <si>
    <t>ISLAND TOP W 100 CM</t>
  </si>
  <si>
    <t>ISLAND TOP W 110 CM</t>
  </si>
  <si>
    <t>ISLAND TOP W 120 CM</t>
  </si>
  <si>
    <t>ISLAND TOP W 130 CM</t>
  </si>
  <si>
    <t>ISLAND TOP W 150 CM</t>
  </si>
  <si>
    <t>ISLAND SIDE PANEL H.90 cm</t>
  </si>
  <si>
    <t>ISLAND SIDE PANEL W. 60 CM</t>
  </si>
  <si>
    <t>40 mm thick, plywood inside</t>
  </si>
  <si>
    <t>ISLAND SIDE PANEL W. 80 CM</t>
  </si>
  <si>
    <t>2 sisi dilapis 4cm</t>
  </si>
  <si>
    <t>ISLAND SIDE PANEL W. 90 CM</t>
  </si>
  <si>
    <t>H.90 CM</t>
  </si>
  <si>
    <t>ISLAND SIDE PANEL W. 100 CM</t>
  </si>
  <si>
    <t>ISLAND SIDE PANEL W. 120 CM</t>
  </si>
  <si>
    <t>UNTUK PENAMBAHAN PANEL MONTELI DIBAWAH TOP ATAU DISISI DALAM ISLAND DAPAT DIHITUNG DGN MEMAKAI HARGA WALL COVER</t>
  </si>
  <si>
    <t>WALL COVER</t>
  </si>
  <si>
    <t>Groove line 5 mm with backsplash</t>
  </si>
  <si>
    <t>WALL COVER H.20</t>
  </si>
  <si>
    <t>Wall cover / back splash</t>
  </si>
  <si>
    <t>1LM</t>
  </si>
  <si>
    <t>WALL COVER H.30</t>
  </si>
  <si>
    <t>WALL COVER H. 40</t>
  </si>
  <si>
    <t>WALL COVER H. 50</t>
  </si>
  <si>
    <t>WALL COVER H.60</t>
  </si>
  <si>
    <t>WALL COVER H. 80</t>
  </si>
  <si>
    <t>WALL COVER H. 90</t>
  </si>
  <si>
    <t>WALL COVER H. 100</t>
  </si>
  <si>
    <t>Stella Mobili</t>
  </si>
  <si>
    <t>LIGHTING ACCESSORIES PRICELIST</t>
  </si>
  <si>
    <t>each type of LED Stripe includes ribbon, and needs a driver (trafo). each LED Stripe meter = 10 watt</t>
  </si>
  <si>
    <t>Showroom Price JUN 2026</t>
  </si>
  <si>
    <t>PICTURE</t>
  </si>
  <si>
    <t>UNIT</t>
  </si>
  <si>
    <t>SHOWROOM PRICE</t>
  </si>
  <si>
    <t>LED Stripe Insert</t>
  </si>
  <si>
    <t>/ meter</t>
  </si>
  <si>
    <r>
      <rPr>
        <b/>
        <sz val="10"/>
        <color theme="1"/>
        <rFont val="Calibri"/>
      </rPr>
      <t xml:space="preserve">LED Stripe Clip-On
</t>
    </r>
    <r>
      <rPr>
        <sz val="10"/>
        <color theme="1"/>
        <rFont val="Calibri"/>
      </rPr>
      <t>(Placed underneath shelf panel)</t>
    </r>
  </si>
  <si>
    <r>
      <rPr>
        <b/>
        <sz val="10"/>
        <color theme="1"/>
        <rFont val="Calibri"/>
      </rPr>
      <t xml:space="preserve">GOLA LED Stripe for WU
</t>
    </r>
    <r>
      <rPr>
        <sz val="10"/>
        <color theme="1"/>
        <rFont val="Calibri"/>
      </rPr>
      <t>(Color : Black or Silver)</t>
    </r>
  </si>
  <si>
    <t>LED Stripe behind Glass Shelf</t>
  </si>
  <si>
    <t>LED Stripe One Direction</t>
  </si>
  <si>
    <r>
      <rPr>
        <b/>
        <sz val="10"/>
        <color theme="1"/>
        <rFont val="Calibri"/>
      </rPr>
      <t xml:space="preserve">LED Stripe at Shelf
</t>
    </r>
    <r>
      <rPr>
        <sz val="10"/>
        <color theme="1"/>
        <rFont val="Calibri"/>
      </rPr>
      <t>(only 18mm Panel. price exclude panel)
(Color : Black or Silver)</t>
    </r>
  </si>
  <si>
    <r>
      <rPr>
        <b/>
        <sz val="10"/>
        <color theme="1"/>
        <rFont val="Calibri"/>
      </rPr>
      <t xml:space="preserve">LED Stripe for inside Drawer w.600 mm
</t>
    </r>
    <r>
      <rPr>
        <sz val="10"/>
        <color theme="1"/>
        <rFont val="Calibri"/>
      </rPr>
      <t>(Fixed Width)
(need filler for each drawer / light)</t>
    </r>
  </si>
  <si>
    <t>/ piece</t>
  </si>
  <si>
    <r>
      <rPr>
        <b/>
        <sz val="10"/>
        <color theme="1"/>
        <rFont val="Calibri"/>
      </rPr>
      <t xml:space="preserve">LED Stripe for inside Drawer w.900 mm
</t>
    </r>
    <r>
      <rPr>
        <sz val="10"/>
        <color theme="1"/>
        <rFont val="Calibri"/>
      </rPr>
      <t>(Fixed Width)
(need filler for each drawer / light)</t>
    </r>
  </si>
  <si>
    <r>
      <rPr>
        <b/>
        <sz val="10"/>
        <color theme="1"/>
        <rFont val="Calibri"/>
      </rPr>
      <t xml:space="preserve">LED Stripe for inside Drawer w.1200 mm
</t>
    </r>
    <r>
      <rPr>
        <sz val="10"/>
        <color theme="1"/>
        <rFont val="Calibri"/>
      </rPr>
      <t>(Fixed Width)
(need filler for each drawer / light)</t>
    </r>
  </si>
  <si>
    <t>Trafo 48 Watt
(can connect max 6 strips)
size: 170x60x16mm</t>
  </si>
  <si>
    <t>Trafo 90 Watt
(can connect max 6 strips)
size: 308x61.5x16mm</t>
  </si>
  <si>
    <t>LED Sensor Autoswitch
Infrared single door switch , size:15x12mm</t>
  </si>
  <si>
    <t>Multi Driver Control Box
size: 55x38x10mm
Plug to a light switch source connect up to 4 trafo</t>
  </si>
  <si>
    <t>Distributor Box
size: 41.5x38x10mm
Plug to trafo connect up to 6 LED strips
(if one trafo needs more than 6 strips)</t>
  </si>
  <si>
    <t>DOWNLIGHT</t>
  </si>
  <si>
    <t>Elfo LED
Cold Light, tidak perlu pakai Trafo</t>
  </si>
  <si>
    <t>check stock</t>
  </si>
  <si>
    <t>Elfo LED
Warm light, tidak perlu pakai Trafo</t>
  </si>
  <si>
    <r>
      <rPr>
        <b/>
        <sz val="10"/>
        <color theme="1"/>
        <rFont val="Calibri"/>
      </rPr>
      <t xml:space="preserve">Hafele Downlight 3000 K
</t>
    </r>
    <r>
      <rPr>
        <sz val="10"/>
        <color theme="1"/>
        <rFont val="Calibri"/>
      </rPr>
      <t>(warna frame tergantung stock supplier)</t>
    </r>
    <r>
      <rPr>
        <b/>
        <sz val="10"/>
        <color theme="1"/>
        <rFont val="Calibri"/>
      </rPr>
      <t xml:space="preserve">
minimum panel thickness 22mm</t>
    </r>
  </si>
  <si>
    <t>beli sesuai order</t>
  </si>
  <si>
    <r>
      <rPr>
        <b/>
        <sz val="10"/>
        <color theme="1"/>
        <rFont val="Calibri"/>
      </rPr>
      <t xml:space="preserve">Hafele Downlight 4000 K
</t>
    </r>
    <r>
      <rPr>
        <sz val="10"/>
        <color theme="1"/>
        <rFont val="Calibri"/>
      </rPr>
      <t>(warna frame tergantung stock supplier)</t>
    </r>
    <r>
      <rPr>
        <b/>
        <sz val="10"/>
        <color theme="1"/>
        <rFont val="Calibri"/>
      </rPr>
      <t xml:space="preserve">
minimum panel thickness 22mm</t>
    </r>
  </si>
  <si>
    <r>
      <rPr>
        <b/>
        <sz val="10"/>
        <color theme="1"/>
        <rFont val="Calibri"/>
      </rPr>
      <t xml:space="preserve">Hafele Trafo Downlight
</t>
    </r>
    <r>
      <rPr>
        <sz val="10"/>
        <color theme="1"/>
        <rFont val="Calibri"/>
      </rPr>
      <t>(1 trafo bisa untuk 2 Hafele downlight)</t>
    </r>
  </si>
  <si>
    <t>OTHER SWITCHES</t>
  </si>
  <si>
    <t>sifatnya habiskan stock
sebelum beli tanya dulu</t>
  </si>
  <si>
    <t>Simple Switch / Switch Kulkas</t>
  </si>
  <si>
    <t>Switch Rocker with on/off marking</t>
  </si>
  <si>
    <t>Push Switch</t>
  </si>
  <si>
    <t>IR Sensor Switch</t>
  </si>
  <si>
    <t>TOUCH Sensor</t>
  </si>
  <si>
    <t>STELLAMOBILI WARDROBE ACCESSORIES</t>
  </si>
  <si>
    <t>DESC</t>
  </si>
  <si>
    <t>SHOWROOM</t>
  </si>
  <si>
    <t>Door Seal /meter</t>
  </si>
  <si>
    <t>Tip-on Mechanism for Doors (Push System)</t>
  </si>
  <si>
    <t>Tip-on Mechanism for Drawers (Push System)</t>
  </si>
  <si>
    <t>FURNITAL GLASS SHELVES
DEPTH have fixed options at 350 &amp; 500 mm. LED EXCLUDE, but can be added on FRONT SIDE ONLY</t>
  </si>
  <si>
    <t>GLASS SHELF D.35 cm (with crystal clear glass 5mm)</t>
  </si>
  <si>
    <t>Shelf for WU 45 D 350</t>
  </si>
  <si>
    <t>Shelf for WU 50 D 350</t>
  </si>
  <si>
    <t>Shelf for WU 55 D 350</t>
  </si>
  <si>
    <t>Shelf for WU 60 D 350</t>
  </si>
  <si>
    <t>Shelf for WU 70 D 350</t>
  </si>
  <si>
    <t>Shelf for WU 75 D 350</t>
  </si>
  <si>
    <t>Shelf for WU 80 D 350</t>
  </si>
  <si>
    <t>Shelf for WU 90 D 350</t>
  </si>
  <si>
    <t>Shelf for WU 100 D 350</t>
  </si>
  <si>
    <t>Shelf for WU 110 D 350</t>
  </si>
  <si>
    <t>Shelf for WU 120 D 350</t>
  </si>
  <si>
    <t>GLASS SHELF D.50 cm (with crystal clear glass 5mm)</t>
  </si>
  <si>
    <t>Shelf for W 60 D 500</t>
  </si>
  <si>
    <t>Shelf for W 80 D 500</t>
  </si>
  <si>
    <t>Shelf for W 90 D 500</t>
  </si>
  <si>
    <t>Shelf for W 96 D 500</t>
  </si>
  <si>
    <t>Shelf for W 100 D 500</t>
  </si>
  <si>
    <t>Shelf for W 110 D 500</t>
  </si>
  <si>
    <t>Shelf for W 120 D 500</t>
  </si>
  <si>
    <t>FURNITAL HANGERS
(attach to shelf)</t>
  </si>
  <si>
    <t>FURNITAL HANGERS (1 Color Option)</t>
  </si>
  <si>
    <t>Furnital Hanger for WD 480</t>
  </si>
  <si>
    <t>Furnital Hanger for WD 500</t>
  </si>
  <si>
    <t>Furnital Hanger for WD 600</t>
  </si>
  <si>
    <t>Furnital Hanger for WD 960</t>
  </si>
  <si>
    <t>Furnital Hanger for WD 1200</t>
  </si>
  <si>
    <t>Furnital Hanger for WD 1440</t>
  </si>
  <si>
    <t>Furnital Hanger for WD 1920</t>
  </si>
  <si>
    <t>FURNITAL HANGERS CORNER (2 Hangers Basic Butt Joint)</t>
  </si>
  <si>
    <t>Furnital Hangers for corner WD 480-480</t>
  </si>
  <si>
    <t>Furnital Hangers for corner WD 480-500</t>
  </si>
  <si>
    <t>Furnital Hangers for corner WD 480-600</t>
  </si>
  <si>
    <t>Furnital Hangers for corner WD 480-960</t>
  </si>
  <si>
    <t>Furnital Hangers for corner WD 480-1000</t>
  </si>
  <si>
    <t>Furnital Hangers for corner WD 500 -500</t>
  </si>
  <si>
    <t>Furnital Hangers for corner WD 500-600</t>
  </si>
  <si>
    <t>Furnital Hangers for corner WD 500-960</t>
  </si>
  <si>
    <t>Furnital Hangers for corner WD 500-1000</t>
  </si>
  <si>
    <t>Furnital Hangers for corner WD 600-600</t>
  </si>
  <si>
    <t>Furnital Hangers for corner WD 600-960</t>
  </si>
  <si>
    <t>Furnital Hangers for corner WD 600-1000</t>
  </si>
  <si>
    <t>Furnital Hangers for corner WD 960-960</t>
  </si>
  <si>
    <t>Furnital Hangers for corner WD 960-1000</t>
  </si>
  <si>
    <t>Furnital Hangers for corner WD 1000-1000</t>
  </si>
  <si>
    <t>ROUND HANGERS (PERIN)
(attach to shelf / top) - Dark Umber, White, Black, Gold, CA</t>
  </si>
  <si>
    <t>TUBE HANGER ( PERIN Tube + 2 end support)</t>
  </si>
  <si>
    <t>Tube hanger for WD 480</t>
  </si>
  <si>
    <t>Tube hanger for WD 500</t>
  </si>
  <si>
    <t>Tube hanger for WD 600</t>
  </si>
  <si>
    <t>Tube hanger for WD 960</t>
  </si>
  <si>
    <t>Tube hanger for WD 1200, 1 center support</t>
  </si>
  <si>
    <t>Tube hanger for WD 1440, 1 center support</t>
  </si>
  <si>
    <t>Tube hanger for WD 1920, 1 center support</t>
  </si>
  <si>
    <t>CORNER TUBE HANGER (UNDER SHELF)</t>
  </si>
  <si>
    <t>Alluminium Tube for corner WD 480-480</t>
  </si>
  <si>
    <t>Alluminium Tube for corner WD 480-500</t>
  </si>
  <si>
    <t>Alluminium Tube for corner WD 480-600</t>
  </si>
  <si>
    <t>Alluminium Tube for corner WD 480-960</t>
  </si>
  <si>
    <t>Alluminium Tube for corner WD 480-1000</t>
  </si>
  <si>
    <t>Alluminium Tube for corner WD 500-500</t>
  </si>
  <si>
    <t>Alluminium Tube for corner WD 500-600</t>
  </si>
  <si>
    <t>Alluminium Tube for corner WD 500-960</t>
  </si>
  <si>
    <t>Alluminium Tube for corner WD 500-1000</t>
  </si>
  <si>
    <t>Alluminium Tube for corner WD 600-600</t>
  </si>
  <si>
    <t>Alluminium Tube for corner WD 600-960</t>
  </si>
  <si>
    <t>Alluminium Tube for corner WD 600-1000</t>
  </si>
  <si>
    <t>Alluminium Tube for corner WD 960-960</t>
  </si>
  <si>
    <t>Alluminium Tube for corner WD 960-1000</t>
  </si>
  <si>
    <t>Alluminium Tube for corner WD 1000-1000</t>
  </si>
  <si>
    <t>HORIZONTAL HANGERS (SUPEREX)
(attach to side panel) - only CA color</t>
  </si>
  <si>
    <t>Superex Hangers</t>
  </si>
  <si>
    <t>TUBE HANGER (Aluminium + 2 end support)</t>
  </si>
  <si>
    <t>Tube hanger for WD 45</t>
  </si>
  <si>
    <t>Tube hanger for WD 50</t>
  </si>
  <si>
    <t>Tube hanger for WD 60</t>
  </si>
  <si>
    <t>Tube hanger for WD 90</t>
  </si>
  <si>
    <t>Tube hanger for WD 100</t>
  </si>
  <si>
    <t>CORNER TUBE HANGER (SHELF REQUIRED FOR CENTER SUPPORT)</t>
  </si>
  <si>
    <t>Alluminium Tube for corner WD 45-45</t>
  </si>
  <si>
    <t>Alluminium Tube for corner WD 45-50</t>
  </si>
  <si>
    <t>Alluminium Tube for corner WD 45-60</t>
  </si>
  <si>
    <t>Emuca Hangers (habisin stock)</t>
  </si>
  <si>
    <t>Alluminium Tube for corner WD 45-90</t>
  </si>
  <si>
    <t>Alluminium Tube for corner WD 45-100</t>
  </si>
  <si>
    <t>Alluminium Tube for corner WD 50 -50</t>
  </si>
  <si>
    <t>Alluminium Tube for corner WD 50-60</t>
  </si>
  <si>
    <t>Alluminium Tube for corner WD 50-90</t>
  </si>
  <si>
    <t>Alluminium Tube for corner WD 50-100</t>
  </si>
  <si>
    <t>Alluminium Tube for corner WD 60-60</t>
  </si>
  <si>
    <t>Alluminium Tube for corner WD 60-90</t>
  </si>
  <si>
    <t>Alluminium Tube for corner WD 60-100</t>
  </si>
  <si>
    <t>Alluminium Tube for corner WD 90-90</t>
  </si>
  <si>
    <t>Alluminium Tube for corner WD 90-100</t>
  </si>
  <si>
    <t>Alluminium Tube for corner WD 100-100</t>
  </si>
  <si>
    <t>HORIZONTAL HANGERS (HANSTAR)
(attach to side panel) - only DARK GREY Color</t>
  </si>
  <si>
    <t>Horizontal Dark Grey Hanger</t>
  </si>
  <si>
    <t>DARK GREY TUBE HANGER</t>
  </si>
  <si>
    <t>Dark Grey Tube hanger for WD 45</t>
  </si>
  <si>
    <t>Dark Grey Tube hanger for WD 50</t>
  </si>
  <si>
    <t>Dark Grey Tube hanger for WD 60</t>
  </si>
  <si>
    <t>Dark Grey Tube hanger for WD 90</t>
  </si>
  <si>
    <t>Dark Grey Tube hanger for WD 100</t>
  </si>
  <si>
    <t>Dark Grey Tube hanger for WD 120</t>
  </si>
  <si>
    <t>(Dark Grey Tube Hanger tidak bisa corner)</t>
  </si>
  <si>
    <t>LOCKS</t>
  </si>
  <si>
    <t>Espagnolette Lock</t>
  </si>
  <si>
    <t>bar-nya 1300mm</t>
  </si>
  <si>
    <t>Single Lock for Drawer</t>
  </si>
  <si>
    <t>Central Lock for Drawers (max 4 drawers)</t>
  </si>
  <si>
    <t>hrg Juli 2025</t>
  </si>
  <si>
    <t>Master Key for Single / Central Lock (kode kunci harus sama)</t>
  </si>
  <si>
    <t>Grand Master Key for Single / Central Lock (bisa buka semua kode)</t>
  </si>
  <si>
    <t>Hidden Magnetic Lock (Kinderlock)</t>
  </si>
  <si>
    <t>Hidden Electric Lock (Card Lock)</t>
  </si>
  <si>
    <t>Digital Lock (with keypad, Locker Scroll)
(hanya untuk panel pintu 18mm)</t>
  </si>
  <si>
    <t>Digital Lock (with keypad, Round)</t>
  </si>
  <si>
    <t>Digital Lock (with keypad, Long)</t>
  </si>
  <si>
    <t>Lock at door handle</t>
  </si>
  <si>
    <t>Lock at door handle (handle only)</t>
  </si>
  <si>
    <t>MECHANISMS</t>
  </si>
  <si>
    <t>Folding Mechanism 2 Doors</t>
  </si>
  <si>
    <t>Sliding Mechanism 2 Doors Hettich - rail max 2.3m</t>
  </si>
  <si>
    <t>Sliding Mechanism 3 Doors Hettich - rail max 4m</t>
  </si>
  <si>
    <t>Sliding Mechanism Inline - 2 Doors</t>
  </si>
  <si>
    <t>Sugatsune Hiding Slanted Door
Max Door Weight 40kg</t>
  </si>
  <si>
    <t>Tall Unit pull out cabinet d.110 cm Mechanism</t>
  </si>
  <si>
    <t>Tall Unit pull out cabinet d.80 cm Mechanism</t>
  </si>
  <si>
    <t>Revolve Mirror Mechanism (inside cabinet, max mirror h.1200 w.350) (check stock kalau mau order)</t>
  </si>
  <si>
    <t>Lift Mechanism (by Linak)</t>
  </si>
  <si>
    <t>Pocket Door - Sugatsune max spec h2000, w600
ada panel 9mm di antara side panel luar dan pintu
max door weight 20kg</t>
  </si>
  <si>
    <t>Pocket Door - Darwin Single Door</t>
  </si>
  <si>
    <t>Pocket Door - Darwin Double Door</t>
  </si>
  <si>
    <t>Pocket Door - Hawa 3.0 Single Door</t>
  </si>
  <si>
    <t>Coming soon</t>
  </si>
  <si>
    <t>Pocket Door - Hawa 3.0 Double Door</t>
  </si>
  <si>
    <t>Pocket Door - Salice Exedra</t>
  </si>
  <si>
    <t>Pocket Door - BLUM Revego (min h.1200, max h.2700)</t>
  </si>
  <si>
    <t>By Door.
Uno = 37,7jt
Duo = 75,4jt</t>
  </si>
  <si>
    <t>Movento Mechanism</t>
  </si>
  <si>
    <t>SMART FURNITURE - Aladino Deluxe 180x200 cm</t>
  </si>
  <si>
    <t>SMART FURNITURE - Aladino Elektra 180x200 cm</t>
  </si>
  <si>
    <t>SMART FURNITURE - Collapsible Desk System (Aladino Attachment)</t>
  </si>
  <si>
    <t>SMART FURNITURE - Collapsible Sofa System (Aladino Attachnment)</t>
  </si>
  <si>
    <t>OTHER ACC</t>
  </si>
  <si>
    <t>Shoe Drawer Rack w.900</t>
  </si>
  <si>
    <t>WD For Shoe
w.900</t>
  </si>
  <si>
    <t>10-Layered Shoe Rack (min width 800, height 1830)</t>
  </si>
  <si>
    <t>cabinet width &gt;800
height 1630 - 1830</t>
  </si>
  <si>
    <t>Pull Out Cloth Hanger (width 890-1200)</t>
  </si>
  <si>
    <t>cabinet
width 890-1200</t>
  </si>
  <si>
    <t>Pull Out Rail Hanger (min depth 600, min width 500)</t>
  </si>
  <si>
    <t>min depth 600
min width 500</t>
  </si>
  <si>
    <t>Pull Out Rail Trouser Rack (min depth 600, min width 500)</t>
  </si>
  <si>
    <t>Pull Out Rail Trouser Hanger (min depth 600, min width 500)</t>
  </si>
  <si>
    <t>Trouser Rack Drawer (w.900, d.600)</t>
  </si>
  <si>
    <t>width 900
min depth 600</t>
  </si>
  <si>
    <t>Faux Leather Divider (w.900, d.600)</t>
  </si>
  <si>
    <t>Bracket for Mirror behind door
(each mirror require 8pcs)
price is / pc</t>
  </si>
  <si>
    <t>Dehumidifier (w.30,5cm)
Bila dipasang, maka shelf tidak boleh nempel back panel.
harus ada jeda untuk penghawaan</t>
  </si>
  <si>
    <t>Dehumidifier (70cm)
Bila dipasang, maka shelf tidak boleh nempel back panel.
harus ada jeda untuk penghawaan</t>
  </si>
  <si>
    <t>PERIN SQUARE LEG HEIGHT 14 CM ALLUMINIUM FINISH
Max w.1000 for 4 legs (price / piece)</t>
  </si>
  <si>
    <t>WHEEL GREY FOR THICKNESS 18 mm (80kg per wheel)</t>
  </si>
  <si>
    <t>Zamac Wardrobe Hook W/ Cover L 140 X W16 X H13.5 Stainless Steel-K264-135.SL.25</t>
  </si>
  <si>
    <t>Zamac Wardrobe Hook W/ Cover L 80 X W20 X H13.5 Stainless Steel-K266-075.SL.25</t>
  </si>
  <si>
    <t>STELLAMOBILI KITCHEN ACCESSORIES</t>
  </si>
  <si>
    <t>NAME</t>
  </si>
  <si>
    <t>STOCK</t>
  </si>
  <si>
    <r>
      <rPr>
        <sz val="12"/>
        <color rgb="FFFFFF00"/>
        <rFont val="Arial Narrow"/>
      </rPr>
      <t xml:space="preserve">beberapa item stock tercantum. karena itu special item / stock tipis jadi saat order mohon </t>
    </r>
    <r>
      <rPr>
        <b/>
        <i/>
        <sz val="12"/>
        <color rgb="FFFFFF00"/>
        <rFont val="Arial Narrow"/>
      </rPr>
      <t>CHECK STOCK</t>
    </r>
    <r>
      <rPr>
        <sz val="12"/>
        <color rgb="FFFFFF00"/>
        <rFont val="Arial Narrow"/>
      </rPr>
      <t xml:space="preserve"> dahulu.
untuk yang tidak tercantum artinya running stock / masih ada.</t>
    </r>
  </si>
  <si>
    <t>CUTLERIES</t>
  </si>
  <si>
    <t>Ambia Line Cutlery tray for Legrabox drawer w450 set</t>
  </si>
  <si>
    <t>Ambia Line Cutlery tray for Legrabox drawer w600 set</t>
  </si>
  <si>
    <t>Ambia Line Cutlery tray for Legrabox drawer w900 set</t>
  </si>
  <si>
    <t>Ambia Line Cutlery tray for Legrabox drawer w1200 set</t>
  </si>
  <si>
    <t>Additional Drawer Frame 300</t>
  </si>
  <si>
    <t>Additional Drawer Frame 200</t>
  </si>
  <si>
    <t>Additional Drawer Frame 100</t>
  </si>
  <si>
    <t>PVC Cutlery Dark Grey w.300</t>
  </si>
  <si>
    <t>PVC Cutlery Dark Grey w.450</t>
  </si>
  <si>
    <t>PVC Cutlery White w.450</t>
  </si>
  <si>
    <t>PVC Cutlery Dark Grey w.600</t>
  </si>
  <si>
    <t>PVC Cutlery White w.600</t>
  </si>
  <si>
    <t>PVC Cutlery White w.900</t>
  </si>
  <si>
    <t>PVC Cutlery Beige w.900</t>
  </si>
  <si>
    <t>PVC Cutlery White w.1000</t>
  </si>
  <si>
    <t>PVC Cutlery Dark Grey w.1200</t>
  </si>
  <si>
    <t>PVC Cutlery White w.1200</t>
  </si>
  <si>
    <t>Divider Cutlery Dark Grey Set w.450</t>
  </si>
  <si>
    <t>Divider Cutlery Dark Grey Set w.600</t>
  </si>
  <si>
    <t>Divider Cutlery Dark Grey Set w.900</t>
  </si>
  <si>
    <t>Minimum drawer face height 140mm</t>
  </si>
  <si>
    <t>Divider Cutlery Dark Grey Set w.1200</t>
  </si>
  <si>
    <t>BASE UNITS</t>
  </si>
  <si>
    <t>MOVENTO Drawer Runner (Mechanism Only)</t>
  </si>
  <si>
    <t>Revolving Pull-Open Wastebin
Ø280 H340</t>
  </si>
  <si>
    <t>BU150 - 2 Layer Basket Wire
w.94,5 d.473 h.502</t>
  </si>
  <si>
    <t>BU300 - 2 Layer Basket Cargo</t>
  </si>
  <si>
    <t>BU300 - Plate Rack In Chrome Pull Out</t>
  </si>
  <si>
    <t>BU450 - Swivel Out Ladder
w.410 d.490 h.585</t>
  </si>
  <si>
    <t>BU450 - Trash bin w/drawer
w.412-418 d.506 h.570</t>
  </si>
  <si>
    <t>BU450 - Under Mounted Multi Function Base Cargo
w400 d425 h480</t>
  </si>
  <si>
    <t>BU450 - Lakeshore Multi Purpose Base Cargo
w379 d449 h544</t>
  </si>
  <si>
    <t>BU450 - Chromed Plate Rack For Drawers</t>
  </si>
  <si>
    <t>BU 600 - Plate Rack For Drawer</t>
  </si>
  <si>
    <t>sisa yang chrome</t>
  </si>
  <si>
    <t>BU 600 - Plate Rack For Drawer -antracite</t>
  </si>
  <si>
    <t>BU 600 - Pull Out Botle Rack</t>
  </si>
  <si>
    <t>BU 600 - 500MM PULL-OUT Drawer
w.300mm  d.475mm  h.135mm</t>
  </si>
  <si>
    <t>BU 900 - Drawer Basket
w.865 d.430 h.185</t>
  </si>
  <si>
    <t>BU 900 - Sink Drawer Basket
w.865 d.460 h.180</t>
  </si>
  <si>
    <t>BU 900 - Pull Out Basket</t>
  </si>
  <si>
    <t>BU 900 - Under Sink Pull Out Basket with Grey Dustbin</t>
  </si>
  <si>
    <t>BU 900 - 800MM PULL-OUT Drawer 
w.800 d.475 h.135</t>
  </si>
  <si>
    <t>BU 900 - Basket With Door Brackets</t>
  </si>
  <si>
    <t>BU 900-1100 - Lakeshore Peanut Corner Basket
w.865 d.495 h.650-750 R &amp; L
(if used at tall unit [one set on top of the other] need shelf panel in between)</t>
  </si>
  <si>
    <t>BU Corner - Chrome Swivel Basket 2 Levels With Pole Fitting</t>
  </si>
  <si>
    <t>BU Corner - Chromed Pull Out Corner Mod.RotoCorner With Net Basket For Left Door 450MM</t>
  </si>
  <si>
    <t>BU Corner - Chromed Pull Out Corner Mod.RotoCorner With Net Basket For Right Door 450MM</t>
  </si>
  <si>
    <t>BU Corner - Chrome Swivel Basket 2 Levels with Attacks</t>
  </si>
  <si>
    <t>WALL UNITS</t>
  </si>
  <si>
    <t>WU 900 - Dish Rack</t>
  </si>
  <si>
    <t>WU 900 (min h.600) - Peacock Upper Cabinet Lift with Dish Rack</t>
  </si>
  <si>
    <t>WU 600 - Plate Rack</t>
  </si>
  <si>
    <t>WU 900 - Plate Rack</t>
  </si>
  <si>
    <t>TALL UNITS</t>
  </si>
  <si>
    <t>TU 150 - Column Chrome Basket</t>
  </si>
  <si>
    <t>TU 450 - Larder Unit
D-500MM</t>
  </si>
  <si>
    <t>TU 450 (min h.2000) - Swivel Out Ladder set-6 layers
w.385 d.530 h.(1920-2220)</t>
  </si>
  <si>
    <t>TU 450 - With 4 Door Brackets and 4 Chrome Baskets h.(1900/2100)</t>
  </si>
  <si>
    <t>TU 600 - With 4 Door Brackets and 4 Chrome Baskets h.(1900/2100)</t>
  </si>
  <si>
    <t>TU 600 (min h.2000) - Swivel Out Ladder set-6 layers
w.530 d.D530 h.(1920-2220)</t>
  </si>
  <si>
    <t>EXTERNAL ACCESSORIES</t>
  </si>
  <si>
    <t>Plate Rack Under WU w.635
(Wall Hang Basket)</t>
  </si>
  <si>
    <t>Wine Glass Rack
w.340 d.210 h.65</t>
  </si>
  <si>
    <t>2 Tier Dish Rack w550
(placed at top table)</t>
  </si>
  <si>
    <t>Bottle Rack Under WU w.400 h.300
(Wall Hang Basket) -SJ219B</t>
  </si>
  <si>
    <r>
      <rPr>
        <b/>
        <sz val="20"/>
        <color rgb="FFFFFFFF"/>
        <rFont val="Arial Narrow"/>
      </rPr>
      <t xml:space="preserve">BARAZZA
</t>
    </r>
    <r>
      <rPr>
        <sz val="12"/>
        <color rgb="FFFFFFFF"/>
        <rFont val="Arial Narrow"/>
      </rPr>
      <t>(top table accessory)</t>
    </r>
  </si>
  <si>
    <t>90 CM BUILT IN AND FLUSH CHANNEL
(housing for all the Barazza accessories)</t>
  </si>
  <si>
    <t>STAINLESS STEEL DRAINING RACK
30cm</t>
  </si>
  <si>
    <t>STAINLESS STEEL COLANDER
30cm</t>
  </si>
  <si>
    <t>LARGE GLASS DRAINER SHELF
30cm</t>
  </si>
  <si>
    <t>STAINLESS STEEL BOTTLE HOLDER
15cm</t>
  </si>
  <si>
    <t>ROTATTING POWER SOCKET
30cm</t>
  </si>
  <si>
    <t>INDUCTION phone CHARGER
15cm</t>
  </si>
  <si>
    <t>BLUE TOOTH SPEAKER
15cm</t>
  </si>
  <si>
    <t>SPECIAL TRAYS</t>
  </si>
  <si>
    <t>EST cutlery tray 600</t>
  </si>
  <si>
    <t>EST cutlery tray 900</t>
  </si>
  <si>
    <t>EST cutlery tray 1200</t>
  </si>
  <si>
    <t>EST spice rack insert</t>
  </si>
  <si>
    <t>EST kitchen rack insert</t>
  </si>
  <si>
    <t>EST digital scale insert</t>
  </si>
  <si>
    <t>EST set n 5 insert with cuttlery</t>
  </si>
  <si>
    <t>EST bread board insert</t>
  </si>
  <si>
    <t>EST knife rack insert</t>
  </si>
  <si>
    <t>EST utensil holder 60</t>
  </si>
  <si>
    <t>EST cuttlery tray 90 x 90 depth 65</t>
  </si>
  <si>
    <t>EST pot rack 120 2M</t>
  </si>
  <si>
    <t>EST jar rack 600</t>
  </si>
  <si>
    <t>SPECIAL ACCESSORIES</t>
  </si>
  <si>
    <t>BLUM PLATE HOLDER (low stock, price /pcs not /set)</t>
  </si>
  <si>
    <t>Lunch Pull Out Drawer Table 900 x 895</t>
  </si>
  <si>
    <t>Party Mensola Pull Out Drawer Table 900 x 1540</t>
  </si>
  <si>
    <t>Snack Sliding Worktop 800 x 2000</t>
  </si>
  <si>
    <t>T-Able Pull Out Table with Single Telescopic 600 x 1168</t>
  </si>
  <si>
    <t>T-Able Pull Out Table with Single Telescopic 900 x 1168</t>
  </si>
  <si>
    <t>Evolution Pull Out Table 900 x 1552</t>
  </si>
  <si>
    <t>COOKER HOODS</t>
  </si>
  <si>
    <t>Corallo Corner</t>
  </si>
  <si>
    <t>SPOT H10 size 1200</t>
  </si>
  <si>
    <t>SPOT H10 size 900</t>
  </si>
  <si>
    <t>Bella 60cm Standard White</t>
  </si>
  <si>
    <t>Bella 90cm Standard White</t>
  </si>
  <si>
    <t>Brio Metal 110cm Feltro Scuro Burnish</t>
  </si>
  <si>
    <t>Brio Metal 150cm Feltro Scuro Burnish</t>
  </si>
  <si>
    <t>ETRA 90cm Feltro Scuro Burnish</t>
  </si>
  <si>
    <t>ETRA 120cm Feltro Scuro Burnish</t>
  </si>
  <si>
    <t>ORIZZONTE PLUS 900</t>
  </si>
  <si>
    <t>LIGHT VANILLA</t>
  </si>
  <si>
    <t>CASSIOPEA</t>
  </si>
  <si>
    <t>MAGNUM 900</t>
  </si>
  <si>
    <t>CYLINDRA ISOLA GLOSS</t>
  </si>
  <si>
    <t>CUBIA ISOLA</t>
  </si>
  <si>
    <t>MIRROR 800mm Black</t>
  </si>
  <si>
    <t>AGORA SIZE 100NN (UNFINISHED) BEAM KIT FINISHED</t>
  </si>
  <si>
    <t>INKA LUX EVO Stainless Steel with suction
size 290x450x580</t>
  </si>
  <si>
    <t>INKA PLUS HC Stainless Steel with suction
size 230x350x570</t>
  </si>
  <si>
    <t>Carbon Filter - Inca Smart</t>
  </si>
  <si>
    <t>Carbon Filter - Magnum &amp; Mirror</t>
  </si>
  <si>
    <t>Carbon Filter - Cassiopea</t>
  </si>
  <si>
    <t>Carbon Filter - INKA LUX / INKA PLUS</t>
  </si>
  <si>
    <t>TABLE SUPPORT</t>
  </si>
  <si>
    <t>Breakfast Table Support
h.220, &lt;60°</t>
  </si>
  <si>
    <t>Arch Table Support
240x28 h.223</t>
  </si>
  <si>
    <t>Right Angle Table Support
232x36 h.159</t>
  </si>
  <si>
    <t>Table Leg DIA.80MM
Adjustment 25MM.Complete with Top Fixing-Satin Finish-GIEFFE.130
240x28 h.223</t>
  </si>
  <si>
    <t>Leg for breakfast table 710/760</t>
  </si>
  <si>
    <t>HANDLES</t>
  </si>
  <si>
    <t>Stellamobili Pricelist</t>
  </si>
  <si>
    <t>DESCRIPTION / NAME</t>
  </si>
  <si>
    <t>ADD INFO</t>
  </si>
  <si>
    <t>INTEGRATED HANDLES</t>
  </si>
  <si>
    <t>LENGTH</t>
  </si>
  <si>
    <t>Handle Kuku Macan
horizontal (drawer) or
vertical (wardrobe door)
Kode : 85262 / 6256</t>
  </si>
  <si>
    <t>Handle L
horizontal (drawer) or
vertical (wardrobe door full height)
Kode : A2681 / 6218</t>
  </si>
  <si>
    <t>Handle SEGI TIGA
horizontal (drawer) or
vertical (wardrobe door)
Kode : 85302 / 6257</t>
  </si>
  <si>
    <t>Handle GRIP
horizontal (drawer) or
vertical (wardrobe door full height)
*tidak bisa untuk BU Swing Kitchen
Kode : A 2683 / 6267</t>
  </si>
  <si>
    <t>Handle GOLA horizontal
Kode : A 2684 / 6268R</t>
  </si>
  <si>
    <t>Handle POKER
Vertical for Wardrobe Door
bisa full height, perlu cap di ujung
Kode : 6614 R</t>
  </si>
  <si>
    <t>Cap (each)</t>
  </si>
  <si>
    <t>CLASSIC HANDLES</t>
  </si>
  <si>
    <t>Showroom Price /pc</t>
  </si>
  <si>
    <t>PZ 1000 Silver</t>
  </si>
  <si>
    <t>PZ1000 Gold still on shipment</t>
  </si>
  <si>
    <t>Handle ceramic knob nordic-96-1</t>
  </si>
  <si>
    <t>Handle Qinggula Knob Antique-Retro Zinc Z4S2-273 green Bronze</t>
  </si>
  <si>
    <t>HANDLE KNOB ANTIQUE BRONZE CERAMIC-74 MM HWR-HDLLZ4S2-275</t>
  </si>
  <si>
    <t>HANDLE KNOB ANTIQUE BRONZE CERAMIC-ZINC ALLOY HWR-HDL-1813-00-96 BRZ</t>
  </si>
  <si>
    <t>Handle American Style Black Knobs-1031-2</t>
  </si>
  <si>
    <t>Handle American Style Black Knobs-1031-1</t>
  </si>
  <si>
    <t>Handle American Style Black Knobs-8831 C- 96</t>
  </si>
  <si>
    <t>Handle American Style Black Knobs-8831 C</t>
  </si>
  <si>
    <t>HANDLE KNOB M-MATT SILVER 29 X 105MM</t>
  </si>
  <si>
    <t>HANDLE KNOB S-MATT SILVER 30 X 32MM</t>
  </si>
  <si>
    <t>Handle pastoral style ceramic- 1827 - 128mm</t>
  </si>
  <si>
    <t xml:space="preserve">Neo Silver (L1083-F07-OAG)
Knob: diameter 30 mm
Wing: panjang 70 mm, lebar 25 mm
</t>
  </si>
  <si>
    <t xml:space="preserve">Neo Brass (KNOB WYB)
Knob: diameter 30 mm
Wing: panjang 70 mm, lebar 25 mm
</t>
  </si>
  <si>
    <t>Antique Silver 09 -Citterio Line 1022.09</t>
  </si>
  <si>
    <t>Antique French Bronze 24 -Citterio Line 1022.24</t>
  </si>
  <si>
    <t>Natural Leather And Ceramic Craked-cosmov 1207 Q50</t>
  </si>
  <si>
    <t>Natural Leather And Ceramic Craked-cosmov 1207 Q80</t>
  </si>
  <si>
    <t>Antique French Bronze 24-Knob -  Citterio Line 2024.24</t>
  </si>
  <si>
    <t>Brown Flower Round - Citterio Line 2027</t>
  </si>
  <si>
    <t>Brown Flower Oval include screws 25 mm - Citterio Line 2028</t>
  </si>
  <si>
    <t>Gold and White oro 26102  -Citteriogiulio 10821</t>
  </si>
  <si>
    <t>Bosetti</t>
  </si>
  <si>
    <t>OTHER HANDLES</t>
  </si>
  <si>
    <t>Beware Stock</t>
  </si>
  <si>
    <t>Handle Fin Antique Bronze 20 192mm GOLD - Citteriogiulio 8 1005A</t>
  </si>
  <si>
    <t>Handle Fin Nickel Matt 35.128mm - Citteriogiulio 8 1044</t>
  </si>
  <si>
    <t>Handle Fin Nickel Matt 35.192m - Citteriogiulio 8 1044</t>
  </si>
  <si>
    <t>Handle Fin Chrome Opaco 4330.192mm SILVER - Citteriogiulio 8 1005A</t>
  </si>
  <si>
    <t>Handle Fin Antico Gold 09039903.192mm - Citteriogiulio 8 1005A</t>
  </si>
  <si>
    <t>Handle Fin matt Nickel 30.384mm - Citteriogiulio 8 1048</t>
  </si>
  <si>
    <t>Handle Fin Nickel Matt 35.16mm - Citteriogiulio - 9 1336 0016</t>
  </si>
  <si>
    <t>Handle Fin 17 Antique silver 80 x 16 - Citteriogiulio 9.1355</t>
  </si>
  <si>
    <t>handle crome 34CH</t>
  </si>
  <si>
    <t>Handle-Fin Matt Chrome 31 - 160mm Citterio Line 363B -discontinue</t>
  </si>
  <si>
    <t>Handle fin 37.15S-cosma-2831200</t>
  </si>
  <si>
    <t>low stock</t>
  </si>
  <si>
    <t>Handle-Fin Cromo Opaco 31 - 192mm include screws 25 mm - Citterio Line 315A</t>
  </si>
  <si>
    <t>Handle Fin Chrome Opacol 31-192mm -Citterio Line 338A</t>
  </si>
  <si>
    <t>Handle-Fin Chromo Lucido 10 - 160mm-Citterio Line 347B</t>
  </si>
  <si>
    <t>Handle-Fin Matt Chrome 31 - 160mm-Citterio Line 348A</t>
  </si>
  <si>
    <t>Handle-SunChain A358-224.PC28 2 ITEM YG DARI ITALY DAN LOKAL ( 8+23)</t>
  </si>
  <si>
    <t>Handle-Fin Highgloss Chrome - Citterio Line 377C</t>
  </si>
  <si>
    <t>Handle-Fin LEAD COD.75-Citterio Line 383A</t>
  </si>
  <si>
    <t>Handle-Fin Nickel satined COD.11-320mm-Citterio Line 392A</t>
  </si>
  <si>
    <t>Handle-Fin Nickel satined COD.11-192mm-CIitterio Line 392B</t>
  </si>
  <si>
    <t>Handle Fin 33 mat Nickell - Citterio Line .411</t>
  </si>
  <si>
    <t>Handle Fin CHROME-Cosmov 624 C 010</t>
  </si>
  <si>
    <t>Handle Fin MATT CHROME Cosmov 634 F 011</t>
  </si>
  <si>
    <t>Handle Fin matt Nickel 30.160128mm - Citteriogiulio 8 1012B</t>
  </si>
  <si>
    <t>Handle Fin CHROME-128MM-Cosmov 1388 120 010</t>
  </si>
  <si>
    <t>Handle Fin CHROME-160MM-Cosmov 1428 160 010</t>
  </si>
  <si>
    <t>Handle Fin Satin Nickel 11- Citterio Line 2052 diam. 80mm</t>
  </si>
  <si>
    <t>Handle Fin Satin Nickel 11- Citterio Line 2052 diam. 50mm</t>
  </si>
  <si>
    <t>Handle / C110-160mm - Shanghai Tong Lee HAAN3076</t>
  </si>
  <si>
    <t>Handle ZAMA FINISH - LUCID CHROME-Cosma ( INSIDE )-12489.G260</t>
  </si>
  <si>
    <t>Handle ZAMA FINISH - LUCID CHROME-Cosma-12495.S260</t>
  </si>
  <si>
    <t>Handle-cosma (square)-COS.12635.S260</t>
  </si>
  <si>
    <t>Handle - SATINATED NICHEL 16 -Cosma-12660 G</t>
  </si>
  <si>
    <t>Handle- Fin 50S - Cosma 12791.D50S</t>
  </si>
  <si>
    <t>Handle- Fin 37D - Cosma 12791.D16S</t>
  </si>
  <si>
    <t>Handle knob Classic Cramic White--cosma-COS.23960.B260</t>
  </si>
  <si>
    <t>Handle - 1103,5mm Inox Satinato Fin 37D - Cosma 5831103.37D.23D.1</t>
  </si>
  <si>
    <t>Handle Fin Chrome Matt 45.320mm - Citteriogiulio 8 1032</t>
  </si>
  <si>
    <t>Handle Fin Polished Chrome 40. 240mm - Citteriogiulio 8 1043A -discontinue</t>
  </si>
  <si>
    <t>Handle Fin Nickel Matt 35.224mm - Citteriogiulio 8 1085</t>
  </si>
  <si>
    <t>Handle Fin Polished Chrome 40.192mm - Citteriogiulio 8 1115192160</t>
  </si>
  <si>
    <t>Handle-cosma knob (anting)-COS.123810.260</t>
  </si>
  <si>
    <t>Handle-SunChain A429-224.DC.28</t>
  </si>
  <si>
    <t>Handle-SunChain A242-064.SL28</t>
  </si>
  <si>
    <t>Handle-SunChain A494-192.PC.28</t>
  </si>
  <si>
    <t>Handle L 297mm-sunChain B946-297.NA.28</t>
  </si>
  <si>
    <t>Handle C-2723-128-Qianfan</t>
  </si>
  <si>
    <t>Handle C-2720-Qianfan</t>
  </si>
  <si>
    <t>Handle-Fin Titanium 69-1182mm -Citterio Line 358</t>
  </si>
  <si>
    <t>Handle-Fin Titanium 69-0582mm -Citterio Line 358</t>
  </si>
  <si>
    <t>Handle-Fin Titanium 69-0282mm -Citterio Line 358</t>
  </si>
  <si>
    <t>Handle-Fin Chrome Lucido 10 - 32mm-Citterio Line 309</t>
  </si>
  <si>
    <t>Handle Fin Satin Nickel 11-32mm - Citterio Line 352</t>
  </si>
  <si>
    <t>Handle-Fin Highgloss Chrome - Citterio line 379</t>
  </si>
  <si>
    <t>Handle Fin Satin Nickel 11-4F 256mm-Citterio Line 350</t>
  </si>
  <si>
    <t>Handle Brown Leather Brushed Satin Nickel-anting-Shanghai Tong Lee DJM H918</t>
  </si>
  <si>
    <t>Handle Brown Leather Brushed Satin Nickel -square-Shanghai Tong Lee F226</t>
  </si>
  <si>
    <t>Handle Imango KLS74.L44mm- Black</t>
  </si>
  <si>
    <t>Handle Imango KLS74.L44mm- Grey</t>
  </si>
  <si>
    <t>Handle Imango KLS74.L179mm- Black</t>
  </si>
  <si>
    <t>Handle Imango KLS74.L179mm- Grey</t>
  </si>
  <si>
    <t>Handle - Confalioneri MB0082600NS1</t>
  </si>
  <si>
    <t>Handle ( setengah ) - Confalioneri MB00874/A0OCL1</t>
  </si>
  <si>
    <t>Handle - Confalonieri MB09008AP1</t>
  </si>
  <si>
    <t>Handle Center Distance 32mm Fin Satin Nickel - Confalioneri MB09131</t>
  </si>
  <si>
    <t>Handle- Hightgloss Chromed Plate -PAMAR-MN713Z120G104G104</t>
  </si>
  <si>
    <t>Handle knob-classic -white-kecil ( P26N F 40)</t>
  </si>
  <si>
    <t>Handle - Shanghai Tong Lee ST201 400mm</t>
  </si>
  <si>
    <t>Handle - Shanghai Tong Lee ST201 500mm</t>
  </si>
  <si>
    <t>Handle - Shanghai Tong Lee ST201 700mm</t>
  </si>
  <si>
    <t>Handle Tona Brass knob-Besar-TN2328.35</t>
  </si>
  <si>
    <t>Handle-cosma U3880800.260.100</t>
  </si>
  <si>
    <t>Handle-cosma U3880640.260.70</t>
  </si>
  <si>
    <t>Handle-cosma U3880480.260.50</t>
  </si>
  <si>
    <t>Handle-cosma U3880320.260.35A</t>
  </si>
  <si>
    <t>Stellamobili Mirror with LED PRICELIST</t>
  </si>
  <si>
    <t>SHOWROOM PRICE - JUN 2026</t>
  </si>
  <si>
    <r>
      <rPr>
        <b/>
        <sz val="9"/>
        <color rgb="FF1F1F1F"/>
        <rFont val="Arial"/>
      </rPr>
      <t>Prices are in m²</t>
    </r>
    <r>
      <rPr>
        <sz val="9"/>
        <color rgb="FF1F1F1F"/>
        <rFont val="Arial"/>
      </rPr>
      <t>. Include mirror, led, and trafo by vendor; and 18mm panel backing by Stella.</t>
    </r>
  </si>
  <si>
    <r>
      <rPr>
        <b/>
        <sz val="9"/>
        <color rgb="FF1F1F1F"/>
        <rFont val="Arial"/>
      </rPr>
      <t>Only rectangular shape</t>
    </r>
    <r>
      <rPr>
        <sz val="9"/>
        <color rgb="FF1F1F1F"/>
        <rFont val="Arial"/>
      </rPr>
      <t>. Custom &amp; circular shapes possible with custom price, request with drawing first.</t>
    </r>
  </si>
  <si>
    <t>Cermin LED Standard (Silver Mirror)</t>
  </si>
  <si>
    <t>Ketentuan:</t>
  </si>
  <si>
    <t>Single Color LED</t>
  </si>
  <si>
    <t>Rp 5,880,000</t>
  </si>
  <si>
    <t>minimal ukuran 60 cm</t>
  </si>
  <si>
    <t>Double Color LED</t>
  </si>
  <si>
    <t>Rp 6,980,000</t>
  </si>
  <si>
    <t>bentuk lengkugan R - 5cm (apabila ada)</t>
  </si>
  <si>
    <t>Three Color LED</t>
  </si>
  <si>
    <t>Rp 5,980,000</t>
  </si>
  <si>
    <t>Maximal 180 cm x 240 cm</t>
  </si>
  <si>
    <t>Three Color LED MX</t>
  </si>
  <si>
    <t>Rp 4,780,000</t>
  </si>
  <si>
    <t>MX artinya tidak pakai penutup belakang</t>
  </si>
  <si>
    <t>ADD Round 4 sudut</t>
  </si>
  <si>
    <t>Rp 475,000</t>
  </si>
  <si>
    <t>All prices are showroom prices in m²</t>
  </si>
  <si>
    <t>Cermin LED Standard (Brown Mirror)</t>
  </si>
  <si>
    <t>Rp 6,080,000</t>
  </si>
  <si>
    <t>Rp 7,180,000</t>
  </si>
  <si>
    <t>Rp 6,180,000</t>
  </si>
  <si>
    <t>Cermin Frameless</t>
  </si>
  <si>
    <t>Bevel Silver Mirror</t>
  </si>
  <si>
    <t>Rp 2,980,000</t>
  </si>
  <si>
    <t>minimal ukuran 50 cm</t>
  </si>
  <si>
    <t>Bevel Brown Mirror</t>
  </si>
  <si>
    <t>Rp 3,180,000</t>
  </si>
  <si>
    <t>Gosok Silver Mirror</t>
  </si>
  <si>
    <t>Rp 2,680,000</t>
  </si>
  <si>
    <t>Maximal 100 cm x 200 cm</t>
  </si>
  <si>
    <t>Gosok Brown Mirror</t>
  </si>
  <si>
    <t>Rp 2,880,000</t>
  </si>
  <si>
    <t>Cermin Frame Alumunium</t>
  </si>
  <si>
    <t>Frame Non LED</t>
  </si>
  <si>
    <t>Cermin Frame Alumunium Non LED</t>
  </si>
  <si>
    <t>Silver Mirror LED</t>
  </si>
  <si>
    <t>Cermin LED Frame Alumunium 3 Color - Silver Mirror</t>
  </si>
  <si>
    <t>Brown Mirror LED</t>
  </si>
  <si>
    <t>Rp 7,380,000</t>
  </si>
  <si>
    <t>Cermin LED Frame Alumunium 3 Color - Brown Mirror</t>
  </si>
  <si>
    <t>Glass Options</t>
  </si>
  <si>
    <t>Glass Name</t>
  </si>
  <si>
    <t>Category</t>
  </si>
  <si>
    <t>AQUALITE</t>
  </si>
  <si>
    <t>Flute Glass</t>
  </si>
  <si>
    <t>GRAIN</t>
  </si>
  <si>
    <t>CROSSPANE</t>
  </si>
  <si>
    <t>MORU</t>
  </si>
  <si>
    <t>RIPPLE</t>
  </si>
  <si>
    <t>OCEANIC</t>
  </si>
  <si>
    <t>RAIN</t>
  </si>
  <si>
    <t>PINSTRIPE</t>
  </si>
  <si>
    <t>TWINLITE</t>
  </si>
  <si>
    <t>SQUARE</t>
  </si>
  <si>
    <t>MORU SP</t>
  </si>
  <si>
    <t>MORU BRONZE</t>
  </si>
  <si>
    <t>MORU GREY</t>
  </si>
  <si>
    <t>MISLITE</t>
  </si>
  <si>
    <t>FLUTELITE SP</t>
  </si>
  <si>
    <t>CATHEDRAL SP</t>
  </si>
  <si>
    <t>BLISS</t>
  </si>
  <si>
    <t>OPTIMAX</t>
  </si>
  <si>
    <t>TWINLITE FROST</t>
  </si>
  <si>
    <t>Acid Flute Glass</t>
  </si>
  <si>
    <t>MORU FROST</t>
  </si>
  <si>
    <t>Item</t>
  </si>
  <si>
    <t>Description</t>
  </si>
  <si>
    <t>Unit</t>
  </si>
  <si>
    <t>LED STRIPE</t>
  </si>
  <si>
    <t>T (mm)</t>
  </si>
  <si>
    <t>D (mm)</t>
  </si>
  <si>
    <t>Price (IDR)</t>
  </si>
  <si>
    <t>LED Stripe Clip-On (Placed underneath shelf panel)</t>
  </si>
  <si>
    <t>GOLA LED Stripe for WU (Color : Black or Silver)</t>
  </si>
  <si>
    <t>LED Stripe at Shelf (only 18mm Panel. price exclude panel) (Color : Black or Silver)</t>
  </si>
  <si>
    <t>LED Stripe for inside Drawer w.600 mm (Fixed Width) (need filler for each drawer / light)</t>
  </si>
  <si>
    <t>LED Stripe for inside Drawer w.900 mm (Fixed Width) (need filler for each drawer / light)</t>
  </si>
  <si>
    <t>LED Stripe for inside Drawer w.1200 mm (Fixed Width) (need filler for each drawer / light)</t>
  </si>
  <si>
    <t>TRAFO/ACCESSORIES</t>
  </si>
  <si>
    <t>Trafo 48 Watt (can connect max 6 strips) size: 170x60x16mm</t>
  </si>
  <si>
    <t>Trafo 90 Watt (can connect max 6 strips) size: 308x61.5x16mm</t>
  </si>
  <si>
    <t>LED Sensor Autoswitch Infrared single door switch , size:15x12mm</t>
  </si>
  <si>
    <t>Multi Driver Control Box size: 55x38x10mm Plug to a light switch source connect up to 4 trafo</t>
  </si>
  <si>
    <t>Distributor Box size: 41.5x38x10mm Plug to trafo connect up to 6 LED strips (if one trafo needs more than 6 strips)</t>
  </si>
  <si>
    <t>Elfo LED Cold Light, tidak perlu pakai Trafo</t>
  </si>
  <si>
    <t>Elfo LED Warm light, tidak perlu pakai Trafo</t>
  </si>
  <si>
    <t>Hafele Downlight 3000 K (warna frame tergantung stock supplier) minimum panel thickness 22mm</t>
  </si>
  <si>
    <t>Hafele Downlight 4000 K (warna frame tergantung stock supplier) minimum panel thickness 22mm</t>
  </si>
  <si>
    <t>Hafele Trafo Downlight (1 trafo bisa untuk 2 Hafele downlight)</t>
  </si>
  <si>
    <t>GLASS SHELF D.35 cm</t>
  </si>
  <si>
    <t>GLASS SHELF D.50 cm</t>
  </si>
  <si>
    <t>FURNITAL HANGERS</t>
  </si>
  <si>
    <t>FURNITAL HANGERS CORNER</t>
  </si>
  <si>
    <t>TUBE HANGER</t>
  </si>
  <si>
    <t>CORNER TUBE HANGER</t>
  </si>
  <si>
    <t>Digital Lock (with keypad, Locker Scroll) (hanya untuk panel pintu 18mm)</t>
  </si>
  <si>
    <t>Sugatsune Hiding Slanted Door Max Door Weight 40kg</t>
  </si>
  <si>
    <t>Pocket Door - Sugatsune max spec h2000, w600 ada panel 9mm di antara side panel luar dan pintu max door weight 20kg</t>
  </si>
  <si>
    <t>Bracket for Mirror behind door (each mirror require 8pcs) price is / pc</t>
  </si>
  <si>
    <t>Dehumidifier (w.30,5cm)  Bila dipasang, maka shelf tidak boleh nempel back panel. harus ada jeda untuk penghawaan</t>
  </si>
  <si>
    <t>Dehumidifier (70cm)  Bila dipasang, maka shelf tidak boleh nempel back panel. harus ada jeda untuk penghawaan</t>
  </si>
  <si>
    <t>PERIN SQUARE LEG HEIGHT 14 CM ALLUMINIUM FINISH Max w.1000 for 4 legs (price / piece)</t>
  </si>
  <si>
    <t>Revolving Pull-Open Wastebin Ø280 H340</t>
  </si>
  <si>
    <t>BU150 - 2 Layer Basket Wire w.94,5 d.473 h.502</t>
  </si>
  <si>
    <t>BU450 - Swivel Out Ladder w.410 d.490 h.585</t>
  </si>
  <si>
    <t>BU450 - Trash bin w/drawer w.412-418 d.506 h.570</t>
  </si>
  <si>
    <t>BU450 - Under Mounted Multi Function Base Cargo w400 d425 h480</t>
  </si>
  <si>
    <t>BU450 - Lakeshore Multi Purpose Base Cargo w379 d449 h544</t>
  </si>
  <si>
    <t>BU 600 - 500MM PULL-OUT Drawer w.300mm  d.475mm  h.135mm</t>
  </si>
  <si>
    <t>BU 900 - Drawer Basket w.865 d.430 h.185</t>
  </si>
  <si>
    <t>BU 900 - Sink Drawer Basket w.865 d.460 h.180</t>
  </si>
  <si>
    <t>BU 900 - 800MM PULL-OUT Drawer  w.800 d.475 h.135</t>
  </si>
  <si>
    <t>BU 900-1100 - Lakeshore Peanut Corner Basket w.865 d.495 h.650-750 R &amp; L (if used at tall unit [one set on top of the other] need shelf panel in between)</t>
  </si>
  <si>
    <t>TU 450 - Larder Unit D-500MM</t>
  </si>
  <si>
    <t>TU 450 (min h.2000) - Swivel Out Ladder set-6 layers w.385 d.530 h.(1920-2220)</t>
  </si>
  <si>
    <t>TU 600 (min h.2000) - Swivel Out Ladder set-6 layers w.530 d.D530 h.(1920-2220)</t>
  </si>
  <si>
    <t>Plate Rack Under WU w.635 (Wall Hang Basket)</t>
  </si>
  <si>
    <t>Wine Glass Rack w.340 d.210 h.65</t>
  </si>
  <si>
    <t>2 Tier Dish Rack w550 (placed at top table)</t>
  </si>
  <si>
    <t>Bottle Rack Under WU w.400 h.300 (Wall Hang Basket) -SJ219B</t>
  </si>
  <si>
    <t>90 CM BUILT IN AND FLUSH CHANNEL (housing for all the Barazza accessories)</t>
  </si>
  <si>
    <t>STAINLESS STEEL DRAINING RACK 30cm</t>
  </si>
  <si>
    <t>STAINLESS STEEL COLANDER 30cm</t>
  </si>
  <si>
    <t>LARGE GLASS DRAINER SHELF 30cm</t>
  </si>
  <si>
    <t>STAINLESS STEEL BOTTLE HOLDER 15cm</t>
  </si>
  <si>
    <t>ROTATTING POWER SOCKET 30cm</t>
  </si>
  <si>
    <t>INDUCTION phone CHARGER 15cm</t>
  </si>
  <si>
    <t>BLUE TOOTH SPEAKER 15cm</t>
  </si>
  <si>
    <t>INKA LUX EVO Stainless Steel with suction size 290x450x580</t>
  </si>
  <si>
    <t>INKA PLUS HC Stainless Steel with suction size 230x350x570</t>
  </si>
  <si>
    <t>Breakfast Table Support h.220, &lt;60°</t>
  </si>
  <si>
    <t>Arch Table Support 240x28 h.223</t>
  </si>
  <si>
    <t>Right Angle Table Support 232x36 h.159</t>
  </si>
  <si>
    <t>Table Leg DIA.80MM Adjustment 25MM.Complete with Top Fixing-Satin Finish-GIEFFE.130 240x28 h.223</t>
  </si>
  <si>
    <t>Length/Info</t>
  </si>
  <si>
    <t>Handle POKER</t>
  </si>
  <si>
    <t>Type</t>
  </si>
  <si>
    <t>Price per m² (IDR)</t>
  </si>
  <si>
    <t>meter</t>
  </si>
  <si>
    <t>piece</t>
  </si>
  <si>
    <t>General</t>
  </si>
  <si>
    <t>BARAZZA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</si>
</sst>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Rp]* #,##0"/>
    <numFmt numFmtId="165" formatCode="mmmm&quot; &quot;yyyy"/>
    <numFmt numFmtId="166" formatCode="_(* #,##0_);_(* \(#,##0\);_(* &quot;-&quot;??_);_(@_)"/>
    <numFmt numFmtId="167" formatCode="0.0000_ "/>
    <numFmt numFmtId="168" formatCode="mmmm\ yyyy"/>
    <numFmt numFmtId="169" formatCode="0_ "/>
    <numFmt numFmtId="170" formatCode="mmm\ yyyy"/>
    <numFmt numFmtId="171" formatCode="_(* #,##0.00_);_(* \(#,##0.00\);_(* &quot;-&quot;??_);_(@_)"/>
  </numFmts>
  <fonts count="41" x14ac:knownFonts="1">
    <font>
      <sz val="10"/>
      <color rgb="FF000000"/>
      <name val="Arial"/>
      <scheme val="minor"/>
    </font>
    <font>
      <sz val="2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24"/>
      <color rgb="FFD9D9D9"/>
      <name val="Arial"/>
    </font>
    <font>
      <b/>
      <sz val="16"/>
      <color rgb="FFFFFFFF"/>
      <name val="Arial Narrow"/>
    </font>
    <font>
      <b/>
      <sz val="17"/>
      <color theme="1"/>
      <name val="Arial"/>
    </font>
    <font>
      <b/>
      <sz val="14"/>
      <color rgb="FFFFFFFF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5"/>
      <color theme="1"/>
      <name val="Calibri"/>
    </font>
    <font>
      <b/>
      <sz val="10"/>
      <color rgb="FFFF0000"/>
      <name val="Calibri"/>
    </font>
    <font>
      <sz val="10"/>
      <color theme="1"/>
      <name val="Arial"/>
      <scheme val="minor"/>
    </font>
    <font>
      <b/>
      <sz val="18"/>
      <color theme="1"/>
      <name val="Microsoft Yahei"/>
    </font>
    <font>
      <b/>
      <sz val="12"/>
      <color theme="1"/>
      <name val="Calibri"/>
    </font>
    <font>
      <b/>
      <sz val="10"/>
      <color rgb="FFFFFFFF"/>
      <name val="Microsoft Yahei"/>
    </font>
    <font>
      <b/>
      <sz val="15"/>
      <color rgb="FFFFFFFF"/>
      <name val="Arial"/>
    </font>
    <font>
      <sz val="10"/>
      <name val="Arial"/>
    </font>
    <font>
      <sz val="10"/>
      <color theme="1"/>
      <name val="Arial Narrow"/>
    </font>
    <font>
      <sz val="12"/>
      <color rgb="FFFFFF00"/>
      <name val="Arial Narrow"/>
    </font>
    <font>
      <b/>
      <sz val="20"/>
      <color rgb="FFFFFFFF"/>
      <name val="Arial Narrow"/>
    </font>
    <font>
      <sz val="11"/>
      <color theme="1"/>
      <name val="Arial"/>
    </font>
    <font>
      <b/>
      <sz val="20"/>
      <color theme="1"/>
      <name val="Arial"/>
    </font>
    <font>
      <b/>
      <sz val="16"/>
      <color rgb="FFFFFFFF"/>
      <name val="Arial"/>
    </font>
    <font>
      <b/>
      <sz val="9"/>
      <color theme="1"/>
      <name val="Arial"/>
    </font>
    <font>
      <sz val="11"/>
      <color theme="1"/>
      <name val="Calibri"/>
    </font>
    <font>
      <sz val="8"/>
      <color theme="1"/>
      <name val="Arial"/>
      <scheme val="minor"/>
    </font>
    <font>
      <sz val="10"/>
      <color rgb="FFFFFFFF"/>
      <name val="Arial"/>
    </font>
    <font>
      <b/>
      <sz val="20"/>
      <color rgb="FFFFFFFF"/>
      <name val="Calibri"/>
    </font>
    <font>
      <b/>
      <sz val="13"/>
      <color theme="1"/>
      <name val="Arial"/>
    </font>
    <font>
      <sz val="9"/>
      <color rgb="FF1F1F1F"/>
      <name val="Arial"/>
    </font>
    <font>
      <b/>
      <sz val="11"/>
      <color theme="1"/>
      <name val="Arial"/>
    </font>
    <font>
      <b/>
      <sz val="10"/>
      <color theme="1"/>
      <name val="Arial"/>
      <scheme val="minor"/>
    </font>
    <font>
      <b/>
      <i/>
      <sz val="12"/>
      <color rgb="FFFFFF00"/>
      <name val="Arial Narrow"/>
    </font>
    <font>
      <sz val="12"/>
      <color rgb="FFFFFFFF"/>
      <name val="Arial Narrow"/>
    </font>
    <font>
      <b/>
      <sz val="9"/>
      <color rgb="FF1F1F1F"/>
      <name val="Arial"/>
    </font>
    <font>
      <b/>
      <sz val="10"/>
      <color rgb="FFFFFFFF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1D1B10"/>
        <bgColor rgb="FF1D1B10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674EA7"/>
        <bgColor rgb="FF674EA7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4472C4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3" fillId="0" borderId="3" xfId="0" applyFont="1" applyBorder="1"/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5" fillId="0" borderId="5" xfId="0" applyFont="1" applyBorder="1"/>
    <xf numFmtId="0" fontId="5" fillId="0" borderId="6" xfId="0" applyFont="1" applyBorder="1"/>
    <xf numFmtId="0" fontId="6" fillId="0" borderId="5" xfId="0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7" xfId="0" applyFont="1" applyBorder="1"/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9" xfId="0" applyFont="1" applyBorder="1"/>
    <xf numFmtId="0" fontId="5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3" fillId="0" borderId="0" xfId="0" applyFont="1"/>
    <xf numFmtId="0" fontId="11" fillId="4" borderId="4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3" fontId="14" fillId="0" borderId="0" xfId="0" applyNumberFormat="1" applyFont="1" applyAlignment="1">
      <alignment horizontal="right" vertical="center" wrapText="1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/>
    </xf>
    <xf numFmtId="164" fontId="12" fillId="7" borderId="0" xfId="0" applyNumberFormat="1" applyFont="1" applyFill="1" applyAlignment="1">
      <alignment vertical="center"/>
    </xf>
    <xf numFmtId="164" fontId="15" fillId="7" borderId="0" xfId="0" applyNumberFormat="1" applyFont="1" applyFill="1" applyAlignment="1">
      <alignment horizontal="center" vertical="center" wrapText="1"/>
    </xf>
    <xf numFmtId="3" fontId="12" fillId="0" borderId="0" xfId="0" applyNumberFormat="1" applyFont="1" applyAlignment="1">
      <alignment vertical="center"/>
    </xf>
    <xf numFmtId="3" fontId="16" fillId="0" borderId="0" xfId="0" applyNumberFormat="1" applyFont="1"/>
    <xf numFmtId="49" fontId="19" fillId="8" borderId="10" xfId="0" applyNumberFormat="1" applyFont="1" applyFill="1" applyBorder="1" applyAlignment="1">
      <alignment horizontal="center" vertical="center" wrapText="1"/>
    </xf>
    <xf numFmtId="49" fontId="19" fillId="8" borderId="10" xfId="0" applyNumberFormat="1" applyFont="1" applyFill="1" applyBorder="1" applyAlignment="1">
      <alignment horizontal="center" wrapText="1"/>
    </xf>
    <xf numFmtId="166" fontId="19" fillId="8" borderId="1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3" fontId="12" fillId="9" borderId="2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7" fontId="12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vertical="center"/>
    </xf>
    <xf numFmtId="3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3" fontId="12" fillId="6" borderId="12" xfId="0" applyNumberFormat="1" applyFont="1" applyFill="1" applyBorder="1" applyAlignment="1">
      <alignment vertical="center"/>
    </xf>
    <xf numFmtId="0" fontId="12" fillId="6" borderId="12" xfId="0" applyFont="1" applyFill="1" applyBorder="1" applyAlignment="1">
      <alignment vertical="center"/>
    </xf>
    <xf numFmtId="3" fontId="12" fillId="6" borderId="13" xfId="0" applyNumberFormat="1" applyFont="1" applyFill="1" applyBorder="1" applyAlignment="1">
      <alignment vertical="center"/>
    </xf>
    <xf numFmtId="0" fontId="12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3" fontId="22" fillId="6" borderId="9" xfId="0" applyNumberFormat="1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vertical="center"/>
    </xf>
    <xf numFmtId="0" fontId="22" fillId="6" borderId="9" xfId="0" applyFont="1" applyFill="1" applyBorder="1" applyAlignment="1">
      <alignment vertical="center" wrapText="1"/>
    </xf>
    <xf numFmtId="0" fontId="3" fillId="0" borderId="1" xfId="0" applyFont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9" fontId="19" fillId="8" borderId="14" xfId="0" applyNumberFormat="1" applyFont="1" applyFill="1" applyBorder="1" applyAlignment="1">
      <alignment horizontal="center" vertical="center" wrapText="1"/>
    </xf>
    <xf numFmtId="166" fontId="19" fillId="8" borderId="1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67" fontId="3" fillId="6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horizontal="right"/>
    </xf>
    <xf numFmtId="169" fontId="22" fillId="6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7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/>
    </xf>
    <xf numFmtId="169" fontId="22" fillId="6" borderId="8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170" fontId="2" fillId="0" borderId="20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71" fontId="6" fillId="0" borderId="1" xfId="0" applyNumberFormat="1" applyFont="1" applyBorder="1" applyAlignment="1">
      <alignment horizontal="center" vertical="center" wrapText="1"/>
    </xf>
    <xf numFmtId="171" fontId="6" fillId="9" borderId="19" xfId="0" applyNumberFormat="1" applyFont="1" applyFill="1" applyBorder="1" applyAlignment="1">
      <alignment horizontal="center" vertical="center" wrapText="1"/>
    </xf>
    <xf numFmtId="0" fontId="27" fillId="11" borderId="25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3" fontId="3" fillId="0" borderId="1" xfId="0" applyNumberFormat="1" applyFont="1" applyBorder="1"/>
    <xf numFmtId="0" fontId="3" fillId="12" borderId="7" xfId="0" applyFont="1" applyFill="1" applyBorder="1" applyAlignment="1">
      <alignment horizontal="center" vertical="center"/>
    </xf>
    <xf numFmtId="0" fontId="27" fillId="12" borderId="25" xfId="0" applyFont="1" applyFill="1" applyBorder="1" applyAlignment="1">
      <alignment horizontal="center"/>
    </xf>
    <xf numFmtId="166" fontId="3" fillId="12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16" fillId="0" borderId="1" xfId="0" applyFont="1" applyBorder="1"/>
    <xf numFmtId="3" fontId="28" fillId="9" borderId="1" xfId="0" applyNumberFormat="1" applyFont="1" applyFill="1" applyBorder="1" applyAlignment="1">
      <alignment horizontal="center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6" fontId="29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13" borderId="7" xfId="0" applyFont="1" applyFill="1" applyBorder="1"/>
    <xf numFmtId="0" fontId="27" fillId="13" borderId="25" xfId="0" applyFont="1" applyFill="1" applyBorder="1" applyAlignment="1">
      <alignment horizontal="center"/>
    </xf>
    <xf numFmtId="166" fontId="31" fillId="13" borderId="1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6" fontId="3" fillId="0" borderId="0" xfId="0" applyNumberFormat="1" applyFont="1"/>
    <xf numFmtId="0" fontId="32" fillId="14" borderId="27" xfId="0" applyFont="1" applyFill="1" applyBorder="1"/>
    <xf numFmtId="0" fontId="12" fillId="14" borderId="28" xfId="0" applyFont="1" applyFill="1" applyBorder="1"/>
    <xf numFmtId="0" fontId="12" fillId="14" borderId="29" xfId="0" applyFont="1" applyFill="1" applyBorder="1"/>
    <xf numFmtId="0" fontId="12" fillId="14" borderId="0" xfId="0" applyFont="1" applyFill="1"/>
    <xf numFmtId="0" fontId="33" fillId="0" borderId="0" xfId="0" applyFont="1"/>
    <xf numFmtId="0" fontId="12" fillId="0" borderId="0" xfId="0" applyFont="1"/>
    <xf numFmtId="0" fontId="34" fillId="0" borderId="0" xfId="0" applyFont="1"/>
    <xf numFmtId="0" fontId="18" fillId="7" borderId="30" xfId="0" applyFont="1" applyFill="1" applyBorder="1"/>
    <xf numFmtId="0" fontId="3" fillId="7" borderId="31" xfId="0" applyFont="1" applyFill="1" applyBorder="1"/>
    <xf numFmtId="0" fontId="35" fillId="7" borderId="30" xfId="0" applyFont="1" applyFill="1" applyBorder="1"/>
    <xf numFmtId="0" fontId="3" fillId="7" borderId="26" xfId="0" applyFont="1" applyFill="1" applyBorder="1"/>
    <xf numFmtId="0" fontId="25" fillId="0" borderId="3" xfId="0" applyFont="1" applyBorder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5" xfId="0" applyFont="1" applyBorder="1"/>
    <xf numFmtId="0" fontId="18" fillId="7" borderId="3" xfId="0" applyFont="1" applyFill="1" applyBorder="1"/>
    <xf numFmtId="0" fontId="3" fillId="7" borderId="0" xfId="0" applyFont="1" applyFill="1"/>
    <xf numFmtId="0" fontId="25" fillId="0" borderId="16" xfId="0" applyFont="1" applyBorder="1"/>
    <xf numFmtId="164" fontId="3" fillId="0" borderId="12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16" xfId="0" applyFont="1" applyBorder="1"/>
    <xf numFmtId="0" fontId="3" fillId="0" borderId="9" xfId="0" applyFont="1" applyBorder="1"/>
    <xf numFmtId="0" fontId="18" fillId="15" borderId="30" xfId="0" applyFont="1" applyFill="1" applyBorder="1"/>
    <xf numFmtId="0" fontId="3" fillId="15" borderId="31" xfId="0" applyFont="1" applyFill="1" applyBorder="1"/>
    <xf numFmtId="0" fontId="35" fillId="15" borderId="30" xfId="0" applyFont="1" applyFill="1" applyBorder="1"/>
    <xf numFmtId="0" fontId="3" fillId="15" borderId="26" xfId="0" applyFont="1" applyFill="1" applyBorder="1"/>
    <xf numFmtId="0" fontId="18" fillId="15" borderId="3" xfId="0" applyFont="1" applyFill="1" applyBorder="1"/>
    <xf numFmtId="0" fontId="3" fillId="15" borderId="0" xfId="0" applyFont="1" applyFill="1"/>
    <xf numFmtId="0" fontId="12" fillId="0" borderId="3" xfId="0" applyFont="1" applyBorder="1"/>
    <xf numFmtId="0" fontId="12" fillId="0" borderId="16" xfId="0" applyFont="1" applyBorder="1"/>
    <xf numFmtId="0" fontId="3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1" fillId="0" borderId="4" xfId="0" applyFont="1" applyBorder="1"/>
    <xf numFmtId="0" fontId="21" fillId="0" borderId="7" xfId="0" applyFont="1" applyBorder="1"/>
    <xf numFmtId="0" fontId="12" fillId="0" borderId="0" xfId="0" applyFont="1" applyAlignment="1">
      <alignment horizontal="center" vertical="center"/>
    </xf>
    <xf numFmtId="0" fontId="21" fillId="0" borderId="12" xfId="0" applyFont="1" applyBorder="1"/>
    <xf numFmtId="0" fontId="12" fillId="6" borderId="0" xfId="0" applyFont="1" applyFill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23" fillId="4" borderId="12" xfId="0" applyFont="1" applyFill="1" applyBorder="1" applyAlignment="1">
      <alignment horizontal="center"/>
    </xf>
    <xf numFmtId="0" fontId="21" fillId="0" borderId="9" xfId="0" applyFont="1" applyBorder="1"/>
    <xf numFmtId="0" fontId="24" fillId="10" borderId="8" xfId="0" applyFont="1" applyFill="1" applyBorder="1" applyAlignment="1">
      <alignment horizontal="center" vertical="center"/>
    </xf>
    <xf numFmtId="0" fontId="21" fillId="0" borderId="13" xfId="0" applyFont="1" applyBorder="1"/>
    <xf numFmtId="0" fontId="3" fillId="6" borderId="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vertical="center"/>
    </xf>
    <xf numFmtId="0" fontId="24" fillId="10" borderId="1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26" xfId="0" applyFont="1" applyBorder="1" applyAlignment="1">
      <alignment vertical="center"/>
    </xf>
    <xf numFmtId="0" fontId="21" fillId="0" borderId="5" xfId="0" applyFont="1" applyBorder="1"/>
    <xf numFmtId="0" fontId="26" fillId="0" borderId="17" xfId="0" applyFont="1" applyBorder="1" applyAlignment="1">
      <alignment horizontal="center" vertical="center"/>
    </xf>
    <xf numFmtId="0" fontId="21" fillId="0" borderId="18" xfId="0" applyFont="1" applyBorder="1"/>
    <xf numFmtId="0" fontId="21" fillId="0" borderId="19" xfId="0" applyFont="1" applyBorder="1"/>
    <xf numFmtId="0" fontId="4" fillId="9" borderId="21" xfId="0" applyFont="1" applyFill="1" applyBorder="1" applyAlignment="1">
      <alignment horizontal="center" vertical="center"/>
    </xf>
    <xf numFmtId="0" fontId="21" fillId="0" borderId="21" xfId="0" applyFont="1" applyBorder="1"/>
    <xf numFmtId="0" fontId="21" fillId="0" borderId="22" xfId="0" applyFont="1" applyBorder="1"/>
    <xf numFmtId="0" fontId="40" fillId="16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133</xdr:row>
      <xdr:rowOff>0</xdr:rowOff>
    </xdr:from>
    <xdr:ext cx="1295400" cy="1323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4"/>
  <sheetViews>
    <sheetView workbookViewId="0">
      <pane ySplit="2" topLeftCell="A3" activePane="bottomLeft" state="frozen"/>
      <selection pane="bottomLeft" activeCell="F8" sqref="F8"/>
    </sheetView>
  </sheetViews>
  <sheetFormatPr defaultColWidth="12.5703125" defaultRowHeight="15.75" customHeight="1" x14ac:dyDescent="0.2"/>
  <cols>
    <col min="1" max="1" width="5.28515625" customWidth="1"/>
    <col min="2" max="2" width="42.140625" customWidth="1"/>
    <col min="3" max="3" width="34.42578125" customWidth="1"/>
    <col min="4" max="4" width="6.7109375" customWidth="1"/>
    <col min="5" max="5" width="6.140625" customWidth="1"/>
    <col min="6" max="6" width="9.28515625" customWidth="1"/>
  </cols>
  <sheetData>
    <row r="1" spans="1:7" ht="15.75" customHeight="1" x14ac:dyDescent="0.35">
      <c r="A1" s="148" t="s">
        <v>0</v>
      </c>
      <c r="B1" s="149"/>
      <c r="C1" s="149"/>
      <c r="D1" s="149"/>
      <c r="E1" s="149"/>
      <c r="F1" s="149"/>
      <c r="G1" s="1" t="s">
        <v>1</v>
      </c>
    </row>
    <row r="2" spans="1:7" ht="15.75" customHeight="1" x14ac:dyDescent="0.25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5.75" customHeight="1" x14ac:dyDescent="0.25">
      <c r="A3" s="4"/>
      <c r="B3" s="5" t="s">
        <v>8</v>
      </c>
      <c r="C3" s="6"/>
      <c r="D3" s="6"/>
      <c r="E3" s="6"/>
      <c r="F3" s="6"/>
      <c r="G3" s="6"/>
    </row>
    <row r="4" spans="1:7" ht="15.75" customHeight="1" x14ac:dyDescent="0.25">
      <c r="A4" s="7">
        <v>1</v>
      </c>
      <c r="B4" s="8" t="s">
        <v>9</v>
      </c>
      <c r="C4" s="9" t="s">
        <v>10</v>
      </c>
      <c r="D4" s="10">
        <v>40</v>
      </c>
      <c r="E4" s="10">
        <v>300</v>
      </c>
      <c r="F4" s="10" t="s">
        <v>11</v>
      </c>
      <c r="G4" s="11">
        <v>2512000</v>
      </c>
    </row>
    <row r="5" spans="1:7" ht="15.75" customHeight="1" x14ac:dyDescent="0.25">
      <c r="A5" s="7">
        <v>2</v>
      </c>
      <c r="B5" s="8" t="s">
        <v>12</v>
      </c>
      <c r="C5" s="12" t="s">
        <v>13</v>
      </c>
      <c r="D5" s="10">
        <v>40</v>
      </c>
      <c r="E5" s="10">
        <v>600</v>
      </c>
      <c r="F5" s="10" t="s">
        <v>11</v>
      </c>
      <c r="G5" s="11">
        <v>5170000</v>
      </c>
    </row>
    <row r="6" spans="1:7" ht="15.75" customHeight="1" x14ac:dyDescent="0.25">
      <c r="A6" s="7">
        <v>3</v>
      </c>
      <c r="B6" s="8" t="s">
        <v>14</v>
      </c>
      <c r="C6" s="12" t="s">
        <v>13</v>
      </c>
      <c r="D6" s="10">
        <v>40</v>
      </c>
      <c r="E6" s="10">
        <v>600</v>
      </c>
      <c r="F6" s="10" t="s">
        <v>11</v>
      </c>
      <c r="G6" s="11">
        <v>5540000</v>
      </c>
    </row>
    <row r="7" spans="1:7" ht="15.75" customHeight="1" x14ac:dyDescent="0.25">
      <c r="A7" s="7">
        <v>4</v>
      </c>
      <c r="B7" s="8" t="s">
        <v>15</v>
      </c>
      <c r="C7" s="12" t="s">
        <v>13</v>
      </c>
      <c r="D7" s="10">
        <v>40</v>
      </c>
      <c r="E7" s="10">
        <v>600</v>
      </c>
      <c r="F7" s="10" t="s">
        <v>11</v>
      </c>
      <c r="G7" s="11">
        <v>5909000</v>
      </c>
    </row>
    <row r="8" spans="1:7" ht="15.75" customHeight="1" x14ac:dyDescent="0.25">
      <c r="A8" s="7">
        <v>5</v>
      </c>
      <c r="B8" s="8" t="s">
        <v>16</v>
      </c>
      <c r="C8" s="13" t="s">
        <v>13</v>
      </c>
      <c r="D8" s="10">
        <v>40</v>
      </c>
      <c r="E8" s="10">
        <v>600</v>
      </c>
      <c r="F8" s="10" t="s">
        <v>11</v>
      </c>
      <c r="G8" s="11">
        <v>6279000</v>
      </c>
    </row>
    <row r="9" spans="1:7" ht="15.75" customHeight="1" x14ac:dyDescent="0.25">
      <c r="A9" s="4"/>
      <c r="B9" s="5" t="s">
        <v>17</v>
      </c>
      <c r="C9" s="14"/>
      <c r="D9" s="14"/>
      <c r="E9" s="14"/>
      <c r="F9" s="15"/>
      <c r="G9" s="14"/>
    </row>
    <row r="10" spans="1:7" ht="15.75" customHeight="1" x14ac:dyDescent="0.25">
      <c r="A10" s="7">
        <v>1</v>
      </c>
      <c r="B10" s="8" t="s">
        <v>18</v>
      </c>
      <c r="C10" s="16" t="s">
        <v>19</v>
      </c>
      <c r="D10" s="10">
        <v>40</v>
      </c>
      <c r="E10" s="10">
        <v>600</v>
      </c>
      <c r="F10" s="10" t="s">
        <v>11</v>
      </c>
      <c r="G10" s="11">
        <v>6236000</v>
      </c>
    </row>
    <row r="11" spans="1:7" ht="15.75" customHeight="1" x14ac:dyDescent="0.25">
      <c r="A11" s="7">
        <v>2</v>
      </c>
      <c r="B11" s="8" t="s">
        <v>20</v>
      </c>
      <c r="C11" s="16" t="s">
        <v>19</v>
      </c>
      <c r="D11" s="10">
        <v>40</v>
      </c>
      <c r="E11" s="10">
        <v>700</v>
      </c>
      <c r="F11" s="10" t="s">
        <v>11</v>
      </c>
      <c r="G11" s="11">
        <v>7153000</v>
      </c>
    </row>
    <row r="12" spans="1:7" ht="15.75" customHeight="1" x14ac:dyDescent="0.25">
      <c r="A12" s="7">
        <v>3</v>
      </c>
      <c r="B12" s="8" t="s">
        <v>21</v>
      </c>
      <c r="C12" s="16" t="s">
        <v>19</v>
      </c>
      <c r="D12" s="10">
        <v>40</v>
      </c>
      <c r="E12" s="10">
        <v>800</v>
      </c>
      <c r="F12" s="10" t="s">
        <v>11</v>
      </c>
      <c r="G12" s="11">
        <v>8070000</v>
      </c>
    </row>
    <row r="13" spans="1:7" ht="15.75" customHeight="1" x14ac:dyDescent="0.25">
      <c r="A13" s="7">
        <v>4</v>
      </c>
      <c r="B13" s="8" t="s">
        <v>22</v>
      </c>
      <c r="C13" s="16" t="s">
        <v>19</v>
      </c>
      <c r="D13" s="10">
        <v>40</v>
      </c>
      <c r="E13" s="10">
        <v>900</v>
      </c>
      <c r="F13" s="10" t="s">
        <v>11</v>
      </c>
      <c r="G13" s="11">
        <v>8988000</v>
      </c>
    </row>
    <row r="14" spans="1:7" ht="15.75" customHeight="1" x14ac:dyDescent="0.25">
      <c r="A14" s="7">
        <v>5</v>
      </c>
      <c r="B14" s="8" t="s">
        <v>23</v>
      </c>
      <c r="C14" s="16" t="s">
        <v>19</v>
      </c>
      <c r="D14" s="10">
        <v>40</v>
      </c>
      <c r="E14" s="10">
        <v>1000</v>
      </c>
      <c r="F14" s="10" t="s">
        <v>11</v>
      </c>
      <c r="G14" s="11">
        <v>9905000</v>
      </c>
    </row>
    <row r="15" spans="1:7" ht="15.75" customHeight="1" x14ac:dyDescent="0.25">
      <c r="A15" s="7">
        <v>6</v>
      </c>
      <c r="B15" s="8" t="s">
        <v>24</v>
      </c>
      <c r="C15" s="16" t="s">
        <v>19</v>
      </c>
      <c r="D15" s="10">
        <v>40</v>
      </c>
      <c r="E15" s="10">
        <v>1100</v>
      </c>
      <c r="F15" s="10" t="s">
        <v>11</v>
      </c>
      <c r="G15" s="11">
        <v>10822000</v>
      </c>
    </row>
    <row r="16" spans="1:7" ht="15.75" customHeight="1" x14ac:dyDescent="0.25">
      <c r="A16" s="7">
        <v>7</v>
      </c>
      <c r="B16" s="8" t="s">
        <v>25</v>
      </c>
      <c r="C16" s="16" t="s">
        <v>19</v>
      </c>
      <c r="D16" s="10">
        <v>40</v>
      </c>
      <c r="E16" s="10">
        <v>1200</v>
      </c>
      <c r="F16" s="10" t="s">
        <v>11</v>
      </c>
      <c r="G16" s="11">
        <v>11739000</v>
      </c>
    </row>
    <row r="17" spans="1:7" ht="15.75" customHeight="1" x14ac:dyDescent="0.25">
      <c r="A17" s="7">
        <v>8</v>
      </c>
      <c r="B17" s="8" t="s">
        <v>26</v>
      </c>
      <c r="C17" s="16" t="s">
        <v>19</v>
      </c>
      <c r="D17" s="10">
        <v>40</v>
      </c>
      <c r="E17" s="10">
        <v>1300</v>
      </c>
      <c r="F17" s="10" t="s">
        <v>11</v>
      </c>
      <c r="G17" s="11">
        <v>12656000</v>
      </c>
    </row>
    <row r="18" spans="1:7" ht="15.75" customHeight="1" x14ac:dyDescent="0.25">
      <c r="A18" s="7">
        <v>9</v>
      </c>
      <c r="B18" s="8" t="s">
        <v>27</v>
      </c>
      <c r="C18" s="16" t="s">
        <v>19</v>
      </c>
      <c r="D18" s="10">
        <v>40</v>
      </c>
      <c r="E18" s="10">
        <v>1500</v>
      </c>
      <c r="F18" s="10" t="s">
        <v>11</v>
      </c>
      <c r="G18" s="11">
        <v>14489000</v>
      </c>
    </row>
    <row r="19" spans="1:7" ht="15.75" customHeight="1" x14ac:dyDescent="0.25">
      <c r="A19" s="4"/>
      <c r="B19" s="5" t="s">
        <v>28</v>
      </c>
      <c r="C19" s="17"/>
      <c r="D19" s="14"/>
      <c r="E19" s="14"/>
      <c r="F19" s="14"/>
      <c r="G19" s="14"/>
    </row>
    <row r="20" spans="1:7" ht="15.75" customHeight="1" x14ac:dyDescent="0.25">
      <c r="A20" s="7">
        <v>1</v>
      </c>
      <c r="B20" s="8" t="s">
        <v>29</v>
      </c>
      <c r="C20" s="16" t="s">
        <v>30</v>
      </c>
      <c r="D20" s="10">
        <v>40</v>
      </c>
      <c r="E20" s="10">
        <v>600</v>
      </c>
      <c r="F20" s="10" t="s">
        <v>11</v>
      </c>
      <c r="G20" s="11">
        <v>5198000</v>
      </c>
    </row>
    <row r="21" spans="1:7" ht="15.75" customHeight="1" x14ac:dyDescent="0.25">
      <c r="A21" s="7">
        <v>2</v>
      </c>
      <c r="B21" s="8" t="s">
        <v>31</v>
      </c>
      <c r="C21" s="16" t="s">
        <v>32</v>
      </c>
      <c r="D21" s="10">
        <v>40</v>
      </c>
      <c r="E21" s="10">
        <v>800</v>
      </c>
      <c r="F21" s="10" t="s">
        <v>11</v>
      </c>
      <c r="G21" s="11">
        <v>6726000</v>
      </c>
    </row>
    <row r="22" spans="1:7" ht="15.75" customHeight="1" x14ac:dyDescent="0.25">
      <c r="A22" s="7">
        <v>3</v>
      </c>
      <c r="B22" s="8" t="s">
        <v>33</v>
      </c>
      <c r="C22" s="16" t="s">
        <v>34</v>
      </c>
      <c r="D22" s="10">
        <v>40</v>
      </c>
      <c r="E22" s="10">
        <v>900</v>
      </c>
      <c r="F22" s="10" t="s">
        <v>11</v>
      </c>
      <c r="G22" s="11">
        <v>7490000</v>
      </c>
    </row>
    <row r="23" spans="1:7" ht="15.75" customHeight="1" x14ac:dyDescent="0.25">
      <c r="A23" s="7">
        <v>4</v>
      </c>
      <c r="B23" s="8" t="s">
        <v>35</v>
      </c>
      <c r="C23" s="16"/>
      <c r="D23" s="10">
        <v>40</v>
      </c>
      <c r="E23" s="10">
        <v>1000</v>
      </c>
      <c r="F23" s="10" t="s">
        <v>11</v>
      </c>
      <c r="G23" s="11">
        <v>8255000</v>
      </c>
    </row>
    <row r="24" spans="1:7" ht="15.75" customHeight="1" x14ac:dyDescent="0.25">
      <c r="A24" s="7">
        <v>5</v>
      </c>
      <c r="B24" s="8" t="s">
        <v>36</v>
      </c>
      <c r="C24" s="16"/>
      <c r="D24" s="10">
        <v>40</v>
      </c>
      <c r="E24" s="10">
        <v>1200</v>
      </c>
      <c r="F24" s="10" t="s">
        <v>11</v>
      </c>
      <c r="G24" s="11">
        <v>9782000</v>
      </c>
    </row>
    <row r="25" spans="1:7" ht="15.75" customHeight="1" x14ac:dyDescent="0.25">
      <c r="A25" s="4"/>
      <c r="B25" s="18" t="s">
        <v>37</v>
      </c>
      <c r="C25" s="19"/>
      <c r="D25" s="14"/>
      <c r="E25" s="14"/>
      <c r="F25" s="14"/>
      <c r="G25" s="14"/>
    </row>
    <row r="26" spans="1:7" ht="15.75" customHeight="1" x14ac:dyDescent="0.25">
      <c r="A26" s="4"/>
      <c r="B26" s="5" t="s">
        <v>38</v>
      </c>
      <c r="C26" s="19" t="s">
        <v>39</v>
      </c>
      <c r="D26" s="14"/>
      <c r="E26" s="14"/>
      <c r="F26" s="15"/>
      <c r="G26" s="14"/>
    </row>
    <row r="27" spans="1:7" ht="15.75" customHeight="1" x14ac:dyDescent="0.25">
      <c r="A27" s="7">
        <v>1</v>
      </c>
      <c r="B27" s="8" t="s">
        <v>40</v>
      </c>
      <c r="C27" s="16" t="s">
        <v>41</v>
      </c>
      <c r="D27" s="10"/>
      <c r="E27" s="10">
        <v>200</v>
      </c>
      <c r="F27" s="10" t="s">
        <v>42</v>
      </c>
      <c r="G27" s="11">
        <v>1699000</v>
      </c>
    </row>
    <row r="28" spans="1:7" ht="15.75" customHeight="1" x14ac:dyDescent="0.25">
      <c r="A28" s="7">
        <v>1</v>
      </c>
      <c r="B28" s="8" t="s">
        <v>43</v>
      </c>
      <c r="C28" s="16" t="s">
        <v>41</v>
      </c>
      <c r="D28" s="10"/>
      <c r="E28" s="10">
        <v>300</v>
      </c>
      <c r="F28" s="10" t="s">
        <v>42</v>
      </c>
      <c r="G28" s="11">
        <v>2549000</v>
      </c>
    </row>
    <row r="29" spans="1:7" ht="15.75" customHeight="1" x14ac:dyDescent="0.25">
      <c r="A29" s="7">
        <v>3</v>
      </c>
      <c r="B29" s="8" t="s">
        <v>44</v>
      </c>
      <c r="C29" s="16" t="s">
        <v>41</v>
      </c>
      <c r="D29" s="10"/>
      <c r="E29" s="10">
        <v>400</v>
      </c>
      <c r="F29" s="10" t="s">
        <v>42</v>
      </c>
      <c r="G29" s="11">
        <v>3398000</v>
      </c>
    </row>
    <row r="30" spans="1:7" ht="15.75" customHeight="1" x14ac:dyDescent="0.25">
      <c r="A30" s="7">
        <v>4</v>
      </c>
      <c r="B30" s="8" t="s">
        <v>45</v>
      </c>
      <c r="C30" s="16" t="s">
        <v>41</v>
      </c>
      <c r="D30" s="10"/>
      <c r="E30" s="10">
        <v>500</v>
      </c>
      <c r="F30" s="10" t="s">
        <v>42</v>
      </c>
      <c r="G30" s="11">
        <v>4246000</v>
      </c>
    </row>
    <row r="31" spans="1:7" ht="15.75" customHeight="1" x14ac:dyDescent="0.25">
      <c r="A31" s="7">
        <v>5</v>
      </c>
      <c r="B31" s="8" t="s">
        <v>46</v>
      </c>
      <c r="C31" s="16" t="s">
        <v>41</v>
      </c>
      <c r="D31" s="10"/>
      <c r="E31" s="10">
        <v>600</v>
      </c>
      <c r="F31" s="10" t="s">
        <v>42</v>
      </c>
      <c r="G31" s="11">
        <v>5096000</v>
      </c>
    </row>
    <row r="32" spans="1:7" ht="15.75" customHeight="1" x14ac:dyDescent="0.25">
      <c r="A32" s="7">
        <v>6</v>
      </c>
      <c r="B32" s="8" t="s">
        <v>47</v>
      </c>
      <c r="C32" s="16" t="s">
        <v>41</v>
      </c>
      <c r="D32" s="10"/>
      <c r="E32" s="10">
        <v>800</v>
      </c>
      <c r="F32" s="10" t="s">
        <v>42</v>
      </c>
      <c r="G32" s="11">
        <v>6793000</v>
      </c>
    </row>
    <row r="33" spans="1:7" ht="15.75" customHeight="1" x14ac:dyDescent="0.25">
      <c r="A33" s="7">
        <v>7</v>
      </c>
      <c r="B33" s="8" t="s">
        <v>48</v>
      </c>
      <c r="C33" s="16" t="s">
        <v>41</v>
      </c>
      <c r="D33" s="10"/>
      <c r="E33" s="10">
        <v>900</v>
      </c>
      <c r="F33" s="10" t="s">
        <v>42</v>
      </c>
      <c r="G33" s="11">
        <v>7643000</v>
      </c>
    </row>
    <row r="34" spans="1:7" ht="15.75" customHeight="1" x14ac:dyDescent="0.25">
      <c r="A34" s="20">
        <v>8</v>
      </c>
      <c r="B34" s="21" t="s">
        <v>49</v>
      </c>
      <c r="C34" s="22" t="s">
        <v>41</v>
      </c>
      <c r="D34" s="23"/>
      <c r="E34" s="23">
        <v>1000</v>
      </c>
      <c r="F34" s="23" t="s">
        <v>42</v>
      </c>
      <c r="G34" s="24">
        <v>8492000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4"/>
  <sheetViews>
    <sheetView workbookViewId="0">
      <pane ySplit="6" topLeftCell="A29" activePane="bottomLeft" state="frozen"/>
      <selection pane="bottomLeft" activeCell="D35" sqref="D35"/>
    </sheetView>
  </sheetViews>
  <sheetFormatPr defaultColWidth="12.5703125" defaultRowHeight="15.75" customHeight="1" x14ac:dyDescent="0.2"/>
  <cols>
    <col min="1" max="1" width="24.5703125" customWidth="1"/>
    <col min="2" max="2" width="34.42578125" customWidth="1"/>
    <col min="3" max="3" width="7.7109375" customWidth="1"/>
    <col min="4" max="4" width="25.140625" customWidth="1"/>
    <col min="5" max="5" width="2.42578125" customWidth="1"/>
  </cols>
  <sheetData>
    <row r="1" spans="1:6" ht="12.75" x14ac:dyDescent="0.2">
      <c r="A1" s="150" t="s">
        <v>50</v>
      </c>
      <c r="B1" s="149"/>
      <c r="C1" s="149"/>
      <c r="D1" s="149"/>
      <c r="E1" s="25"/>
    </row>
    <row r="2" spans="1:6" ht="12.75" x14ac:dyDescent="0.2">
      <c r="A2" s="149"/>
      <c r="B2" s="149"/>
      <c r="C2" s="149"/>
      <c r="D2" s="149"/>
      <c r="E2" s="25"/>
    </row>
    <row r="3" spans="1:6" ht="20.25" x14ac:dyDescent="0.3">
      <c r="A3" s="151" t="s">
        <v>51</v>
      </c>
      <c r="B3" s="149"/>
      <c r="C3" s="149"/>
      <c r="D3" s="149"/>
      <c r="E3" s="25"/>
    </row>
    <row r="4" spans="1:6" ht="12.75" x14ac:dyDescent="0.2">
      <c r="A4" s="152" t="s">
        <v>52</v>
      </c>
      <c r="B4" s="149"/>
      <c r="C4" s="149"/>
      <c r="D4" s="149"/>
      <c r="E4" s="25"/>
    </row>
    <row r="5" spans="1:6" ht="21.75" x14ac:dyDescent="0.3">
      <c r="A5" s="153" t="s">
        <v>53</v>
      </c>
      <c r="B5" s="149"/>
      <c r="C5" s="149"/>
      <c r="D5" s="149"/>
      <c r="E5" s="25"/>
    </row>
    <row r="6" spans="1:6" ht="18" x14ac:dyDescent="0.25">
      <c r="A6" s="26" t="s">
        <v>54</v>
      </c>
      <c r="B6" s="26" t="s">
        <v>2</v>
      </c>
      <c r="C6" s="26" t="s">
        <v>55</v>
      </c>
      <c r="D6" s="26" t="s">
        <v>56</v>
      </c>
      <c r="E6" s="25"/>
    </row>
    <row r="7" spans="1:6" ht="56.25" customHeight="1" x14ac:dyDescent="0.2">
      <c r="A7" s="27" t="e">
        <f ca="1">_xludf.image("https://lh3.google.com/u/0/d/1ITFkPFMM0AQrwYD5H2CcmNf-T4fO_QPE",1)</f>
        <v>#NAME?</v>
      </c>
      <c r="B7" s="28" t="s">
        <v>57</v>
      </c>
      <c r="C7" s="29" t="s">
        <v>58</v>
      </c>
      <c r="D7" s="30">
        <v>358000</v>
      </c>
      <c r="E7" s="25"/>
    </row>
    <row r="8" spans="1:6" ht="56.25" customHeight="1" x14ac:dyDescent="0.2">
      <c r="A8" s="31" t="e">
        <f ca="1">_xludf.image("https://lh3.google.com/u/0/d/1BToLBDgZIw1rxeR8Xi0ZpiiJhqcb84o6",1)</f>
        <v>#NAME?</v>
      </c>
      <c r="B8" s="28" t="s">
        <v>59</v>
      </c>
      <c r="C8" s="29" t="s">
        <v>58</v>
      </c>
      <c r="D8" s="30">
        <v>280000</v>
      </c>
      <c r="E8" s="25"/>
    </row>
    <row r="9" spans="1:6" ht="56.25" customHeight="1" x14ac:dyDescent="0.2">
      <c r="A9" s="27" t="e">
        <f ca="1">_xludf.image("https://lh3.google.com/u/0/d/11h9W5Wu7ePsU6vTlmuRFOAs4EGYl2ttI",1)</f>
        <v>#NAME?</v>
      </c>
      <c r="B9" s="28" t="s">
        <v>60</v>
      </c>
      <c r="C9" s="29" t="s">
        <v>58</v>
      </c>
      <c r="D9" s="30">
        <v>309000</v>
      </c>
      <c r="E9" s="25"/>
    </row>
    <row r="10" spans="1:6" ht="56.25" customHeight="1" x14ac:dyDescent="0.2">
      <c r="A10" s="27" t="e">
        <f ca="1">_xludf.image("https://lh3.google.com/u/0/d/1WwES8JvTWXvyiMKDB21oiyy8oVIMsnCX",1)</f>
        <v>#NAME?</v>
      </c>
      <c r="B10" s="28" t="s">
        <v>61</v>
      </c>
      <c r="C10" s="29" t="s">
        <v>58</v>
      </c>
      <c r="D10" s="30">
        <v>219000</v>
      </c>
      <c r="E10" s="25"/>
    </row>
    <row r="11" spans="1:6" ht="56.25" customHeight="1" x14ac:dyDescent="0.2">
      <c r="A11" s="27" t="e">
        <f ca="1">_xludf.image("https://lh3.google.com/u/0/d/1XUQbB4SglLsfD0wmXGF7LbL1BHPdo4Zv",1)</f>
        <v>#NAME?</v>
      </c>
      <c r="B11" s="28" t="s">
        <v>62</v>
      </c>
      <c r="C11" s="29" t="s">
        <v>58</v>
      </c>
      <c r="D11" s="30">
        <v>352000</v>
      </c>
      <c r="E11" s="25"/>
      <c r="F11" s="25"/>
    </row>
    <row r="12" spans="1:6" ht="56.25" customHeight="1" x14ac:dyDescent="0.2">
      <c r="A12" s="27" t="e">
        <f ca="1">_xludf.image("https://lh3.google.com/u/0/d/1oeVP7TGkaHyDT1s0Q4flU2PfN3sXL3tC",1)</f>
        <v>#NAME?</v>
      </c>
      <c r="B12" s="28" t="s">
        <v>63</v>
      </c>
      <c r="C12" s="29" t="s">
        <v>58</v>
      </c>
      <c r="D12" s="30">
        <v>322000</v>
      </c>
    </row>
    <row r="13" spans="1:6" ht="56.25" customHeight="1" x14ac:dyDescent="0.2">
      <c r="A13" s="27" t="e">
        <f t="shared" ref="A13:A15" ca="1" si="0">_xludf.image("https://lh3.google.com/u/0/d/1jxO5EMbkvWOTVnBQ2FjFXIXx_NHGjPxS",1)</f>
        <v>#NAME?</v>
      </c>
      <c r="B13" s="28" t="s">
        <v>64</v>
      </c>
      <c r="C13" s="29" t="s">
        <v>65</v>
      </c>
      <c r="D13" s="30">
        <v>474000</v>
      </c>
    </row>
    <row r="14" spans="1:6" ht="56.25" customHeight="1" x14ac:dyDescent="0.2">
      <c r="A14" s="27" t="e">
        <f t="shared" ca="1" si="0"/>
        <v>#NAME?</v>
      </c>
      <c r="B14" s="28" t="s">
        <v>66</v>
      </c>
      <c r="C14" s="29" t="s">
        <v>65</v>
      </c>
      <c r="D14" s="30">
        <v>583000</v>
      </c>
    </row>
    <row r="15" spans="1:6" ht="56.25" customHeight="1" x14ac:dyDescent="0.2">
      <c r="A15" s="27" t="e">
        <f t="shared" ca="1" si="0"/>
        <v>#NAME?</v>
      </c>
      <c r="B15" s="28" t="s">
        <v>67</v>
      </c>
      <c r="C15" s="29" t="s">
        <v>65</v>
      </c>
      <c r="D15" s="30">
        <v>711000</v>
      </c>
    </row>
    <row r="16" spans="1:6" ht="56.25" customHeight="1" x14ac:dyDescent="0.2">
      <c r="A16" s="27" t="e">
        <f ca="1">_xludf.image("https://lh3.google.com/u/0/d/1v7qiO4r5Ozbj8SX5N1FNb8lfASs7xvAt",1)</f>
        <v>#NAME?</v>
      </c>
      <c r="B16" s="28" t="s">
        <v>68</v>
      </c>
      <c r="C16" s="29" t="s">
        <v>65</v>
      </c>
      <c r="D16" s="30">
        <v>885000</v>
      </c>
    </row>
    <row r="17" spans="1:4" ht="56.25" customHeight="1" x14ac:dyDescent="0.2">
      <c r="A17" s="27" t="e">
        <f ca="1">_xludf.image("https://lh3.google.com/u/0/d/1yVf3jzArx8kZ63LthZdSFHJzz398HNZP",1)</f>
        <v>#NAME?</v>
      </c>
      <c r="B17" s="28" t="s">
        <v>69</v>
      </c>
      <c r="C17" s="29" t="s">
        <v>65</v>
      </c>
      <c r="D17" s="30">
        <v>1263000</v>
      </c>
    </row>
    <row r="18" spans="1:4" ht="56.25" customHeight="1" x14ac:dyDescent="0.2">
      <c r="A18" s="27" t="e">
        <f ca="1">_xludf.image("https://lh3.google.com/u/0/d/1Hu-gV2qyFD93NCK4QvpMBsfPrpvP9gLO",1)</f>
        <v>#NAME?</v>
      </c>
      <c r="B18" s="28" t="s">
        <v>70</v>
      </c>
      <c r="C18" s="29" t="s">
        <v>65</v>
      </c>
      <c r="D18" s="30">
        <v>255000</v>
      </c>
    </row>
    <row r="19" spans="1:4" ht="56.25" customHeight="1" x14ac:dyDescent="0.2">
      <c r="A19" s="27" t="e">
        <f ca="1">_xludf.image("https://lh3.google.com/u/0/d/1nhA3SOFvqLZ8PlGVWdDEXEPs8mkKfmP-",1)</f>
        <v>#NAME?</v>
      </c>
      <c r="B19" s="28" t="s">
        <v>71</v>
      </c>
      <c r="C19" s="29" t="s">
        <v>65</v>
      </c>
      <c r="D19" s="30">
        <v>189000</v>
      </c>
    </row>
    <row r="20" spans="1:4" ht="56.25" customHeight="1" x14ac:dyDescent="0.2">
      <c r="A20" s="27" t="e">
        <f ca="1">_xludf.image("https://lh3.google.com/u/0/d/1YMwTFMAwmGj6qw4vIb3XZgeWRn8kquUS",1)</f>
        <v>#NAME?</v>
      </c>
      <c r="B20" s="28" t="s">
        <v>72</v>
      </c>
      <c r="C20" s="29" t="s">
        <v>65</v>
      </c>
      <c r="D20" s="30">
        <v>59000</v>
      </c>
    </row>
    <row r="21" spans="1:4" ht="56.25" customHeight="1" x14ac:dyDescent="0.2">
      <c r="A21" s="32"/>
      <c r="B21" s="33" t="s">
        <v>73</v>
      </c>
      <c r="C21" s="34"/>
      <c r="D21" s="35"/>
    </row>
    <row r="22" spans="1:4" ht="56.25" customHeight="1" x14ac:dyDescent="0.2">
      <c r="A22" s="27" t="e">
        <f t="shared" ref="A22:A23" ca="1" si="1">_xludf.image("https://lh3.google.com/u/0/d/1qso9m3eQyu2D6Di_t0-NKcl1vFNera18",1)</f>
        <v>#NAME?</v>
      </c>
      <c r="B22" s="28" t="s">
        <v>74</v>
      </c>
      <c r="C22" s="29" t="s">
        <v>75</v>
      </c>
      <c r="D22" s="30">
        <v>843000</v>
      </c>
    </row>
    <row r="23" spans="1:4" ht="56.25" customHeight="1" x14ac:dyDescent="0.2">
      <c r="A23" s="27" t="e">
        <f t="shared" ca="1" si="1"/>
        <v>#NAME?</v>
      </c>
      <c r="B23" s="28" t="s">
        <v>76</v>
      </c>
      <c r="C23" s="29" t="s">
        <v>75</v>
      </c>
      <c r="D23" s="30">
        <v>915000</v>
      </c>
    </row>
    <row r="24" spans="1:4" ht="56.25" customHeight="1" x14ac:dyDescent="0.2">
      <c r="A24" s="27" t="e">
        <f t="shared" ref="A24:A25" ca="1" si="2">_xludf.image("https://lh3.google.com/u/0/d/10DZojVWmnR15FJawfH8N50H9ENZAn1se",1)</f>
        <v>#NAME?</v>
      </c>
      <c r="B24" s="28" t="s">
        <v>77</v>
      </c>
      <c r="C24" s="29" t="s">
        <v>78</v>
      </c>
      <c r="D24" s="30">
        <v>743000</v>
      </c>
    </row>
    <row r="25" spans="1:4" ht="56.25" customHeight="1" x14ac:dyDescent="0.2">
      <c r="A25" s="27" t="e">
        <f t="shared" ca="1" si="2"/>
        <v>#NAME?</v>
      </c>
      <c r="B25" s="28" t="s">
        <v>79</v>
      </c>
      <c r="C25" s="29" t="s">
        <v>78</v>
      </c>
      <c r="D25" s="30">
        <v>763000</v>
      </c>
    </row>
    <row r="26" spans="1:4" ht="56.25" customHeight="1" x14ac:dyDescent="0.2">
      <c r="A26" s="27"/>
      <c r="B26" s="28" t="s">
        <v>80</v>
      </c>
      <c r="C26" s="29" t="s">
        <v>78</v>
      </c>
      <c r="D26" s="30">
        <v>1050000</v>
      </c>
    </row>
    <row r="27" spans="1:4" ht="27.75" customHeight="1" x14ac:dyDescent="0.2">
      <c r="A27" s="32"/>
      <c r="B27" s="33" t="s">
        <v>81</v>
      </c>
      <c r="C27" s="34"/>
      <c r="D27" s="36" t="s">
        <v>82</v>
      </c>
    </row>
    <row r="28" spans="1:4" ht="56.25" customHeight="1" x14ac:dyDescent="0.2">
      <c r="A28" s="27" t="e">
        <f ca="1">_xludf.image("https://lh3.google.com/u/0/d/1RzRYl95WNO3-IB6hNIBZ-JGIqa-oRFDJ",1)</f>
        <v>#NAME?</v>
      </c>
      <c r="B28" s="28" t="s">
        <v>83</v>
      </c>
      <c r="C28" s="37"/>
      <c r="D28" s="30">
        <v>50000</v>
      </c>
    </row>
    <row r="29" spans="1:4" ht="56.25" customHeight="1" x14ac:dyDescent="0.2">
      <c r="A29" s="27" t="e">
        <f ca="1">_xludf.image("https://lh3.google.com/u/0/d/1LpiSssK-tlQq_4UvJdmRq4uj08zits2b",1)</f>
        <v>#NAME?</v>
      </c>
      <c r="B29" s="28" t="s">
        <v>84</v>
      </c>
      <c r="C29" s="37"/>
      <c r="D29" s="30">
        <v>172000</v>
      </c>
    </row>
    <row r="30" spans="1:4" ht="56.25" customHeight="1" x14ac:dyDescent="0.2">
      <c r="A30" s="27" t="e">
        <f ca="1">_xludf.image("https://lh3.google.com/u/0/d/1n-sfvjJ6_fTR3pTEFlOadoDZj84o1Coo",1)</f>
        <v>#NAME?</v>
      </c>
      <c r="B30" s="28" t="s">
        <v>85</v>
      </c>
      <c r="C30" s="37"/>
      <c r="D30" s="30">
        <v>183000</v>
      </c>
    </row>
    <row r="31" spans="1:4" ht="56.25" customHeight="1" x14ac:dyDescent="0.2">
      <c r="A31" s="27" t="e">
        <f ca="1">_xludf.image("https://lh3.google.com/u/0/d/193YL2nlJPrtx0OQ5fdTw-wlrHEoRFOPK",1)</f>
        <v>#NAME?</v>
      </c>
      <c r="B31" s="28" t="s">
        <v>86</v>
      </c>
      <c r="C31" s="37"/>
      <c r="D31" s="30">
        <v>573000</v>
      </c>
    </row>
    <row r="32" spans="1:4" ht="56.25" customHeight="1" x14ac:dyDescent="0.2">
      <c r="A32" s="27" t="e">
        <f ca="1">_xludf.image("https://lh3.google.com/u/0/d/1GnZ_ca_c3EURKljZoX9lKF_5faytg2HF",1)</f>
        <v>#NAME?</v>
      </c>
      <c r="B32" s="28" t="s">
        <v>87</v>
      </c>
      <c r="C32" s="37"/>
      <c r="D32" s="30">
        <v>412000</v>
      </c>
    </row>
    <row r="33" spans="4:4" ht="12.75" x14ac:dyDescent="0.2">
      <c r="D33" s="38"/>
    </row>
    <row r="34" spans="4:4" ht="12.75" x14ac:dyDescent="0.2">
      <c r="D34" s="38"/>
    </row>
  </sheetData>
  <mergeCells count="4">
    <mergeCell ref="A1:D2"/>
    <mergeCell ref="A3:D3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91"/>
  <sheetViews>
    <sheetView workbookViewId="0">
      <pane ySplit="4" topLeftCell="A5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24.28515625" customWidth="1"/>
    <col min="2" max="2" width="63.42578125" customWidth="1"/>
    <col min="3" max="3" width="13" customWidth="1"/>
    <col min="4" max="4" width="19.28515625" customWidth="1"/>
  </cols>
  <sheetData>
    <row r="1" spans="1:4" ht="12.75" x14ac:dyDescent="0.2">
      <c r="A1" s="163" t="s">
        <v>88</v>
      </c>
      <c r="B1" s="149"/>
      <c r="C1" s="149"/>
      <c r="D1" s="149"/>
    </row>
    <row r="2" spans="1:4" ht="15.75" customHeight="1" x14ac:dyDescent="0.2">
      <c r="A2" s="149"/>
      <c r="B2" s="149"/>
      <c r="C2" s="149"/>
      <c r="D2" s="149"/>
    </row>
    <row r="3" spans="1:4" x14ac:dyDescent="0.2">
      <c r="A3" s="164">
        <v>46175</v>
      </c>
      <c r="B3" s="149"/>
      <c r="C3" s="149"/>
      <c r="D3" s="149"/>
    </row>
    <row r="4" spans="1:4" ht="16.5" x14ac:dyDescent="0.35">
      <c r="A4" s="39" t="s">
        <v>54</v>
      </c>
      <c r="B4" s="40" t="s">
        <v>3</v>
      </c>
      <c r="C4" s="41" t="s">
        <v>89</v>
      </c>
      <c r="D4" s="41" t="s">
        <v>90</v>
      </c>
    </row>
    <row r="5" spans="1:4" ht="18" x14ac:dyDescent="0.2">
      <c r="A5" s="27"/>
      <c r="B5" s="42" t="s">
        <v>91</v>
      </c>
      <c r="C5" s="43"/>
      <c r="D5" s="44">
        <v>57000</v>
      </c>
    </row>
    <row r="6" spans="1:4" ht="18" x14ac:dyDescent="0.2">
      <c r="A6" s="27"/>
      <c r="B6" s="42" t="s">
        <v>92</v>
      </c>
      <c r="C6" s="43"/>
      <c r="D6" s="44">
        <v>128000</v>
      </c>
    </row>
    <row r="7" spans="1:4" ht="18" x14ac:dyDescent="0.2">
      <c r="A7" s="27"/>
      <c r="B7" s="42" t="s">
        <v>93</v>
      </c>
      <c r="C7" s="45"/>
      <c r="D7" s="44">
        <v>255000</v>
      </c>
    </row>
    <row r="8" spans="1:4" ht="19.5" x14ac:dyDescent="0.2">
      <c r="A8" s="162" t="s">
        <v>94</v>
      </c>
      <c r="B8" s="158"/>
      <c r="C8" s="158"/>
      <c r="D8" s="158"/>
    </row>
    <row r="9" spans="1:4" ht="18" x14ac:dyDescent="0.2">
      <c r="A9" s="160" t="e">
        <f ca="1">_xludf.image("https://lh3.google.com/u/0/d/1NoLoTLLodaR5u4SyxlQQD0I3uVKCdH_E",1)</f>
        <v>#NAME?</v>
      </c>
      <c r="B9" s="46" t="s">
        <v>95</v>
      </c>
      <c r="C9" s="47"/>
      <c r="D9" s="48"/>
    </row>
    <row r="10" spans="1:4" ht="18" x14ac:dyDescent="0.2">
      <c r="A10" s="155"/>
      <c r="B10" s="42" t="s">
        <v>96</v>
      </c>
      <c r="C10" s="43"/>
      <c r="D10" s="44">
        <v>3680000</v>
      </c>
    </row>
    <row r="11" spans="1:4" ht="18" x14ac:dyDescent="0.2">
      <c r="A11" s="155"/>
      <c r="B11" s="42" t="s">
        <v>97</v>
      </c>
      <c r="C11" s="43"/>
      <c r="D11" s="44">
        <v>3840000</v>
      </c>
    </row>
    <row r="12" spans="1:4" ht="18" x14ac:dyDescent="0.2">
      <c r="A12" s="155"/>
      <c r="B12" s="42" t="s">
        <v>98</v>
      </c>
      <c r="C12" s="43"/>
      <c r="D12" s="44">
        <v>3990000</v>
      </c>
    </row>
    <row r="13" spans="1:4" ht="18" x14ac:dyDescent="0.2">
      <c r="A13" s="155"/>
      <c r="B13" s="42" t="s">
        <v>99</v>
      </c>
      <c r="C13" s="43"/>
      <c r="D13" s="44">
        <v>4150000</v>
      </c>
    </row>
    <row r="14" spans="1:4" ht="18" x14ac:dyDescent="0.2">
      <c r="A14" s="155"/>
      <c r="B14" s="42" t="s">
        <v>100</v>
      </c>
      <c r="C14" s="43"/>
      <c r="D14" s="44">
        <v>4470000</v>
      </c>
    </row>
    <row r="15" spans="1:4" ht="18" x14ac:dyDescent="0.2">
      <c r="A15" s="155"/>
      <c r="B15" s="42" t="s">
        <v>101</v>
      </c>
      <c r="C15" s="43"/>
      <c r="D15" s="44">
        <v>4630000</v>
      </c>
    </row>
    <row r="16" spans="1:4" ht="18" x14ac:dyDescent="0.2">
      <c r="A16" s="155"/>
      <c r="B16" s="42" t="s">
        <v>102</v>
      </c>
      <c r="C16" s="43"/>
      <c r="D16" s="44">
        <v>4790000</v>
      </c>
    </row>
    <row r="17" spans="1:4" ht="18" x14ac:dyDescent="0.2">
      <c r="A17" s="155"/>
      <c r="B17" s="42" t="s">
        <v>103</v>
      </c>
      <c r="C17" s="43"/>
      <c r="D17" s="44">
        <v>5110000</v>
      </c>
    </row>
    <row r="18" spans="1:4" ht="18" x14ac:dyDescent="0.2">
      <c r="A18" s="155"/>
      <c r="B18" s="42" t="s">
        <v>104</v>
      </c>
      <c r="C18" s="43"/>
      <c r="D18" s="44">
        <v>5420000</v>
      </c>
    </row>
    <row r="19" spans="1:4" ht="18" x14ac:dyDescent="0.2">
      <c r="A19" s="155"/>
      <c r="B19" s="42" t="s">
        <v>105</v>
      </c>
      <c r="C19" s="43"/>
      <c r="D19" s="44">
        <v>5740000</v>
      </c>
    </row>
    <row r="20" spans="1:4" ht="18" x14ac:dyDescent="0.2">
      <c r="A20" s="155"/>
      <c r="B20" s="42" t="s">
        <v>106</v>
      </c>
      <c r="C20" s="43"/>
      <c r="D20" s="44">
        <v>6060000</v>
      </c>
    </row>
    <row r="21" spans="1:4" ht="18" x14ac:dyDescent="0.2">
      <c r="A21" s="155"/>
      <c r="B21" s="46" t="s">
        <v>107</v>
      </c>
      <c r="C21" s="47"/>
      <c r="D21" s="48"/>
    </row>
    <row r="22" spans="1:4" ht="18" x14ac:dyDescent="0.2">
      <c r="A22" s="155"/>
      <c r="B22" s="42" t="s">
        <v>108</v>
      </c>
      <c r="C22" s="43"/>
      <c r="D22" s="44">
        <v>4390000</v>
      </c>
    </row>
    <row r="23" spans="1:4" ht="18" x14ac:dyDescent="0.2">
      <c r="A23" s="155"/>
      <c r="B23" s="42" t="s">
        <v>109</v>
      </c>
      <c r="C23" s="43"/>
      <c r="D23" s="44">
        <v>5110000</v>
      </c>
    </row>
    <row r="24" spans="1:4" ht="18" x14ac:dyDescent="0.2">
      <c r="A24" s="155"/>
      <c r="B24" s="42" t="s">
        <v>110</v>
      </c>
      <c r="C24" s="43"/>
      <c r="D24" s="44">
        <v>5470000</v>
      </c>
    </row>
    <row r="25" spans="1:4" ht="18" x14ac:dyDescent="0.2">
      <c r="A25" s="155"/>
      <c r="B25" s="42" t="s">
        <v>111</v>
      </c>
      <c r="C25" s="43"/>
      <c r="D25" s="44">
        <v>5690000</v>
      </c>
    </row>
    <row r="26" spans="1:4" ht="18" x14ac:dyDescent="0.2">
      <c r="A26" s="155"/>
      <c r="B26" s="42" t="s">
        <v>112</v>
      </c>
      <c r="C26" s="43"/>
      <c r="D26" s="44">
        <v>5830000</v>
      </c>
    </row>
    <row r="27" spans="1:4" ht="18" x14ac:dyDescent="0.2">
      <c r="A27" s="155"/>
      <c r="B27" s="42" t="s">
        <v>113</v>
      </c>
      <c r="C27" s="43"/>
      <c r="D27" s="44">
        <v>6190000</v>
      </c>
    </row>
    <row r="28" spans="1:4" ht="18" x14ac:dyDescent="0.2">
      <c r="A28" s="156"/>
      <c r="B28" s="42" t="s">
        <v>114</v>
      </c>
      <c r="C28" s="43"/>
      <c r="D28" s="44">
        <v>6550000</v>
      </c>
    </row>
    <row r="29" spans="1:4" ht="19.5" x14ac:dyDescent="0.2">
      <c r="A29" s="162" t="s">
        <v>115</v>
      </c>
      <c r="B29" s="158"/>
      <c r="C29" s="158"/>
      <c r="D29" s="158"/>
    </row>
    <row r="30" spans="1:4" ht="18" x14ac:dyDescent="0.2">
      <c r="A30" s="160" t="e">
        <f ca="1">_xludf.image("https://lh3.google.com/u/0/d/1LheyycFn9tc-785DhFR8W7urjpoVD9g8",1)</f>
        <v>#NAME?</v>
      </c>
      <c r="B30" s="49" t="s">
        <v>116</v>
      </c>
      <c r="C30" s="43"/>
      <c r="D30" s="50"/>
    </row>
    <row r="31" spans="1:4" ht="18" x14ac:dyDescent="0.2">
      <c r="A31" s="155"/>
      <c r="B31" s="42" t="s">
        <v>117</v>
      </c>
      <c r="C31" s="43"/>
      <c r="D31" s="44">
        <v>1145000</v>
      </c>
    </row>
    <row r="32" spans="1:4" ht="18" x14ac:dyDescent="0.2">
      <c r="A32" s="155"/>
      <c r="B32" s="42" t="s">
        <v>118</v>
      </c>
      <c r="C32" s="43"/>
      <c r="D32" s="44">
        <v>1153000</v>
      </c>
    </row>
    <row r="33" spans="1:4" ht="18" x14ac:dyDescent="0.2">
      <c r="A33" s="155"/>
      <c r="B33" s="42" t="s">
        <v>119</v>
      </c>
      <c r="C33" s="43"/>
      <c r="D33" s="44">
        <v>1196000</v>
      </c>
    </row>
    <row r="34" spans="1:4" ht="18" x14ac:dyDescent="0.2">
      <c r="A34" s="155"/>
      <c r="B34" s="42" t="s">
        <v>120</v>
      </c>
      <c r="C34" s="43"/>
      <c r="D34" s="44">
        <v>1349000</v>
      </c>
    </row>
    <row r="35" spans="1:4" ht="18" x14ac:dyDescent="0.2">
      <c r="A35" s="154" t="e">
        <f ca="1">_xludf.image("https://lh3.google.com/u/0/d/1I1uqCfmPZL1b1tGV3ZxBAHUQQZ7CjUUs",1)</f>
        <v>#NAME?</v>
      </c>
      <c r="B35" s="42" t="s">
        <v>121</v>
      </c>
      <c r="C35" s="43"/>
      <c r="D35" s="44">
        <v>1451000</v>
      </c>
    </row>
    <row r="36" spans="1:4" ht="18" x14ac:dyDescent="0.2">
      <c r="A36" s="155"/>
      <c r="B36" s="42" t="s">
        <v>122</v>
      </c>
      <c r="C36" s="43"/>
      <c r="D36" s="44">
        <v>1554000</v>
      </c>
    </row>
    <row r="37" spans="1:4" ht="18" x14ac:dyDescent="0.2">
      <c r="A37" s="155"/>
      <c r="B37" s="42" t="s">
        <v>123</v>
      </c>
      <c r="C37" s="50"/>
      <c r="D37" s="44">
        <v>1758000</v>
      </c>
    </row>
    <row r="38" spans="1:4" ht="18" x14ac:dyDescent="0.2">
      <c r="A38" s="155"/>
      <c r="B38" s="49" t="s">
        <v>124</v>
      </c>
      <c r="C38" s="43"/>
      <c r="D38" s="50"/>
    </row>
    <row r="39" spans="1:4" ht="18" x14ac:dyDescent="0.2">
      <c r="A39" s="155"/>
      <c r="B39" s="42" t="s">
        <v>125</v>
      </c>
      <c r="C39" s="43"/>
      <c r="D39" s="44">
        <v>2545000</v>
      </c>
    </row>
    <row r="40" spans="1:4" ht="18" x14ac:dyDescent="0.2">
      <c r="A40" s="155"/>
      <c r="B40" s="42" t="s">
        <v>126</v>
      </c>
      <c r="C40" s="43"/>
      <c r="D40" s="44">
        <v>2553000</v>
      </c>
    </row>
    <row r="41" spans="1:4" ht="18" x14ac:dyDescent="0.2">
      <c r="A41" s="155"/>
      <c r="B41" s="42" t="s">
        <v>127</v>
      </c>
      <c r="C41" s="43"/>
      <c r="D41" s="44">
        <v>2596000</v>
      </c>
    </row>
    <row r="42" spans="1:4" ht="18" x14ac:dyDescent="0.2">
      <c r="A42" s="155"/>
      <c r="B42" s="42" t="s">
        <v>128</v>
      </c>
      <c r="C42" s="43"/>
      <c r="D42" s="44">
        <v>2749000</v>
      </c>
    </row>
    <row r="43" spans="1:4" ht="18" x14ac:dyDescent="0.2">
      <c r="A43" s="155"/>
      <c r="B43" s="42" t="s">
        <v>129</v>
      </c>
      <c r="C43" s="43"/>
      <c r="D43" s="44">
        <v>2766000</v>
      </c>
    </row>
    <row r="44" spans="1:4" ht="18" x14ac:dyDescent="0.2">
      <c r="A44" s="155"/>
      <c r="B44" s="42" t="s">
        <v>130</v>
      </c>
      <c r="C44" s="43"/>
      <c r="D44" s="44">
        <v>2562000</v>
      </c>
    </row>
    <row r="45" spans="1:4" ht="18" x14ac:dyDescent="0.2">
      <c r="A45" s="155"/>
      <c r="B45" s="42" t="s">
        <v>131</v>
      </c>
      <c r="C45" s="43"/>
      <c r="D45" s="44">
        <v>2604000</v>
      </c>
    </row>
    <row r="46" spans="1:4" ht="18" x14ac:dyDescent="0.2">
      <c r="A46" s="155"/>
      <c r="B46" s="42" t="s">
        <v>132</v>
      </c>
      <c r="C46" s="43"/>
      <c r="D46" s="44">
        <v>2757000</v>
      </c>
    </row>
    <row r="47" spans="1:4" ht="18" x14ac:dyDescent="0.2">
      <c r="A47" s="155"/>
      <c r="B47" s="42" t="s">
        <v>133</v>
      </c>
      <c r="C47" s="43"/>
      <c r="D47" s="44">
        <v>2774000</v>
      </c>
    </row>
    <row r="48" spans="1:4" ht="18" x14ac:dyDescent="0.2">
      <c r="A48" s="155"/>
      <c r="B48" s="42" t="s">
        <v>134</v>
      </c>
      <c r="C48" s="43"/>
      <c r="D48" s="44">
        <v>2647000</v>
      </c>
    </row>
    <row r="49" spans="1:4" ht="18" x14ac:dyDescent="0.2">
      <c r="A49" s="155"/>
      <c r="B49" s="42" t="s">
        <v>135</v>
      </c>
      <c r="C49" s="43"/>
      <c r="D49" s="44">
        <v>2800000</v>
      </c>
    </row>
    <row r="50" spans="1:4" ht="18" x14ac:dyDescent="0.2">
      <c r="A50" s="155"/>
      <c r="B50" s="42" t="s">
        <v>136</v>
      </c>
      <c r="C50" s="43"/>
      <c r="D50" s="44">
        <v>2817000</v>
      </c>
    </row>
    <row r="51" spans="1:4" ht="18" x14ac:dyDescent="0.2">
      <c r="A51" s="155"/>
      <c r="B51" s="42" t="s">
        <v>137</v>
      </c>
      <c r="C51" s="43"/>
      <c r="D51" s="44">
        <v>2953000</v>
      </c>
    </row>
    <row r="52" spans="1:4" ht="18" x14ac:dyDescent="0.2">
      <c r="A52" s="155"/>
      <c r="B52" s="42" t="s">
        <v>138</v>
      </c>
      <c r="C52" s="43"/>
      <c r="D52" s="44">
        <v>2970000</v>
      </c>
    </row>
    <row r="53" spans="1:4" ht="18" x14ac:dyDescent="0.2">
      <c r="A53" s="156"/>
      <c r="B53" s="42" t="s">
        <v>139</v>
      </c>
      <c r="C53" s="45"/>
      <c r="D53" s="44">
        <v>2987000</v>
      </c>
    </row>
    <row r="54" spans="1:4" ht="19.5" x14ac:dyDescent="0.2">
      <c r="A54" s="162" t="s">
        <v>140</v>
      </c>
      <c r="B54" s="158"/>
      <c r="C54" s="158"/>
      <c r="D54" s="158"/>
    </row>
    <row r="55" spans="1:4" ht="18" x14ac:dyDescent="0.2">
      <c r="A55" s="157" t="e">
        <f ca="1">_xludf.image("https://lh3.google.com/u/0/d/1Mto3JlK3m8N31rknxVZhVA9HY0s_RpG2",1)</f>
        <v>#NAME?</v>
      </c>
      <c r="B55" s="49" t="s">
        <v>141</v>
      </c>
      <c r="C55" s="43"/>
      <c r="D55" s="43"/>
    </row>
    <row r="56" spans="1:4" ht="18" x14ac:dyDescent="0.2">
      <c r="A56" s="149"/>
      <c r="B56" s="42" t="s">
        <v>142</v>
      </c>
      <c r="C56" s="43"/>
      <c r="D56" s="44">
        <v>600000</v>
      </c>
    </row>
    <row r="57" spans="1:4" ht="18" x14ac:dyDescent="0.2">
      <c r="A57" s="149"/>
      <c r="B57" s="42" t="s">
        <v>143</v>
      </c>
      <c r="C57" s="43"/>
      <c r="D57" s="44">
        <v>605000</v>
      </c>
    </row>
    <row r="58" spans="1:4" ht="18" x14ac:dyDescent="0.2">
      <c r="A58" s="149"/>
      <c r="B58" s="42" t="s">
        <v>144</v>
      </c>
      <c r="C58" s="43"/>
      <c r="D58" s="44">
        <v>630000</v>
      </c>
    </row>
    <row r="59" spans="1:4" ht="18" x14ac:dyDescent="0.2">
      <c r="A59" s="149"/>
      <c r="B59" s="42" t="s">
        <v>145</v>
      </c>
      <c r="C59" s="43"/>
      <c r="D59" s="44">
        <v>718000</v>
      </c>
    </row>
    <row r="60" spans="1:4" ht="18" x14ac:dyDescent="0.2">
      <c r="A60" s="149"/>
      <c r="B60" s="42" t="s">
        <v>146</v>
      </c>
      <c r="C60" s="43"/>
      <c r="D60" s="44">
        <v>993000</v>
      </c>
    </row>
    <row r="61" spans="1:4" ht="18" x14ac:dyDescent="0.2">
      <c r="A61" s="149"/>
      <c r="B61" s="42" t="s">
        <v>147</v>
      </c>
      <c r="C61" s="43"/>
      <c r="D61" s="44">
        <v>1052000</v>
      </c>
    </row>
    <row r="62" spans="1:4" ht="18" x14ac:dyDescent="0.2">
      <c r="A62" s="149"/>
      <c r="B62" s="42" t="s">
        <v>148</v>
      </c>
      <c r="C62" s="43"/>
      <c r="D62" s="44">
        <v>1170000</v>
      </c>
    </row>
    <row r="63" spans="1:4" ht="18" x14ac:dyDescent="0.2">
      <c r="A63" s="149"/>
      <c r="B63" s="49" t="s">
        <v>149</v>
      </c>
      <c r="C63" s="43"/>
      <c r="D63" s="43"/>
    </row>
    <row r="64" spans="1:4" ht="18" x14ac:dyDescent="0.2">
      <c r="A64" s="149"/>
      <c r="B64" s="42" t="s">
        <v>150</v>
      </c>
      <c r="C64" s="43"/>
      <c r="D64" s="44">
        <v>1200000</v>
      </c>
    </row>
    <row r="65" spans="1:4" ht="18" x14ac:dyDescent="0.2">
      <c r="A65" s="149"/>
      <c r="B65" s="42" t="s">
        <v>151</v>
      </c>
      <c r="C65" s="43"/>
      <c r="D65" s="44">
        <v>1205000</v>
      </c>
    </row>
    <row r="66" spans="1:4" ht="18" x14ac:dyDescent="0.2">
      <c r="A66" s="149"/>
      <c r="B66" s="42" t="s">
        <v>152</v>
      </c>
      <c r="C66" s="43"/>
      <c r="D66" s="44">
        <v>1230000</v>
      </c>
    </row>
    <row r="67" spans="1:4" ht="18" x14ac:dyDescent="0.2">
      <c r="A67" s="149"/>
      <c r="B67" s="42" t="s">
        <v>153</v>
      </c>
      <c r="C67" s="43"/>
      <c r="D67" s="44">
        <v>1534000</v>
      </c>
    </row>
    <row r="68" spans="1:4" ht="18" x14ac:dyDescent="0.2">
      <c r="A68" s="149"/>
      <c r="B68" s="42" t="s">
        <v>154</v>
      </c>
      <c r="C68" s="43"/>
      <c r="D68" s="44">
        <v>1543000</v>
      </c>
    </row>
    <row r="69" spans="1:4" ht="18" x14ac:dyDescent="0.2">
      <c r="A69" s="149"/>
      <c r="B69" s="42" t="s">
        <v>155</v>
      </c>
      <c r="C69" s="43"/>
      <c r="D69" s="44">
        <v>1210000</v>
      </c>
    </row>
    <row r="70" spans="1:4" ht="18" x14ac:dyDescent="0.2">
      <c r="A70" s="149"/>
      <c r="B70" s="42" t="s">
        <v>156</v>
      </c>
      <c r="C70" s="43"/>
      <c r="D70" s="44">
        <v>1235000</v>
      </c>
    </row>
    <row r="71" spans="1:4" ht="18" x14ac:dyDescent="0.2">
      <c r="A71" s="149"/>
      <c r="B71" s="42" t="s">
        <v>157</v>
      </c>
      <c r="C71" s="43"/>
      <c r="D71" s="44">
        <v>1538000</v>
      </c>
    </row>
    <row r="72" spans="1:4" ht="18" x14ac:dyDescent="0.2">
      <c r="A72" s="149"/>
      <c r="B72" s="42" t="s">
        <v>158</v>
      </c>
      <c r="C72" s="43"/>
      <c r="D72" s="44">
        <v>1548000</v>
      </c>
    </row>
    <row r="73" spans="1:4" ht="18" x14ac:dyDescent="0.2">
      <c r="A73" s="149"/>
      <c r="B73" s="42" t="s">
        <v>159</v>
      </c>
      <c r="C73" s="43"/>
      <c r="D73" s="44">
        <v>1259000</v>
      </c>
    </row>
    <row r="74" spans="1:4" ht="18" x14ac:dyDescent="0.2">
      <c r="A74" s="149"/>
      <c r="B74" s="42" t="s">
        <v>160</v>
      </c>
      <c r="C74" s="43"/>
      <c r="D74" s="44">
        <v>1563000</v>
      </c>
    </row>
    <row r="75" spans="1:4" ht="18" x14ac:dyDescent="0.2">
      <c r="A75" s="149"/>
      <c r="B75" s="42" t="s">
        <v>161</v>
      </c>
      <c r="C75" s="43"/>
      <c r="D75" s="44">
        <v>1573000</v>
      </c>
    </row>
    <row r="76" spans="1:4" ht="18" x14ac:dyDescent="0.2">
      <c r="A76" s="149"/>
      <c r="B76" s="42" t="s">
        <v>162</v>
      </c>
      <c r="C76" s="43"/>
      <c r="D76" s="44">
        <v>1867000</v>
      </c>
    </row>
    <row r="77" spans="1:4" ht="18" x14ac:dyDescent="0.2">
      <c r="A77" s="149"/>
      <c r="B77" s="42" t="s">
        <v>163</v>
      </c>
      <c r="C77" s="43"/>
      <c r="D77" s="44">
        <v>1877000</v>
      </c>
    </row>
    <row r="78" spans="1:4" ht="18" x14ac:dyDescent="0.2">
      <c r="A78" s="158"/>
      <c r="B78" s="42" t="s">
        <v>164</v>
      </c>
      <c r="C78" s="45"/>
      <c r="D78" s="44">
        <v>1886000</v>
      </c>
    </row>
    <row r="79" spans="1:4" ht="19.5" x14ac:dyDescent="0.2">
      <c r="A79" s="161" t="s">
        <v>165</v>
      </c>
      <c r="B79" s="149"/>
      <c r="C79" s="149"/>
      <c r="D79" s="149"/>
    </row>
    <row r="80" spans="1:4" ht="18" x14ac:dyDescent="0.2">
      <c r="A80" s="51" t="s">
        <v>166</v>
      </c>
      <c r="B80" s="49" t="s">
        <v>167</v>
      </c>
      <c r="C80" s="43"/>
      <c r="D80" s="43"/>
    </row>
    <row r="81" spans="1:4" ht="18" x14ac:dyDescent="0.2">
      <c r="A81" s="154" t="e">
        <f ca="1">_xludf.image("https://lh3.google.com/u/0/d/1X_7ftQiZPnRggdcVIrQHQEs7VtjiOEyb",1)</f>
        <v>#NAME?</v>
      </c>
      <c r="B81" s="42" t="s">
        <v>168</v>
      </c>
      <c r="C81" s="43"/>
      <c r="D81" s="44">
        <v>88000</v>
      </c>
    </row>
    <row r="82" spans="1:4" ht="18" x14ac:dyDescent="0.2">
      <c r="A82" s="155"/>
      <c r="B82" s="42" t="s">
        <v>169</v>
      </c>
      <c r="C82" s="43"/>
      <c r="D82" s="44">
        <v>94000</v>
      </c>
    </row>
    <row r="83" spans="1:4" ht="18" x14ac:dyDescent="0.2">
      <c r="A83" s="155"/>
      <c r="B83" s="42" t="s">
        <v>170</v>
      </c>
      <c r="C83" s="43"/>
      <c r="D83" s="44">
        <v>105000</v>
      </c>
    </row>
    <row r="84" spans="1:4" ht="18" x14ac:dyDescent="0.2">
      <c r="A84" s="155"/>
      <c r="B84" s="42" t="s">
        <v>171</v>
      </c>
      <c r="C84" s="43"/>
      <c r="D84" s="44">
        <v>137000</v>
      </c>
    </row>
    <row r="85" spans="1:4" ht="18" x14ac:dyDescent="0.2">
      <c r="A85" s="155"/>
      <c r="B85" s="42" t="s">
        <v>172</v>
      </c>
      <c r="C85" s="43"/>
      <c r="D85" s="44">
        <v>147000</v>
      </c>
    </row>
    <row r="86" spans="1:4" ht="18" x14ac:dyDescent="0.2">
      <c r="A86" s="155"/>
      <c r="B86" s="49" t="s">
        <v>173</v>
      </c>
      <c r="C86" s="43"/>
      <c r="D86" s="43"/>
    </row>
    <row r="87" spans="1:4" ht="18" x14ac:dyDescent="0.2">
      <c r="A87" s="155"/>
      <c r="B87" s="42" t="s">
        <v>174</v>
      </c>
      <c r="C87" s="43"/>
      <c r="D87" s="44">
        <v>287000</v>
      </c>
    </row>
    <row r="88" spans="1:4" ht="18" x14ac:dyDescent="0.2">
      <c r="A88" s="155"/>
      <c r="B88" s="42" t="s">
        <v>175</v>
      </c>
      <c r="C88" s="43"/>
      <c r="D88" s="44">
        <v>292000</v>
      </c>
    </row>
    <row r="89" spans="1:4" ht="18" x14ac:dyDescent="0.2">
      <c r="A89" s="155"/>
      <c r="B89" s="42" t="s">
        <v>176</v>
      </c>
      <c r="C89" s="43"/>
      <c r="D89" s="44">
        <v>303000</v>
      </c>
    </row>
    <row r="90" spans="1:4" ht="18" x14ac:dyDescent="0.2">
      <c r="A90" s="52" t="s">
        <v>177</v>
      </c>
      <c r="B90" s="42" t="s">
        <v>178</v>
      </c>
      <c r="C90" s="43"/>
      <c r="D90" s="44">
        <v>335000</v>
      </c>
    </row>
    <row r="91" spans="1:4" ht="18" x14ac:dyDescent="0.2">
      <c r="A91" s="159" t="e">
        <f ca="1">_xludf.image("https://lh3.google.com/u/0/d/1uw2v6zt5sH0eG9fEpVFbhymSJ5fVk4zF",1)</f>
        <v>#NAME?</v>
      </c>
      <c r="B91" s="42" t="s">
        <v>179</v>
      </c>
      <c r="C91" s="43"/>
      <c r="D91" s="44">
        <v>346000</v>
      </c>
    </row>
    <row r="92" spans="1:4" ht="18" x14ac:dyDescent="0.2">
      <c r="A92" s="149"/>
      <c r="B92" s="42" t="s">
        <v>180</v>
      </c>
      <c r="C92" s="43"/>
      <c r="D92" s="44">
        <v>297000</v>
      </c>
    </row>
    <row r="93" spans="1:4" ht="18" x14ac:dyDescent="0.2">
      <c r="A93" s="149"/>
      <c r="B93" s="42" t="s">
        <v>181</v>
      </c>
      <c r="C93" s="43"/>
      <c r="D93" s="44">
        <v>308000</v>
      </c>
    </row>
    <row r="94" spans="1:4" ht="18" x14ac:dyDescent="0.2">
      <c r="A94" s="149"/>
      <c r="B94" s="42" t="s">
        <v>182</v>
      </c>
      <c r="C94" s="43"/>
      <c r="D94" s="44">
        <v>340000</v>
      </c>
    </row>
    <row r="95" spans="1:4" ht="18" x14ac:dyDescent="0.2">
      <c r="A95" s="149"/>
      <c r="B95" s="42" t="s">
        <v>183</v>
      </c>
      <c r="C95" s="43"/>
      <c r="D95" s="44">
        <v>351000</v>
      </c>
    </row>
    <row r="96" spans="1:4" ht="18" x14ac:dyDescent="0.2">
      <c r="A96" s="149"/>
      <c r="B96" s="42" t="s">
        <v>184</v>
      </c>
      <c r="C96" s="43"/>
      <c r="D96" s="44">
        <v>319000</v>
      </c>
    </row>
    <row r="97" spans="1:4" ht="18" x14ac:dyDescent="0.2">
      <c r="A97" s="149"/>
      <c r="B97" s="42" t="s">
        <v>185</v>
      </c>
      <c r="C97" s="43"/>
      <c r="D97" s="44">
        <v>351000</v>
      </c>
    </row>
    <row r="98" spans="1:4" ht="18" x14ac:dyDescent="0.2">
      <c r="A98" s="149"/>
      <c r="B98" s="42" t="s">
        <v>186</v>
      </c>
      <c r="C98" s="43"/>
      <c r="D98" s="44">
        <v>362000</v>
      </c>
    </row>
    <row r="99" spans="1:4" ht="18" x14ac:dyDescent="0.2">
      <c r="A99" s="149"/>
      <c r="B99" s="42" t="s">
        <v>187</v>
      </c>
      <c r="C99" s="43"/>
      <c r="D99" s="44">
        <v>383000</v>
      </c>
    </row>
    <row r="100" spans="1:4" ht="18" x14ac:dyDescent="0.2">
      <c r="A100" s="149"/>
      <c r="B100" s="42" t="s">
        <v>188</v>
      </c>
      <c r="C100" s="43"/>
      <c r="D100" s="44">
        <v>394000</v>
      </c>
    </row>
    <row r="101" spans="1:4" ht="18" x14ac:dyDescent="0.2">
      <c r="A101" s="149"/>
      <c r="B101" s="42" t="s">
        <v>189</v>
      </c>
      <c r="C101" s="45"/>
      <c r="D101" s="44">
        <v>405000</v>
      </c>
    </row>
    <row r="102" spans="1:4" ht="19.5" x14ac:dyDescent="0.2">
      <c r="A102" s="161" t="s">
        <v>190</v>
      </c>
      <c r="B102" s="149"/>
      <c r="C102" s="149"/>
      <c r="D102" s="149"/>
    </row>
    <row r="103" spans="1:4" ht="18" x14ac:dyDescent="0.2">
      <c r="A103" s="51" t="s">
        <v>191</v>
      </c>
      <c r="B103" s="49" t="s">
        <v>192</v>
      </c>
      <c r="C103" s="43"/>
      <c r="D103" s="43"/>
    </row>
    <row r="104" spans="1:4" ht="18" x14ac:dyDescent="0.2">
      <c r="A104" s="154" t="e">
        <f ca="1">_xludf.image("https://lh3.google.com/u/0/d/1F18RWmrmuug7lS2JJHy51zBujbgFgjIG",1)</f>
        <v>#NAME?</v>
      </c>
      <c r="B104" s="42" t="s">
        <v>193</v>
      </c>
      <c r="C104" s="43"/>
      <c r="D104" s="44">
        <v>294000</v>
      </c>
    </row>
    <row r="105" spans="1:4" ht="18" x14ac:dyDescent="0.2">
      <c r="A105" s="155"/>
      <c r="B105" s="42" t="s">
        <v>194</v>
      </c>
      <c r="C105" s="43"/>
      <c r="D105" s="44">
        <v>308000</v>
      </c>
    </row>
    <row r="106" spans="1:4" ht="18" x14ac:dyDescent="0.2">
      <c r="A106" s="155"/>
      <c r="B106" s="42" t="s">
        <v>195</v>
      </c>
      <c r="C106" s="43"/>
      <c r="D106" s="44">
        <v>337000</v>
      </c>
    </row>
    <row r="107" spans="1:4" ht="18" x14ac:dyDescent="0.2">
      <c r="A107" s="155"/>
      <c r="B107" s="42" t="s">
        <v>196</v>
      </c>
      <c r="C107" s="43"/>
      <c r="D107" s="44">
        <v>422000</v>
      </c>
    </row>
    <row r="108" spans="1:4" ht="18" x14ac:dyDescent="0.2">
      <c r="A108" s="155"/>
      <c r="B108" s="42" t="s">
        <v>197</v>
      </c>
      <c r="C108" s="43"/>
      <c r="D108" s="44">
        <v>451000</v>
      </c>
    </row>
    <row r="109" spans="1:4" ht="18" x14ac:dyDescent="0.2">
      <c r="A109" s="155"/>
      <c r="B109" s="42" t="s">
        <v>198</v>
      </c>
      <c r="C109" s="45"/>
      <c r="D109" s="44">
        <v>507000</v>
      </c>
    </row>
    <row r="110" spans="1:4" ht="12.75" x14ac:dyDescent="0.2">
      <c r="A110" s="155"/>
      <c r="B110" s="42" t="s">
        <v>199</v>
      </c>
      <c r="C110" s="45"/>
      <c r="D110" s="43"/>
    </row>
    <row r="111" spans="1:4" ht="19.5" x14ac:dyDescent="0.2">
      <c r="A111" s="161" t="s">
        <v>200</v>
      </c>
      <c r="B111" s="149"/>
      <c r="C111" s="149"/>
      <c r="D111" s="149"/>
    </row>
    <row r="112" spans="1:4" ht="18" x14ac:dyDescent="0.2">
      <c r="A112" s="53"/>
      <c r="B112" s="42" t="s">
        <v>201</v>
      </c>
      <c r="C112" s="54" t="s">
        <v>202</v>
      </c>
      <c r="D112" s="44">
        <v>933000</v>
      </c>
    </row>
    <row r="113" spans="1:4" ht="18" x14ac:dyDescent="0.2">
      <c r="A113" s="53"/>
      <c r="B113" s="42" t="s">
        <v>203</v>
      </c>
      <c r="C113" s="55"/>
      <c r="D113" s="44">
        <v>266000</v>
      </c>
    </row>
    <row r="114" spans="1:4" ht="18" x14ac:dyDescent="0.2">
      <c r="A114" s="53"/>
      <c r="B114" s="42" t="s">
        <v>204</v>
      </c>
      <c r="C114" s="56" t="s">
        <v>205</v>
      </c>
      <c r="D114" s="44">
        <v>515000</v>
      </c>
    </row>
    <row r="115" spans="1:4" ht="18" x14ac:dyDescent="0.2">
      <c r="A115" s="53"/>
      <c r="B115" s="42" t="s">
        <v>206</v>
      </c>
      <c r="C115" s="55"/>
      <c r="D115" s="44">
        <v>174000</v>
      </c>
    </row>
    <row r="116" spans="1:4" ht="18" x14ac:dyDescent="0.2">
      <c r="A116" s="53"/>
      <c r="B116" s="42" t="s">
        <v>207</v>
      </c>
      <c r="C116" s="55"/>
      <c r="D116" s="44">
        <v>369000</v>
      </c>
    </row>
    <row r="117" spans="1:4" ht="18" x14ac:dyDescent="0.2">
      <c r="A117" s="53"/>
      <c r="B117" s="42" t="s">
        <v>208</v>
      </c>
      <c r="C117" s="55"/>
      <c r="D117" s="44">
        <v>1355000</v>
      </c>
    </row>
    <row r="118" spans="1:4" ht="18" x14ac:dyDescent="0.2">
      <c r="A118" s="53"/>
      <c r="B118" s="42" t="s">
        <v>209</v>
      </c>
      <c r="C118" s="55"/>
      <c r="D118" s="44">
        <v>2140000</v>
      </c>
    </row>
    <row r="119" spans="1:4" ht="75" customHeight="1" x14ac:dyDescent="0.2">
      <c r="A119" s="57" t="e">
        <f ca="1">_xludf.image("https://lh3.google.com/u/0/d/1iDY7nhSEnIfaYfVN-Tg88S2uwoni3ggX",1)</f>
        <v>#NAME?</v>
      </c>
      <c r="B119" s="42" t="s">
        <v>210</v>
      </c>
      <c r="C119" s="55"/>
      <c r="D119" s="44">
        <v>533000</v>
      </c>
    </row>
    <row r="120" spans="1:4" ht="75" customHeight="1" x14ac:dyDescent="0.2">
      <c r="A120" s="57" t="e">
        <f ca="1">_xludf.image("https://lh3.google.com/u/0/d/14e4rWV7SMGrrcU-jqWmXrTmq9R6Fq4nD",1)</f>
        <v>#NAME?</v>
      </c>
      <c r="B120" s="42" t="s">
        <v>211</v>
      </c>
      <c r="C120" s="55"/>
      <c r="D120" s="44">
        <v>564000</v>
      </c>
    </row>
    <row r="121" spans="1:4" ht="62.25" customHeight="1" x14ac:dyDescent="0.2">
      <c r="A121" s="57" t="e">
        <f ca="1">_xludf.image("https://lh3.google.com/u/0/d/13w5pw6gQTxDMvroHGOuionKsCVFr6jJn",1)</f>
        <v>#NAME?</v>
      </c>
      <c r="B121" s="42" t="s">
        <v>212</v>
      </c>
      <c r="C121" s="55"/>
      <c r="D121" s="44">
        <v>306000</v>
      </c>
    </row>
    <row r="122" spans="1:4" ht="37.5" customHeight="1" x14ac:dyDescent="0.2">
      <c r="A122" s="160" t="e">
        <f ca="1">_xludf.image("https://lh3.google.com/u/0/d/1EQlI7plSL8RU1MkyxZ573p9VhY1AhLtC",1)</f>
        <v>#NAME?</v>
      </c>
      <c r="B122" s="42" t="s">
        <v>213</v>
      </c>
      <c r="C122" s="58"/>
      <c r="D122" s="44">
        <v>317000</v>
      </c>
    </row>
    <row r="123" spans="1:4" ht="18" x14ac:dyDescent="0.2">
      <c r="A123" s="156"/>
      <c r="B123" s="42" t="s">
        <v>214</v>
      </c>
      <c r="C123" s="59"/>
      <c r="D123" s="44">
        <v>74000</v>
      </c>
    </row>
    <row r="124" spans="1:4" ht="19.5" x14ac:dyDescent="0.2">
      <c r="A124" s="161" t="s">
        <v>215</v>
      </c>
      <c r="B124" s="149"/>
      <c r="C124" s="149"/>
      <c r="D124" s="149"/>
    </row>
    <row r="125" spans="1:4" ht="18" x14ac:dyDescent="0.2">
      <c r="A125" s="53"/>
      <c r="B125" s="42" t="s">
        <v>216</v>
      </c>
      <c r="C125" s="55"/>
      <c r="D125" s="44">
        <v>3150000</v>
      </c>
    </row>
    <row r="126" spans="1:4" ht="18" x14ac:dyDescent="0.2">
      <c r="A126" s="53"/>
      <c r="B126" s="42" t="s">
        <v>217</v>
      </c>
      <c r="C126" s="55"/>
      <c r="D126" s="44">
        <v>12455000</v>
      </c>
    </row>
    <row r="127" spans="1:4" ht="18" x14ac:dyDescent="0.2">
      <c r="A127" s="53"/>
      <c r="B127" s="42" t="s">
        <v>218</v>
      </c>
      <c r="C127" s="55"/>
      <c r="D127" s="44">
        <v>20365000</v>
      </c>
    </row>
    <row r="128" spans="1:4" ht="18" x14ac:dyDescent="0.2">
      <c r="A128" s="53"/>
      <c r="B128" s="42" t="s">
        <v>219</v>
      </c>
      <c r="C128" s="55"/>
      <c r="D128" s="44">
        <v>69600000</v>
      </c>
    </row>
    <row r="129" spans="1:4" ht="75" customHeight="1" x14ac:dyDescent="0.2">
      <c r="A129" s="53" t="e">
        <f ca="1">_xludf.image("https://lh3.google.com/u/0/d/1bqclSQMQ3isOaI5NtO-SJN_i35Muzx10",1)</f>
        <v>#NAME?</v>
      </c>
      <c r="B129" s="42" t="s">
        <v>220</v>
      </c>
      <c r="C129" s="58"/>
      <c r="D129" s="44">
        <v>43000000</v>
      </c>
    </row>
    <row r="130" spans="1:4" ht="75" customHeight="1" x14ac:dyDescent="0.2">
      <c r="A130" s="53" t="e">
        <f ca="1">_xludf.image("https://lh3.google.com/u/0/d/1wR2NEGo0-O5BP3cjJ2X85GigS-HfMrFV",1)</f>
        <v>#NAME?</v>
      </c>
      <c r="B130" s="42" t="s">
        <v>221</v>
      </c>
      <c r="C130" s="58"/>
      <c r="D130" s="44">
        <v>33542000</v>
      </c>
    </row>
    <row r="131" spans="1:4" ht="75" customHeight="1" x14ac:dyDescent="0.2">
      <c r="A131" s="53" t="e">
        <f ca="1">_xludf.image("https://lh3.google.com/u/0/d/1T0Nne5kKPsireaDrpyQSuGwgPVdu80HZ",1)</f>
        <v>#NAME?</v>
      </c>
      <c r="B131" s="42" t="s">
        <v>222</v>
      </c>
      <c r="C131" s="58"/>
      <c r="D131" s="44">
        <v>26810000</v>
      </c>
    </row>
    <row r="132" spans="1:4" ht="75" customHeight="1" x14ac:dyDescent="0.2">
      <c r="A132" s="53" t="e">
        <f ca="1">_xludf.image("https://lh3.google.com/u/0/d/1rHpvfN-OS1JoH9Ed0TczzJrrXS5h-hjg",1)</f>
        <v>#NAME?</v>
      </c>
      <c r="B132" s="42" t="s">
        <v>223</v>
      </c>
      <c r="C132" s="58"/>
      <c r="D132" s="44">
        <v>1639000</v>
      </c>
    </row>
    <row r="133" spans="1:4" ht="71.25" customHeight="1" x14ac:dyDescent="0.2">
      <c r="A133" s="53" t="e">
        <f ca="1">_xludf.image("https://lh3.google.com/u/0/d/1OEOb0RQUEwAQEaLlBH4aHmG-Q9dxk5jR
",1)</f>
        <v>#NAME?</v>
      </c>
      <c r="B133" s="42" t="s">
        <v>224</v>
      </c>
      <c r="C133" s="58"/>
      <c r="D133" s="44">
        <v>10800000</v>
      </c>
    </row>
    <row r="134" spans="1:4" ht="104.25" customHeight="1" x14ac:dyDescent="0.2">
      <c r="A134" s="53"/>
      <c r="B134" s="42" t="s">
        <v>225</v>
      </c>
      <c r="C134" s="58"/>
      <c r="D134" s="44">
        <v>11950000</v>
      </c>
    </row>
    <row r="135" spans="1:4" ht="18" x14ac:dyDescent="0.2">
      <c r="A135" s="53"/>
      <c r="B135" s="42" t="s">
        <v>226</v>
      </c>
      <c r="C135" s="58"/>
      <c r="D135" s="44">
        <v>51205000</v>
      </c>
    </row>
    <row r="136" spans="1:4" ht="18" x14ac:dyDescent="0.2">
      <c r="A136" s="53"/>
      <c r="B136" s="42" t="s">
        <v>227</v>
      </c>
      <c r="C136" s="58"/>
      <c r="D136" s="44">
        <v>56674000</v>
      </c>
    </row>
    <row r="137" spans="1:4" ht="18" x14ac:dyDescent="0.2">
      <c r="A137" s="53"/>
      <c r="B137" s="42" t="s">
        <v>228</v>
      </c>
      <c r="C137" s="58"/>
      <c r="D137" s="44" t="s">
        <v>229</v>
      </c>
    </row>
    <row r="138" spans="1:4" ht="18" x14ac:dyDescent="0.2">
      <c r="A138" s="53"/>
      <c r="B138" s="42" t="s">
        <v>230</v>
      </c>
      <c r="C138" s="58"/>
      <c r="D138" s="44" t="s">
        <v>229</v>
      </c>
    </row>
    <row r="139" spans="1:4" ht="18" x14ac:dyDescent="0.2">
      <c r="A139" s="53"/>
      <c r="B139" s="42" t="s">
        <v>231</v>
      </c>
      <c r="C139" s="58"/>
      <c r="D139" s="44">
        <v>132390000</v>
      </c>
    </row>
    <row r="140" spans="1:4" ht="18" x14ac:dyDescent="0.2">
      <c r="A140" s="53"/>
      <c r="B140" s="42" t="s">
        <v>232</v>
      </c>
      <c r="C140" s="58" t="s">
        <v>233</v>
      </c>
      <c r="D140" s="44">
        <v>37700000</v>
      </c>
    </row>
    <row r="141" spans="1:4" ht="18" x14ac:dyDescent="0.2">
      <c r="A141" s="53"/>
      <c r="B141" s="42" t="s">
        <v>234</v>
      </c>
      <c r="C141" s="60"/>
      <c r="D141" s="44">
        <v>7663000</v>
      </c>
    </row>
    <row r="142" spans="1:4" ht="18" x14ac:dyDescent="0.2">
      <c r="A142" s="53"/>
      <c r="B142" s="42" t="s">
        <v>235</v>
      </c>
      <c r="C142" s="61"/>
      <c r="D142" s="44">
        <v>32111000</v>
      </c>
    </row>
    <row r="143" spans="1:4" ht="18" x14ac:dyDescent="0.2">
      <c r="A143" s="53"/>
      <c r="B143" s="42" t="s">
        <v>236</v>
      </c>
      <c r="C143" s="60"/>
      <c r="D143" s="44">
        <v>71007000</v>
      </c>
    </row>
    <row r="144" spans="1:4" ht="18" x14ac:dyDescent="0.2">
      <c r="A144" s="53"/>
      <c r="B144" s="42" t="s">
        <v>237</v>
      </c>
      <c r="C144" s="60"/>
      <c r="D144" s="44">
        <v>10671000</v>
      </c>
    </row>
    <row r="145" spans="1:4" ht="18" x14ac:dyDescent="0.2">
      <c r="A145" s="53"/>
      <c r="B145" s="42" t="s">
        <v>238</v>
      </c>
      <c r="C145" s="60"/>
      <c r="D145" s="44">
        <v>23988000</v>
      </c>
    </row>
    <row r="146" spans="1:4" ht="75" customHeight="1" x14ac:dyDescent="0.2">
      <c r="A146" s="162" t="s">
        <v>239</v>
      </c>
      <c r="B146" s="158"/>
      <c r="C146" s="158"/>
      <c r="D146" s="158"/>
    </row>
    <row r="147" spans="1:4" ht="75" customHeight="1" x14ac:dyDescent="0.2">
      <c r="A147" s="62" t="e">
        <f ca="1">_xludf.image("https://lh3.google.com/u/0/d/17hT1uViNUhz8GCFcpiTKyjk5oD3PEmaK",1)</f>
        <v>#NAME?</v>
      </c>
      <c r="B147" s="63" t="s">
        <v>240</v>
      </c>
      <c r="C147" s="64" t="s">
        <v>241</v>
      </c>
      <c r="D147" s="44">
        <v>1982000</v>
      </c>
    </row>
    <row r="148" spans="1:4" ht="75" customHeight="1" x14ac:dyDescent="0.2">
      <c r="A148" s="53" t="e">
        <f ca="1">_xludf.image("https://lh3.google.com/u/0/d/16wzNoSrJeFNtpgrvyRknMRVwREeWQqYM",1)</f>
        <v>#NAME?</v>
      </c>
      <c r="B148" s="63" t="s">
        <v>242</v>
      </c>
      <c r="C148" s="64" t="s">
        <v>243</v>
      </c>
      <c r="D148" s="44">
        <v>6350000</v>
      </c>
    </row>
    <row r="149" spans="1:4" ht="75" customHeight="1" x14ac:dyDescent="0.2">
      <c r="A149" s="53" t="e">
        <f ca="1">_xludf.image("https://lh3.google.com/u/0/d/1hv1BXjxghm5BBBPOra9hyDU1sxVgKoxI",1)</f>
        <v>#NAME?</v>
      </c>
      <c r="B149" s="63" t="s">
        <v>244</v>
      </c>
      <c r="C149" s="64" t="s">
        <v>245</v>
      </c>
      <c r="D149" s="44">
        <v>890000</v>
      </c>
    </row>
    <row r="150" spans="1:4" ht="75" customHeight="1" x14ac:dyDescent="0.2">
      <c r="A150" s="53" t="e">
        <f ca="1">_xludf.image("https://lh3.google.com/u/0/d/1kxRzAHmuS8h_6fLUyvMm4UDIINkYMYkM",1)</f>
        <v>#NAME?</v>
      </c>
      <c r="B150" s="63" t="s">
        <v>246</v>
      </c>
      <c r="C150" s="64" t="s">
        <v>247</v>
      </c>
      <c r="D150" s="44">
        <v>939000</v>
      </c>
    </row>
    <row r="151" spans="1:4" ht="75" customHeight="1" x14ac:dyDescent="0.2">
      <c r="A151" s="53" t="e">
        <f ca="1">_xludf.image("https://lh3.google.com/u/0/d/11aYpVbkiQcl401MSJT_IfwDeSpJoGOK-",1)</f>
        <v>#NAME?</v>
      </c>
      <c r="B151" s="63" t="s">
        <v>248</v>
      </c>
      <c r="C151" s="64" t="s">
        <v>247</v>
      </c>
      <c r="D151" s="44">
        <v>1121000</v>
      </c>
    </row>
    <row r="152" spans="1:4" ht="75" customHeight="1" x14ac:dyDescent="0.2">
      <c r="A152" s="53" t="e">
        <f ca="1">_xludf.image("https://lh3.google.com/u/0/d/1KXVYKufCBKoWvPunFpAkkUlVVn6VdyLE",1)</f>
        <v>#NAME?</v>
      </c>
      <c r="B152" s="63" t="s">
        <v>249</v>
      </c>
      <c r="C152" s="64" t="s">
        <v>247</v>
      </c>
      <c r="D152" s="44">
        <v>1195000</v>
      </c>
    </row>
    <row r="153" spans="1:4" ht="75" customHeight="1" x14ac:dyDescent="0.2">
      <c r="A153" s="53" t="e">
        <f ca="1">_xludf.image("https://lh3.google.com/u/0/d/1hY8uV9wQegW2xdasee-bQjpgpcSeb7Pn",1)</f>
        <v>#NAME?</v>
      </c>
      <c r="B153" s="63" t="s">
        <v>250</v>
      </c>
      <c r="C153" s="64" t="s">
        <v>251</v>
      </c>
      <c r="D153" s="44">
        <v>1806000</v>
      </c>
    </row>
    <row r="154" spans="1:4" ht="75" customHeight="1" x14ac:dyDescent="0.2">
      <c r="A154" s="53" t="e">
        <f ca="1">_xludf.image("https://lh3.google.com/u/0/d/14dqwA-3XWO3Dhi4zruJ8Cm7zHByGSNow",1)</f>
        <v>#NAME?</v>
      </c>
      <c r="B154" s="63" t="s">
        <v>252</v>
      </c>
      <c r="C154" s="64" t="s">
        <v>251</v>
      </c>
      <c r="D154" s="44">
        <v>2508000</v>
      </c>
    </row>
    <row r="155" spans="1:4" ht="18" x14ac:dyDescent="0.2">
      <c r="A155" s="53" t="e">
        <f ca="1">_xludf.image("https://lh3.google.com/u/0/d/1o3Wx_hjeYaYQ_mF3z0rmRcJ_iQa_aeXp",1)</f>
        <v>#NAME?</v>
      </c>
      <c r="B155" s="63" t="s">
        <v>253</v>
      </c>
      <c r="C155" s="65"/>
      <c r="D155" s="44">
        <v>50000</v>
      </c>
    </row>
    <row r="156" spans="1:4" ht="18" x14ac:dyDescent="0.2">
      <c r="A156" s="62" t="e">
        <f t="shared" ref="A156:A157" ca="1" si="0">_xludf.image("https://lh3.google.com/u/0/d/1H6O1C6kfIOlI1sJIG8fjhLcnz8smfn0A",1)</f>
        <v>#NAME?</v>
      </c>
      <c r="B156" s="63" t="s">
        <v>254</v>
      </c>
      <c r="C156" s="66"/>
      <c r="D156" s="44">
        <v>2143000</v>
      </c>
    </row>
    <row r="157" spans="1:4" ht="18" x14ac:dyDescent="0.2">
      <c r="A157" s="62" t="e">
        <f t="shared" ca="1" si="0"/>
        <v>#NAME?</v>
      </c>
      <c r="B157" s="63" t="s">
        <v>255</v>
      </c>
      <c r="C157" s="66"/>
      <c r="D157" s="44">
        <v>2942000</v>
      </c>
    </row>
    <row r="158" spans="1:4" ht="72.75" customHeight="1" x14ac:dyDescent="0.2">
      <c r="A158" s="53" t="e">
        <f ca="1">_xludf.image("https://lh3.google.com/u/0/d/1Q-VwmAtGCRxQdr7YsnOuezCiZ6WjPifL",1)</f>
        <v>#NAME?</v>
      </c>
      <c r="B158" s="42" t="s">
        <v>256</v>
      </c>
      <c r="C158" s="45"/>
      <c r="D158" s="44">
        <v>400000</v>
      </c>
    </row>
    <row r="159" spans="1:4" ht="71.25" customHeight="1" x14ac:dyDescent="0.2">
      <c r="A159" s="53" t="e">
        <f ca="1">_xludf.image("https://lh3.google.com/u/0/d/1MWU0MYSN2MlWHM3UbbP4Ubvx3nYnriYQ",1)</f>
        <v>#NAME?</v>
      </c>
      <c r="B159" s="42" t="s">
        <v>257</v>
      </c>
      <c r="C159" s="45"/>
      <c r="D159" s="44">
        <v>500000</v>
      </c>
    </row>
    <row r="160" spans="1:4" ht="18" x14ac:dyDescent="0.2">
      <c r="A160" s="67"/>
      <c r="B160" s="67" t="s">
        <v>258</v>
      </c>
      <c r="C160" s="45"/>
      <c r="D160" s="44">
        <v>56000</v>
      </c>
    </row>
    <row r="161" spans="1:4" ht="18" x14ac:dyDescent="0.2">
      <c r="A161" s="67"/>
      <c r="B161" s="67" t="s">
        <v>259</v>
      </c>
      <c r="C161" s="45"/>
      <c r="D161" s="44">
        <v>44000</v>
      </c>
    </row>
    <row r="162" spans="1:4" ht="12.75" x14ac:dyDescent="0.2">
      <c r="A162" s="68"/>
      <c r="B162" s="69"/>
      <c r="C162" s="69"/>
    </row>
    <row r="163" spans="1:4" ht="12.75" x14ac:dyDescent="0.2">
      <c r="A163" s="68"/>
      <c r="B163" s="69"/>
      <c r="C163" s="69"/>
    </row>
    <row r="164" spans="1:4" ht="12.75" x14ac:dyDescent="0.2">
      <c r="A164" s="68"/>
      <c r="B164" s="69"/>
      <c r="C164" s="69"/>
    </row>
    <row r="165" spans="1:4" ht="12.75" x14ac:dyDescent="0.2">
      <c r="A165" s="68"/>
      <c r="B165" s="69"/>
      <c r="C165" s="69"/>
    </row>
    <row r="166" spans="1:4" ht="12.75" x14ac:dyDescent="0.2">
      <c r="A166" s="68"/>
      <c r="B166" s="69"/>
      <c r="C166" s="69"/>
    </row>
    <row r="167" spans="1:4" ht="12.75" x14ac:dyDescent="0.2">
      <c r="A167" s="68"/>
      <c r="B167" s="69"/>
      <c r="C167" s="69"/>
    </row>
    <row r="168" spans="1:4" ht="12.75" x14ac:dyDescent="0.2">
      <c r="A168" s="68"/>
      <c r="B168" s="69"/>
      <c r="C168" s="69"/>
    </row>
    <row r="169" spans="1:4" ht="12.75" x14ac:dyDescent="0.2">
      <c r="A169" s="68"/>
      <c r="B169" s="69"/>
      <c r="C169" s="69"/>
    </row>
    <row r="170" spans="1:4" ht="12.75" x14ac:dyDescent="0.2">
      <c r="A170" s="68"/>
      <c r="B170" s="69"/>
      <c r="C170" s="69"/>
    </row>
    <row r="171" spans="1:4" ht="12.75" x14ac:dyDescent="0.2">
      <c r="A171" s="68"/>
      <c r="B171" s="69"/>
      <c r="C171" s="69"/>
    </row>
    <row r="172" spans="1:4" ht="12.75" x14ac:dyDescent="0.2">
      <c r="A172" s="68"/>
      <c r="B172" s="69"/>
      <c r="C172" s="69"/>
    </row>
    <row r="173" spans="1:4" ht="12.75" x14ac:dyDescent="0.2">
      <c r="A173" s="68"/>
      <c r="B173" s="69"/>
      <c r="C173" s="69"/>
    </row>
    <row r="174" spans="1:4" ht="12.75" x14ac:dyDescent="0.2">
      <c r="A174" s="68"/>
      <c r="B174" s="69"/>
      <c r="C174" s="69"/>
    </row>
    <row r="175" spans="1:4" ht="12.75" x14ac:dyDescent="0.2">
      <c r="A175" s="68"/>
      <c r="B175" s="69"/>
      <c r="C175" s="69"/>
    </row>
    <row r="176" spans="1:4" ht="12.75" x14ac:dyDescent="0.2">
      <c r="A176" s="68"/>
      <c r="B176" s="69"/>
      <c r="C176" s="69"/>
    </row>
    <row r="177" spans="1:3" ht="12.75" x14ac:dyDescent="0.2">
      <c r="A177" s="68"/>
      <c r="B177" s="69"/>
      <c r="C177" s="69"/>
    </row>
    <row r="178" spans="1:3" ht="12.75" x14ac:dyDescent="0.2">
      <c r="A178" s="68"/>
      <c r="B178" s="69"/>
      <c r="C178" s="69"/>
    </row>
    <row r="179" spans="1:3" ht="12.75" x14ac:dyDescent="0.2">
      <c r="A179" s="68"/>
      <c r="B179" s="69"/>
      <c r="C179" s="69"/>
    </row>
    <row r="180" spans="1:3" ht="12.75" x14ac:dyDescent="0.2">
      <c r="A180" s="68"/>
      <c r="B180" s="69"/>
      <c r="C180" s="69"/>
    </row>
    <row r="181" spans="1:3" ht="12.75" x14ac:dyDescent="0.2">
      <c r="A181" s="68"/>
      <c r="B181" s="69"/>
      <c r="C181" s="69"/>
    </row>
    <row r="182" spans="1:3" ht="12.75" x14ac:dyDescent="0.2">
      <c r="A182" s="68"/>
      <c r="B182" s="69"/>
      <c r="C182" s="69"/>
    </row>
    <row r="183" spans="1:3" ht="12.75" x14ac:dyDescent="0.2">
      <c r="A183" s="68"/>
      <c r="B183" s="69"/>
      <c r="C183" s="69"/>
    </row>
    <row r="184" spans="1:3" ht="12.75" x14ac:dyDescent="0.2">
      <c r="A184" s="68"/>
      <c r="B184" s="69"/>
      <c r="C184" s="69"/>
    </row>
    <row r="185" spans="1:3" ht="12.75" x14ac:dyDescent="0.2">
      <c r="A185" s="68"/>
      <c r="B185" s="69"/>
      <c r="C185" s="69"/>
    </row>
    <row r="186" spans="1:3" ht="12.75" x14ac:dyDescent="0.2">
      <c r="A186" s="68"/>
      <c r="B186" s="69"/>
      <c r="C186" s="69"/>
    </row>
    <row r="187" spans="1:3" ht="12.75" x14ac:dyDescent="0.2">
      <c r="A187" s="68"/>
      <c r="B187" s="69"/>
      <c r="C187" s="69"/>
    </row>
    <row r="188" spans="1:3" ht="12.75" x14ac:dyDescent="0.2">
      <c r="A188" s="68"/>
      <c r="B188" s="69"/>
      <c r="C188" s="69"/>
    </row>
    <row r="189" spans="1:3" ht="12.75" x14ac:dyDescent="0.2">
      <c r="A189" s="68"/>
      <c r="B189" s="69"/>
      <c r="C189" s="69"/>
    </row>
    <row r="190" spans="1:3" ht="12.75" x14ac:dyDescent="0.2">
      <c r="A190" s="68"/>
      <c r="B190" s="69"/>
      <c r="C190" s="69"/>
    </row>
    <row r="191" spans="1:3" ht="12.75" x14ac:dyDescent="0.2">
      <c r="A191" s="68"/>
      <c r="B191" s="69"/>
      <c r="C191" s="69"/>
    </row>
    <row r="192" spans="1:3" ht="12.75" x14ac:dyDescent="0.2">
      <c r="A192" s="68"/>
      <c r="B192" s="69"/>
      <c r="C192" s="69"/>
    </row>
    <row r="193" spans="1:3" ht="12.75" x14ac:dyDescent="0.2">
      <c r="A193" s="68"/>
      <c r="B193" s="69"/>
      <c r="C193" s="69"/>
    </row>
    <row r="194" spans="1:3" ht="12.75" x14ac:dyDescent="0.2">
      <c r="A194" s="68"/>
      <c r="B194" s="69"/>
      <c r="C194" s="69"/>
    </row>
    <row r="195" spans="1:3" ht="12.75" x14ac:dyDescent="0.2">
      <c r="A195" s="68"/>
      <c r="B195" s="69"/>
      <c r="C195" s="69"/>
    </row>
    <row r="196" spans="1:3" ht="12.75" x14ac:dyDescent="0.2">
      <c r="A196" s="68"/>
      <c r="B196" s="69"/>
      <c r="C196" s="69"/>
    </row>
    <row r="197" spans="1:3" ht="12.75" x14ac:dyDescent="0.2">
      <c r="A197" s="68"/>
      <c r="B197" s="69"/>
      <c r="C197" s="69"/>
    </row>
    <row r="198" spans="1:3" ht="12.75" x14ac:dyDescent="0.2">
      <c r="A198" s="68"/>
      <c r="B198" s="69"/>
      <c r="C198" s="69"/>
    </row>
    <row r="199" spans="1:3" ht="12.75" x14ac:dyDescent="0.2">
      <c r="A199" s="68"/>
      <c r="B199" s="69"/>
      <c r="C199" s="69"/>
    </row>
    <row r="200" spans="1:3" ht="12.75" x14ac:dyDescent="0.2">
      <c r="A200" s="68"/>
      <c r="B200" s="69"/>
      <c r="C200" s="69"/>
    </row>
    <row r="201" spans="1:3" ht="12.75" x14ac:dyDescent="0.2">
      <c r="A201" s="68"/>
      <c r="B201" s="69"/>
      <c r="C201" s="69"/>
    </row>
    <row r="202" spans="1:3" ht="12.75" x14ac:dyDescent="0.2">
      <c r="A202" s="68"/>
      <c r="B202" s="69"/>
      <c r="C202" s="69"/>
    </row>
    <row r="203" spans="1:3" ht="12.75" x14ac:dyDescent="0.2">
      <c r="A203" s="68"/>
      <c r="B203" s="69"/>
      <c r="C203" s="69"/>
    </row>
    <row r="204" spans="1:3" ht="12.75" x14ac:dyDescent="0.2">
      <c r="A204" s="68"/>
      <c r="B204" s="69"/>
      <c r="C204" s="69"/>
    </row>
    <row r="205" spans="1:3" ht="12.75" x14ac:dyDescent="0.2">
      <c r="A205" s="68"/>
      <c r="B205" s="69"/>
      <c r="C205" s="69"/>
    </row>
    <row r="206" spans="1:3" ht="12.75" x14ac:dyDescent="0.2">
      <c r="A206" s="68"/>
      <c r="B206" s="69"/>
      <c r="C206" s="69"/>
    </row>
    <row r="207" spans="1:3" ht="12.75" x14ac:dyDescent="0.2">
      <c r="A207" s="68"/>
      <c r="B207" s="69"/>
      <c r="C207" s="69"/>
    </row>
    <row r="208" spans="1:3" ht="12.75" x14ac:dyDescent="0.2">
      <c r="A208" s="68"/>
      <c r="B208" s="69"/>
      <c r="C208" s="69"/>
    </row>
    <row r="209" spans="1:3" ht="12.75" x14ac:dyDescent="0.2">
      <c r="A209" s="68"/>
      <c r="B209" s="69"/>
      <c r="C209" s="69"/>
    </row>
    <row r="210" spans="1:3" ht="12.75" x14ac:dyDescent="0.2">
      <c r="A210" s="68"/>
      <c r="B210" s="69"/>
      <c r="C210" s="69"/>
    </row>
    <row r="211" spans="1:3" ht="12.75" x14ac:dyDescent="0.2">
      <c r="A211" s="68"/>
      <c r="B211" s="69"/>
      <c r="C211" s="69"/>
    </row>
    <row r="212" spans="1:3" ht="12.75" x14ac:dyDescent="0.2">
      <c r="A212" s="68"/>
      <c r="B212" s="69"/>
      <c r="C212" s="69"/>
    </row>
    <row r="213" spans="1:3" ht="12.75" x14ac:dyDescent="0.2">
      <c r="A213" s="68"/>
      <c r="B213" s="69"/>
      <c r="C213" s="69"/>
    </row>
    <row r="214" spans="1:3" ht="12.75" x14ac:dyDescent="0.2">
      <c r="A214" s="68"/>
      <c r="B214" s="69"/>
      <c r="C214" s="69"/>
    </row>
    <row r="215" spans="1:3" ht="12.75" x14ac:dyDescent="0.2">
      <c r="A215" s="68"/>
      <c r="B215" s="69"/>
      <c r="C215" s="69"/>
    </row>
    <row r="216" spans="1:3" ht="12.75" x14ac:dyDescent="0.2">
      <c r="A216" s="68"/>
      <c r="B216" s="69"/>
      <c r="C216" s="69"/>
    </row>
    <row r="217" spans="1:3" ht="12.75" x14ac:dyDescent="0.2">
      <c r="A217" s="68"/>
      <c r="B217" s="69"/>
      <c r="C217" s="69"/>
    </row>
    <row r="218" spans="1:3" ht="12.75" x14ac:dyDescent="0.2">
      <c r="A218" s="68"/>
      <c r="B218" s="69"/>
      <c r="C218" s="69"/>
    </row>
    <row r="219" spans="1:3" ht="12.75" x14ac:dyDescent="0.2">
      <c r="A219" s="68"/>
      <c r="B219" s="69"/>
      <c r="C219" s="69"/>
    </row>
    <row r="220" spans="1:3" ht="12.75" x14ac:dyDescent="0.2">
      <c r="A220" s="68"/>
      <c r="B220" s="69"/>
      <c r="C220" s="69"/>
    </row>
    <row r="221" spans="1:3" ht="12.75" x14ac:dyDescent="0.2">
      <c r="A221" s="68"/>
      <c r="B221" s="69"/>
      <c r="C221" s="69"/>
    </row>
    <row r="222" spans="1:3" ht="12.75" x14ac:dyDescent="0.2">
      <c r="A222" s="68"/>
      <c r="B222" s="69"/>
      <c r="C222" s="69"/>
    </row>
    <row r="223" spans="1:3" ht="12.75" x14ac:dyDescent="0.2">
      <c r="A223" s="68"/>
      <c r="B223" s="69"/>
      <c r="C223" s="69"/>
    </row>
    <row r="224" spans="1:3" ht="12.75" x14ac:dyDescent="0.2">
      <c r="A224" s="68"/>
      <c r="B224" s="69"/>
      <c r="C224" s="69"/>
    </row>
    <row r="225" spans="1:3" ht="12.75" x14ac:dyDescent="0.2">
      <c r="A225" s="68"/>
      <c r="B225" s="69"/>
      <c r="C225" s="69"/>
    </row>
    <row r="226" spans="1:3" ht="12.75" x14ac:dyDescent="0.2">
      <c r="A226" s="68"/>
      <c r="B226" s="69"/>
      <c r="C226" s="69"/>
    </row>
    <row r="227" spans="1:3" ht="12.75" x14ac:dyDescent="0.2">
      <c r="A227" s="68"/>
      <c r="B227" s="69"/>
      <c r="C227" s="69"/>
    </row>
    <row r="228" spans="1:3" ht="12.75" x14ac:dyDescent="0.2">
      <c r="A228" s="68"/>
      <c r="B228" s="69"/>
      <c r="C228" s="69"/>
    </row>
    <row r="229" spans="1:3" ht="12.75" x14ac:dyDescent="0.2">
      <c r="A229" s="68"/>
      <c r="B229" s="69"/>
      <c r="C229" s="69"/>
    </row>
    <row r="230" spans="1:3" ht="12.75" x14ac:dyDescent="0.2">
      <c r="A230" s="68"/>
      <c r="B230" s="69"/>
      <c r="C230" s="69"/>
    </row>
    <row r="231" spans="1:3" ht="12.75" x14ac:dyDescent="0.2">
      <c r="A231" s="68"/>
      <c r="B231" s="69"/>
      <c r="C231" s="69"/>
    </row>
    <row r="232" spans="1:3" ht="12.75" x14ac:dyDescent="0.2">
      <c r="A232" s="68"/>
      <c r="B232" s="69"/>
      <c r="C232" s="69"/>
    </row>
    <row r="233" spans="1:3" ht="12.75" x14ac:dyDescent="0.2">
      <c r="A233" s="68"/>
      <c r="B233" s="69"/>
      <c r="C233" s="69"/>
    </row>
    <row r="234" spans="1:3" ht="12.75" x14ac:dyDescent="0.2">
      <c r="A234" s="68"/>
      <c r="B234" s="69"/>
      <c r="C234" s="69"/>
    </row>
    <row r="235" spans="1:3" ht="12.75" x14ac:dyDescent="0.2">
      <c r="A235" s="68"/>
      <c r="B235" s="69"/>
      <c r="C235" s="69"/>
    </row>
    <row r="236" spans="1:3" ht="12.75" x14ac:dyDescent="0.2">
      <c r="A236" s="68"/>
      <c r="B236" s="69"/>
      <c r="C236" s="69"/>
    </row>
    <row r="237" spans="1:3" ht="12.75" x14ac:dyDescent="0.2">
      <c r="A237" s="68"/>
      <c r="B237" s="69"/>
      <c r="C237" s="69"/>
    </row>
    <row r="238" spans="1:3" ht="12.75" x14ac:dyDescent="0.2">
      <c r="A238" s="68"/>
      <c r="B238" s="69"/>
      <c r="C238" s="69"/>
    </row>
    <row r="239" spans="1:3" ht="12.75" x14ac:dyDescent="0.2">
      <c r="A239" s="68"/>
      <c r="B239" s="69"/>
      <c r="C239" s="69"/>
    </row>
    <row r="240" spans="1:3" ht="12.75" x14ac:dyDescent="0.2">
      <c r="A240" s="68"/>
      <c r="B240" s="69"/>
      <c r="C240" s="69"/>
    </row>
    <row r="241" spans="1:3" ht="12.75" x14ac:dyDescent="0.2">
      <c r="A241" s="68"/>
      <c r="B241" s="69"/>
      <c r="C241" s="69"/>
    </row>
    <row r="242" spans="1:3" ht="12.75" x14ac:dyDescent="0.2">
      <c r="A242" s="68"/>
      <c r="B242" s="69"/>
      <c r="C242" s="69"/>
    </row>
    <row r="243" spans="1:3" ht="12.75" x14ac:dyDescent="0.2">
      <c r="A243" s="68"/>
      <c r="B243" s="69"/>
      <c r="C243" s="69"/>
    </row>
    <row r="244" spans="1:3" ht="12.75" x14ac:dyDescent="0.2">
      <c r="A244" s="68"/>
      <c r="B244" s="69"/>
      <c r="C244" s="69"/>
    </row>
    <row r="245" spans="1:3" ht="12.75" x14ac:dyDescent="0.2">
      <c r="A245" s="68"/>
      <c r="B245" s="69"/>
      <c r="C245" s="69"/>
    </row>
    <row r="246" spans="1:3" ht="12.75" x14ac:dyDescent="0.2">
      <c r="A246" s="68"/>
      <c r="B246" s="69"/>
      <c r="C246" s="69"/>
    </row>
    <row r="247" spans="1:3" ht="12.75" x14ac:dyDescent="0.2">
      <c r="A247" s="68"/>
      <c r="B247" s="69"/>
      <c r="C247" s="69"/>
    </row>
    <row r="248" spans="1:3" ht="12.75" x14ac:dyDescent="0.2">
      <c r="A248" s="68"/>
      <c r="B248" s="69"/>
      <c r="C248" s="69"/>
    </row>
    <row r="249" spans="1:3" ht="12.75" x14ac:dyDescent="0.2">
      <c r="A249" s="68"/>
      <c r="B249" s="69"/>
      <c r="C249" s="69"/>
    </row>
    <row r="250" spans="1:3" ht="12.75" x14ac:dyDescent="0.2">
      <c r="A250" s="68"/>
      <c r="B250" s="69"/>
      <c r="C250" s="69"/>
    </row>
    <row r="251" spans="1:3" ht="12.75" x14ac:dyDescent="0.2">
      <c r="A251" s="68"/>
      <c r="B251" s="69"/>
      <c r="C251" s="69"/>
    </row>
    <row r="252" spans="1:3" ht="12.75" x14ac:dyDescent="0.2">
      <c r="A252" s="68"/>
      <c r="B252" s="69"/>
      <c r="C252" s="69"/>
    </row>
    <row r="253" spans="1:3" ht="12.75" x14ac:dyDescent="0.2">
      <c r="A253" s="68"/>
      <c r="B253" s="69"/>
      <c r="C253" s="69"/>
    </row>
    <row r="254" spans="1:3" ht="12.75" x14ac:dyDescent="0.2">
      <c r="A254" s="68"/>
      <c r="B254" s="69"/>
      <c r="C254" s="69"/>
    </row>
    <row r="255" spans="1:3" ht="12.75" x14ac:dyDescent="0.2">
      <c r="A255" s="68"/>
      <c r="B255" s="69"/>
      <c r="C255" s="69"/>
    </row>
    <row r="256" spans="1:3" ht="12.75" x14ac:dyDescent="0.2">
      <c r="A256" s="68"/>
      <c r="B256" s="69"/>
      <c r="C256" s="69"/>
    </row>
    <row r="257" spans="1:3" ht="12.75" x14ac:dyDescent="0.2">
      <c r="A257" s="68"/>
      <c r="B257" s="69"/>
      <c r="C257" s="69"/>
    </row>
    <row r="258" spans="1:3" ht="12.75" x14ac:dyDescent="0.2">
      <c r="A258" s="68"/>
      <c r="B258" s="69"/>
      <c r="C258" s="69"/>
    </row>
    <row r="259" spans="1:3" ht="12.75" x14ac:dyDescent="0.2">
      <c r="A259" s="68"/>
      <c r="B259" s="69"/>
      <c r="C259" s="69"/>
    </row>
    <row r="260" spans="1:3" ht="12.75" x14ac:dyDescent="0.2">
      <c r="A260" s="68"/>
      <c r="B260" s="69"/>
      <c r="C260" s="69"/>
    </row>
    <row r="261" spans="1:3" ht="12.75" x14ac:dyDescent="0.2">
      <c r="A261" s="68"/>
      <c r="B261" s="69"/>
      <c r="C261" s="69"/>
    </row>
    <row r="262" spans="1:3" ht="12.75" x14ac:dyDescent="0.2">
      <c r="A262" s="68"/>
      <c r="B262" s="69"/>
      <c r="C262" s="69"/>
    </row>
    <row r="263" spans="1:3" ht="12.75" x14ac:dyDescent="0.2">
      <c r="A263" s="68"/>
      <c r="B263" s="69"/>
      <c r="C263" s="69"/>
    </row>
    <row r="264" spans="1:3" ht="12.75" x14ac:dyDescent="0.2">
      <c r="A264" s="68"/>
      <c r="B264" s="69"/>
      <c r="C264" s="69"/>
    </row>
    <row r="265" spans="1:3" ht="12.75" x14ac:dyDescent="0.2">
      <c r="A265" s="68"/>
      <c r="B265" s="69"/>
      <c r="C265" s="69"/>
    </row>
    <row r="266" spans="1:3" ht="12.75" x14ac:dyDescent="0.2">
      <c r="A266" s="68"/>
      <c r="B266" s="69"/>
      <c r="C266" s="69"/>
    </row>
    <row r="267" spans="1:3" ht="12.75" x14ac:dyDescent="0.2">
      <c r="A267" s="68"/>
      <c r="B267" s="69"/>
      <c r="C267" s="69"/>
    </row>
    <row r="268" spans="1:3" ht="12.75" x14ac:dyDescent="0.2">
      <c r="A268" s="68"/>
      <c r="B268" s="69"/>
      <c r="C268" s="69"/>
    </row>
    <row r="269" spans="1:3" ht="12.75" x14ac:dyDescent="0.2">
      <c r="A269" s="68"/>
      <c r="B269" s="69"/>
      <c r="C269" s="69"/>
    </row>
    <row r="270" spans="1:3" ht="12.75" x14ac:dyDescent="0.2">
      <c r="A270" s="68"/>
      <c r="B270" s="69"/>
      <c r="C270" s="69"/>
    </row>
    <row r="271" spans="1:3" ht="12.75" x14ac:dyDescent="0.2">
      <c r="A271" s="68"/>
      <c r="B271" s="69"/>
      <c r="C271" s="69"/>
    </row>
    <row r="272" spans="1:3" ht="12.75" x14ac:dyDescent="0.2">
      <c r="A272" s="68"/>
      <c r="B272" s="69"/>
      <c r="C272" s="69"/>
    </row>
    <row r="273" spans="1:3" ht="12.75" x14ac:dyDescent="0.2">
      <c r="A273" s="68"/>
      <c r="B273" s="69"/>
      <c r="C273" s="69"/>
    </row>
    <row r="274" spans="1:3" ht="12.75" x14ac:dyDescent="0.2">
      <c r="A274" s="68"/>
      <c r="B274" s="69"/>
      <c r="C274" s="69"/>
    </row>
    <row r="275" spans="1:3" ht="12.75" x14ac:dyDescent="0.2">
      <c r="A275" s="68"/>
      <c r="B275" s="69"/>
      <c r="C275" s="69"/>
    </row>
    <row r="276" spans="1:3" ht="12.75" x14ac:dyDescent="0.2">
      <c r="A276" s="68"/>
      <c r="B276" s="69"/>
      <c r="C276" s="69"/>
    </row>
    <row r="277" spans="1:3" ht="12.75" x14ac:dyDescent="0.2">
      <c r="A277" s="68"/>
      <c r="B277" s="69"/>
      <c r="C277" s="69"/>
    </row>
    <row r="278" spans="1:3" ht="12.75" x14ac:dyDescent="0.2">
      <c r="A278" s="68"/>
      <c r="B278" s="69"/>
      <c r="C278" s="69"/>
    </row>
    <row r="279" spans="1:3" ht="12.75" x14ac:dyDescent="0.2">
      <c r="A279" s="68"/>
      <c r="B279" s="69"/>
      <c r="C279" s="69"/>
    </row>
    <row r="280" spans="1:3" ht="12.75" x14ac:dyDescent="0.2">
      <c r="A280" s="68"/>
      <c r="B280" s="69"/>
      <c r="C280" s="69"/>
    </row>
    <row r="281" spans="1:3" ht="12.75" x14ac:dyDescent="0.2">
      <c r="A281" s="68"/>
      <c r="B281" s="69"/>
      <c r="C281" s="69"/>
    </row>
    <row r="282" spans="1:3" ht="12.75" x14ac:dyDescent="0.2">
      <c r="A282" s="68"/>
      <c r="B282" s="69"/>
      <c r="C282" s="69"/>
    </row>
    <row r="283" spans="1:3" ht="12.75" x14ac:dyDescent="0.2">
      <c r="A283" s="68"/>
      <c r="B283" s="69"/>
      <c r="C283" s="69"/>
    </row>
    <row r="284" spans="1:3" ht="12.75" x14ac:dyDescent="0.2">
      <c r="A284" s="68"/>
      <c r="B284" s="69"/>
      <c r="C284" s="69"/>
    </row>
    <row r="285" spans="1:3" ht="12.75" x14ac:dyDescent="0.2">
      <c r="A285" s="68"/>
      <c r="B285" s="69"/>
      <c r="C285" s="69"/>
    </row>
    <row r="286" spans="1:3" ht="12.75" x14ac:dyDescent="0.2">
      <c r="A286" s="68"/>
      <c r="B286" s="69"/>
      <c r="C286" s="69"/>
    </row>
    <row r="287" spans="1:3" ht="12.75" x14ac:dyDescent="0.2">
      <c r="A287" s="68"/>
      <c r="B287" s="69"/>
      <c r="C287" s="69"/>
    </row>
    <row r="288" spans="1:3" ht="12.75" x14ac:dyDescent="0.2">
      <c r="A288" s="68"/>
      <c r="B288" s="69"/>
      <c r="C288" s="69"/>
    </row>
    <row r="289" spans="1:3" ht="12.75" x14ac:dyDescent="0.2">
      <c r="A289" s="68"/>
      <c r="B289" s="69"/>
      <c r="C289" s="69"/>
    </row>
    <row r="290" spans="1:3" ht="12.75" x14ac:dyDescent="0.2">
      <c r="A290" s="68"/>
      <c r="B290" s="69"/>
      <c r="C290" s="69"/>
    </row>
    <row r="291" spans="1:3" ht="12.75" x14ac:dyDescent="0.2">
      <c r="A291" s="68"/>
      <c r="B291" s="69"/>
      <c r="C291" s="69"/>
    </row>
    <row r="292" spans="1:3" ht="12.75" x14ac:dyDescent="0.2">
      <c r="A292" s="68"/>
      <c r="B292" s="69"/>
      <c r="C292" s="69"/>
    </row>
    <row r="293" spans="1:3" ht="12.75" x14ac:dyDescent="0.2">
      <c r="A293" s="68"/>
      <c r="B293" s="69"/>
      <c r="C293" s="69"/>
    </row>
    <row r="294" spans="1:3" ht="12.75" x14ac:dyDescent="0.2">
      <c r="A294" s="68"/>
      <c r="B294" s="69"/>
      <c r="C294" s="69"/>
    </row>
    <row r="295" spans="1:3" ht="12.75" x14ac:dyDescent="0.2">
      <c r="A295" s="68"/>
      <c r="B295" s="69"/>
      <c r="C295" s="69"/>
    </row>
    <row r="296" spans="1:3" ht="12.75" x14ac:dyDescent="0.2">
      <c r="A296" s="68"/>
      <c r="B296" s="69"/>
      <c r="C296" s="69"/>
    </row>
    <row r="297" spans="1:3" ht="12.75" x14ac:dyDescent="0.2">
      <c r="A297" s="68"/>
      <c r="B297" s="69"/>
      <c r="C297" s="69"/>
    </row>
    <row r="298" spans="1:3" ht="12.75" x14ac:dyDescent="0.2">
      <c r="A298" s="68"/>
      <c r="B298" s="69"/>
      <c r="C298" s="69"/>
    </row>
    <row r="299" spans="1:3" ht="12.75" x14ac:dyDescent="0.2">
      <c r="A299" s="68"/>
      <c r="B299" s="69"/>
      <c r="C299" s="69"/>
    </row>
    <row r="300" spans="1:3" ht="12.75" x14ac:dyDescent="0.2">
      <c r="A300" s="68"/>
      <c r="B300" s="69"/>
      <c r="C300" s="69"/>
    </row>
    <row r="301" spans="1:3" ht="12.75" x14ac:dyDescent="0.2">
      <c r="A301" s="68"/>
      <c r="B301" s="69"/>
      <c r="C301" s="69"/>
    </row>
    <row r="302" spans="1:3" ht="12.75" x14ac:dyDescent="0.2">
      <c r="A302" s="68"/>
      <c r="B302" s="69"/>
      <c r="C302" s="69"/>
    </row>
    <row r="303" spans="1:3" ht="12.75" x14ac:dyDescent="0.2">
      <c r="A303" s="68"/>
      <c r="B303" s="69"/>
      <c r="C303" s="69"/>
    </row>
    <row r="304" spans="1:3" ht="12.75" x14ac:dyDescent="0.2">
      <c r="A304" s="68"/>
      <c r="B304" s="69"/>
      <c r="C304" s="69"/>
    </row>
    <row r="305" spans="1:3" ht="12.75" x14ac:dyDescent="0.2">
      <c r="A305" s="68"/>
      <c r="B305" s="69"/>
      <c r="C305" s="69"/>
    </row>
    <row r="306" spans="1:3" ht="12.75" x14ac:dyDescent="0.2">
      <c r="A306" s="68"/>
      <c r="B306" s="69"/>
      <c r="C306" s="69"/>
    </row>
    <row r="307" spans="1:3" ht="12.75" x14ac:dyDescent="0.2">
      <c r="A307" s="68"/>
      <c r="B307" s="69"/>
      <c r="C307" s="69"/>
    </row>
    <row r="308" spans="1:3" ht="12.75" x14ac:dyDescent="0.2">
      <c r="A308" s="68"/>
      <c r="B308" s="69"/>
      <c r="C308" s="69"/>
    </row>
    <row r="309" spans="1:3" ht="12.75" x14ac:dyDescent="0.2">
      <c r="A309" s="68"/>
      <c r="B309" s="69"/>
      <c r="C309" s="69"/>
    </row>
    <row r="310" spans="1:3" ht="12.75" x14ac:dyDescent="0.2">
      <c r="A310" s="68"/>
      <c r="B310" s="69"/>
      <c r="C310" s="69"/>
    </row>
    <row r="311" spans="1:3" ht="12.75" x14ac:dyDescent="0.2">
      <c r="A311" s="68"/>
      <c r="B311" s="69"/>
      <c r="C311" s="69"/>
    </row>
    <row r="312" spans="1:3" ht="12.75" x14ac:dyDescent="0.2">
      <c r="A312" s="68"/>
      <c r="B312" s="69"/>
      <c r="C312" s="69"/>
    </row>
    <row r="313" spans="1:3" ht="12.75" x14ac:dyDescent="0.2">
      <c r="A313" s="68"/>
      <c r="B313" s="69"/>
      <c r="C313" s="69"/>
    </row>
    <row r="314" spans="1:3" ht="12.75" x14ac:dyDescent="0.2">
      <c r="A314" s="68"/>
      <c r="B314" s="69"/>
      <c r="C314" s="69"/>
    </row>
    <row r="315" spans="1:3" ht="12.75" x14ac:dyDescent="0.2">
      <c r="A315" s="68"/>
      <c r="B315" s="69"/>
      <c r="C315" s="69"/>
    </row>
    <row r="316" spans="1:3" ht="12.75" x14ac:dyDescent="0.2">
      <c r="A316" s="68"/>
      <c r="B316" s="69"/>
      <c r="C316" s="69"/>
    </row>
    <row r="317" spans="1:3" ht="12.75" x14ac:dyDescent="0.2">
      <c r="A317" s="68"/>
      <c r="B317" s="69"/>
      <c r="C317" s="69"/>
    </row>
    <row r="318" spans="1:3" ht="12.75" x14ac:dyDescent="0.2">
      <c r="A318" s="68"/>
      <c r="B318" s="69"/>
      <c r="C318" s="69"/>
    </row>
    <row r="319" spans="1:3" ht="12.75" x14ac:dyDescent="0.2">
      <c r="A319" s="68"/>
      <c r="B319" s="69"/>
      <c r="C319" s="69"/>
    </row>
    <row r="320" spans="1:3" ht="12.75" x14ac:dyDescent="0.2">
      <c r="A320" s="68"/>
      <c r="B320" s="69"/>
      <c r="C320" s="69"/>
    </row>
    <row r="321" spans="1:3" ht="12.75" x14ac:dyDescent="0.2">
      <c r="A321" s="68"/>
      <c r="B321" s="69"/>
      <c r="C321" s="69"/>
    </row>
    <row r="322" spans="1:3" ht="12.75" x14ac:dyDescent="0.2">
      <c r="A322" s="68"/>
      <c r="B322" s="69"/>
      <c r="C322" s="69"/>
    </row>
    <row r="323" spans="1:3" ht="12.75" x14ac:dyDescent="0.2">
      <c r="A323" s="68"/>
      <c r="B323" s="69"/>
      <c r="C323" s="69"/>
    </row>
    <row r="324" spans="1:3" ht="12.75" x14ac:dyDescent="0.2">
      <c r="A324" s="68"/>
      <c r="B324" s="69"/>
      <c r="C324" s="69"/>
    </row>
    <row r="325" spans="1:3" ht="12.75" x14ac:dyDescent="0.2">
      <c r="A325" s="68"/>
      <c r="B325" s="69"/>
      <c r="C325" s="69"/>
    </row>
    <row r="326" spans="1:3" ht="12.75" x14ac:dyDescent="0.2">
      <c r="A326" s="68"/>
      <c r="B326" s="69"/>
      <c r="C326" s="69"/>
    </row>
    <row r="327" spans="1:3" ht="12.75" x14ac:dyDescent="0.2">
      <c r="A327" s="68"/>
      <c r="B327" s="69"/>
      <c r="C327" s="69"/>
    </row>
    <row r="328" spans="1:3" ht="12.75" x14ac:dyDescent="0.2">
      <c r="A328" s="68"/>
      <c r="B328" s="69"/>
      <c r="C328" s="69"/>
    </row>
    <row r="329" spans="1:3" ht="12.75" x14ac:dyDescent="0.2">
      <c r="A329" s="68"/>
      <c r="B329" s="69"/>
      <c r="C329" s="69"/>
    </row>
    <row r="330" spans="1:3" ht="12.75" x14ac:dyDescent="0.2">
      <c r="A330" s="68"/>
      <c r="B330" s="69"/>
      <c r="C330" s="69"/>
    </row>
    <row r="331" spans="1:3" ht="12.75" x14ac:dyDescent="0.2">
      <c r="A331" s="68"/>
      <c r="B331" s="69"/>
      <c r="C331" s="69"/>
    </row>
    <row r="332" spans="1:3" ht="12.75" x14ac:dyDescent="0.2">
      <c r="A332" s="68"/>
      <c r="B332" s="69"/>
      <c r="C332" s="69"/>
    </row>
    <row r="333" spans="1:3" ht="12.75" x14ac:dyDescent="0.2">
      <c r="A333" s="68"/>
      <c r="B333" s="69"/>
      <c r="C333" s="69"/>
    </row>
    <row r="334" spans="1:3" ht="12.75" x14ac:dyDescent="0.2">
      <c r="A334" s="68"/>
      <c r="B334" s="69"/>
      <c r="C334" s="69"/>
    </row>
    <row r="335" spans="1:3" ht="12.75" x14ac:dyDescent="0.2">
      <c r="A335" s="68"/>
      <c r="B335" s="69"/>
      <c r="C335" s="69"/>
    </row>
    <row r="336" spans="1:3" ht="12.75" x14ac:dyDescent="0.2">
      <c r="A336" s="68"/>
      <c r="B336" s="69"/>
      <c r="C336" s="69"/>
    </row>
    <row r="337" spans="1:3" ht="12.75" x14ac:dyDescent="0.2">
      <c r="A337" s="68"/>
      <c r="B337" s="69"/>
      <c r="C337" s="69"/>
    </row>
    <row r="338" spans="1:3" ht="12.75" x14ac:dyDescent="0.2">
      <c r="A338" s="68"/>
      <c r="B338" s="69"/>
      <c r="C338" s="69"/>
    </row>
    <row r="339" spans="1:3" ht="12.75" x14ac:dyDescent="0.2">
      <c r="A339" s="68"/>
      <c r="B339" s="69"/>
      <c r="C339" s="69"/>
    </row>
    <row r="340" spans="1:3" ht="12.75" x14ac:dyDescent="0.2">
      <c r="A340" s="68"/>
      <c r="B340" s="69"/>
      <c r="C340" s="69"/>
    </row>
    <row r="341" spans="1:3" ht="12.75" x14ac:dyDescent="0.2">
      <c r="A341" s="68"/>
      <c r="B341" s="69"/>
      <c r="C341" s="69"/>
    </row>
    <row r="342" spans="1:3" ht="12.75" x14ac:dyDescent="0.2">
      <c r="A342" s="68"/>
      <c r="B342" s="69"/>
      <c r="C342" s="69"/>
    </row>
    <row r="343" spans="1:3" ht="12.75" x14ac:dyDescent="0.2">
      <c r="A343" s="68"/>
      <c r="B343" s="69"/>
      <c r="C343" s="69"/>
    </row>
    <row r="344" spans="1:3" ht="12.75" x14ac:dyDescent="0.2">
      <c r="A344" s="68"/>
      <c r="B344" s="69"/>
      <c r="C344" s="69"/>
    </row>
    <row r="345" spans="1:3" ht="12.75" x14ac:dyDescent="0.2">
      <c r="A345" s="68"/>
      <c r="B345" s="69"/>
      <c r="C345" s="69"/>
    </row>
    <row r="346" spans="1:3" ht="12.75" x14ac:dyDescent="0.2">
      <c r="A346" s="68"/>
      <c r="B346" s="69"/>
      <c r="C346" s="69"/>
    </row>
    <row r="347" spans="1:3" ht="12.75" x14ac:dyDescent="0.2">
      <c r="A347" s="68"/>
      <c r="B347" s="69"/>
      <c r="C347" s="69"/>
    </row>
    <row r="348" spans="1:3" ht="12.75" x14ac:dyDescent="0.2">
      <c r="A348" s="68"/>
      <c r="B348" s="69"/>
      <c r="C348" s="69"/>
    </row>
    <row r="349" spans="1:3" ht="12.75" x14ac:dyDescent="0.2">
      <c r="A349" s="68"/>
      <c r="B349" s="69"/>
      <c r="C349" s="69"/>
    </row>
    <row r="350" spans="1:3" ht="12.75" x14ac:dyDescent="0.2">
      <c r="A350" s="68"/>
      <c r="B350" s="69"/>
      <c r="C350" s="69"/>
    </row>
    <row r="351" spans="1:3" ht="12.75" x14ac:dyDescent="0.2">
      <c r="A351" s="68"/>
      <c r="B351" s="69"/>
      <c r="C351" s="69"/>
    </row>
    <row r="352" spans="1:3" ht="12.75" x14ac:dyDescent="0.2">
      <c r="A352" s="68"/>
      <c r="B352" s="69"/>
      <c r="C352" s="69"/>
    </row>
    <row r="353" spans="1:3" ht="12.75" x14ac:dyDescent="0.2">
      <c r="A353" s="68"/>
      <c r="B353" s="69"/>
      <c r="C353" s="69"/>
    </row>
    <row r="354" spans="1:3" ht="12.75" x14ac:dyDescent="0.2">
      <c r="A354" s="68"/>
      <c r="B354" s="69"/>
      <c r="C354" s="69"/>
    </row>
    <row r="355" spans="1:3" ht="12.75" x14ac:dyDescent="0.2">
      <c r="A355" s="68"/>
      <c r="B355" s="69"/>
      <c r="C355" s="69"/>
    </row>
    <row r="356" spans="1:3" ht="12.75" x14ac:dyDescent="0.2">
      <c r="A356" s="68"/>
      <c r="B356" s="69"/>
      <c r="C356" s="69"/>
    </row>
    <row r="357" spans="1:3" ht="12.75" x14ac:dyDescent="0.2">
      <c r="A357" s="68"/>
      <c r="B357" s="69"/>
      <c r="C357" s="69"/>
    </row>
    <row r="358" spans="1:3" ht="12.75" x14ac:dyDescent="0.2">
      <c r="A358" s="68"/>
      <c r="B358" s="69"/>
      <c r="C358" s="69"/>
    </row>
    <row r="359" spans="1:3" ht="12.75" x14ac:dyDescent="0.2">
      <c r="A359" s="68"/>
      <c r="B359" s="69"/>
      <c r="C359" s="69"/>
    </row>
    <row r="360" spans="1:3" ht="12.75" x14ac:dyDescent="0.2">
      <c r="A360" s="68"/>
      <c r="B360" s="69"/>
      <c r="C360" s="69"/>
    </row>
    <row r="361" spans="1:3" ht="12.75" x14ac:dyDescent="0.2">
      <c r="A361" s="68"/>
      <c r="B361" s="69"/>
      <c r="C361" s="69"/>
    </row>
    <row r="362" spans="1:3" ht="12.75" x14ac:dyDescent="0.2">
      <c r="A362" s="68"/>
      <c r="B362" s="69"/>
      <c r="C362" s="69"/>
    </row>
    <row r="363" spans="1:3" ht="12.75" x14ac:dyDescent="0.2">
      <c r="A363" s="68"/>
      <c r="B363" s="69"/>
      <c r="C363" s="69"/>
    </row>
    <row r="364" spans="1:3" ht="12.75" x14ac:dyDescent="0.2">
      <c r="A364" s="68"/>
      <c r="B364" s="69"/>
      <c r="C364" s="69"/>
    </row>
    <row r="365" spans="1:3" ht="12.75" x14ac:dyDescent="0.2">
      <c r="A365" s="68"/>
      <c r="B365" s="69"/>
      <c r="C365" s="69"/>
    </row>
    <row r="366" spans="1:3" ht="12.75" x14ac:dyDescent="0.2">
      <c r="A366" s="68"/>
      <c r="B366" s="69"/>
      <c r="C366" s="69"/>
    </row>
    <row r="367" spans="1:3" ht="12.75" x14ac:dyDescent="0.2">
      <c r="A367" s="68"/>
      <c r="B367" s="69"/>
      <c r="C367" s="69"/>
    </row>
    <row r="368" spans="1:3" ht="12.75" x14ac:dyDescent="0.2">
      <c r="A368" s="68"/>
      <c r="B368" s="69"/>
      <c r="C368" s="69"/>
    </row>
    <row r="369" spans="1:3" ht="12.75" x14ac:dyDescent="0.2">
      <c r="A369" s="68"/>
      <c r="B369" s="69"/>
      <c r="C369" s="69"/>
    </row>
    <row r="370" spans="1:3" ht="12.75" x14ac:dyDescent="0.2">
      <c r="A370" s="68"/>
      <c r="B370" s="69"/>
      <c r="C370" s="69"/>
    </row>
    <row r="371" spans="1:3" ht="12.75" x14ac:dyDescent="0.2">
      <c r="A371" s="68"/>
      <c r="B371" s="69"/>
      <c r="C371" s="69"/>
    </row>
    <row r="372" spans="1:3" ht="12.75" x14ac:dyDescent="0.2">
      <c r="A372" s="68"/>
      <c r="B372" s="69"/>
      <c r="C372" s="69"/>
    </row>
    <row r="373" spans="1:3" ht="12.75" x14ac:dyDescent="0.2">
      <c r="A373" s="68"/>
      <c r="B373" s="69"/>
      <c r="C373" s="69"/>
    </row>
    <row r="374" spans="1:3" ht="12.75" x14ac:dyDescent="0.2">
      <c r="A374" s="68"/>
      <c r="B374" s="69"/>
      <c r="C374" s="69"/>
    </row>
    <row r="375" spans="1:3" ht="12.75" x14ac:dyDescent="0.2">
      <c r="A375" s="68"/>
      <c r="B375" s="69"/>
      <c r="C375" s="69"/>
    </row>
    <row r="376" spans="1:3" ht="12.75" x14ac:dyDescent="0.2">
      <c r="A376" s="68"/>
      <c r="B376" s="69"/>
      <c r="C376" s="69"/>
    </row>
    <row r="377" spans="1:3" ht="12.75" x14ac:dyDescent="0.2">
      <c r="A377" s="68"/>
      <c r="B377" s="69"/>
      <c r="C377" s="69"/>
    </row>
    <row r="378" spans="1:3" ht="12.75" x14ac:dyDescent="0.2">
      <c r="A378" s="68"/>
      <c r="B378" s="69"/>
      <c r="C378" s="69"/>
    </row>
    <row r="379" spans="1:3" ht="12.75" x14ac:dyDescent="0.2">
      <c r="A379" s="68"/>
      <c r="B379" s="69"/>
      <c r="C379" s="69"/>
    </row>
    <row r="380" spans="1:3" ht="12.75" x14ac:dyDescent="0.2">
      <c r="A380" s="68"/>
      <c r="B380" s="69"/>
      <c r="C380" s="69"/>
    </row>
    <row r="381" spans="1:3" ht="12.75" x14ac:dyDescent="0.2">
      <c r="A381" s="68"/>
      <c r="B381" s="69"/>
      <c r="C381" s="69"/>
    </row>
    <row r="382" spans="1:3" ht="12.75" x14ac:dyDescent="0.2">
      <c r="A382" s="68"/>
      <c r="B382" s="69"/>
      <c r="C382" s="69"/>
    </row>
    <row r="383" spans="1:3" ht="12.75" x14ac:dyDescent="0.2">
      <c r="A383" s="68"/>
      <c r="B383" s="69"/>
      <c r="C383" s="69"/>
    </row>
    <row r="384" spans="1:3" ht="12.75" x14ac:dyDescent="0.2">
      <c r="A384" s="68"/>
      <c r="B384" s="69"/>
      <c r="C384" s="69"/>
    </row>
    <row r="385" spans="1:3" ht="12.75" x14ac:dyDescent="0.2">
      <c r="A385" s="68"/>
      <c r="B385" s="69"/>
      <c r="C385" s="69"/>
    </row>
    <row r="386" spans="1:3" ht="12.75" x14ac:dyDescent="0.2">
      <c r="A386" s="68"/>
      <c r="B386" s="69"/>
      <c r="C386" s="69"/>
    </row>
    <row r="387" spans="1:3" ht="12.75" x14ac:dyDescent="0.2">
      <c r="A387" s="68"/>
      <c r="B387" s="69"/>
      <c r="C387" s="69"/>
    </row>
    <row r="388" spans="1:3" ht="12.75" x14ac:dyDescent="0.2">
      <c r="A388" s="68"/>
      <c r="B388" s="69"/>
      <c r="C388" s="69"/>
    </row>
    <row r="389" spans="1:3" ht="12.75" x14ac:dyDescent="0.2">
      <c r="A389" s="68"/>
      <c r="B389" s="69"/>
      <c r="C389" s="69"/>
    </row>
    <row r="390" spans="1:3" ht="12.75" x14ac:dyDescent="0.2">
      <c r="A390" s="68"/>
      <c r="B390" s="69"/>
      <c r="C390" s="69"/>
    </row>
    <row r="391" spans="1:3" ht="12.75" x14ac:dyDescent="0.2">
      <c r="A391" s="68"/>
      <c r="B391" s="69"/>
      <c r="C391" s="69"/>
    </row>
    <row r="392" spans="1:3" ht="12.75" x14ac:dyDescent="0.2">
      <c r="A392" s="68"/>
      <c r="B392" s="69"/>
      <c r="C392" s="69"/>
    </row>
    <row r="393" spans="1:3" ht="12.75" x14ac:dyDescent="0.2">
      <c r="A393" s="68"/>
      <c r="B393" s="69"/>
      <c r="C393" s="69"/>
    </row>
    <row r="394" spans="1:3" ht="12.75" x14ac:dyDescent="0.2">
      <c r="A394" s="68"/>
      <c r="B394" s="69"/>
      <c r="C394" s="69"/>
    </row>
    <row r="395" spans="1:3" ht="12.75" x14ac:dyDescent="0.2">
      <c r="A395" s="68"/>
      <c r="B395" s="69"/>
      <c r="C395" s="69"/>
    </row>
    <row r="396" spans="1:3" ht="12.75" x14ac:dyDescent="0.2">
      <c r="A396" s="68"/>
      <c r="B396" s="69"/>
      <c r="C396" s="69"/>
    </row>
    <row r="397" spans="1:3" ht="12.75" x14ac:dyDescent="0.2">
      <c r="A397" s="68"/>
      <c r="B397" s="69"/>
      <c r="C397" s="69"/>
    </row>
    <row r="398" spans="1:3" ht="12.75" x14ac:dyDescent="0.2">
      <c r="A398" s="68"/>
      <c r="B398" s="69"/>
      <c r="C398" s="69"/>
    </row>
    <row r="399" spans="1:3" ht="12.75" x14ac:dyDescent="0.2">
      <c r="A399" s="68"/>
      <c r="B399" s="69"/>
      <c r="C399" s="69"/>
    </row>
    <row r="400" spans="1:3" ht="12.75" x14ac:dyDescent="0.2">
      <c r="A400" s="68"/>
      <c r="B400" s="69"/>
      <c r="C400" s="69"/>
    </row>
    <row r="401" spans="1:3" ht="12.75" x14ac:dyDescent="0.2">
      <c r="A401" s="68"/>
      <c r="B401" s="69"/>
      <c r="C401" s="69"/>
    </row>
    <row r="402" spans="1:3" ht="12.75" x14ac:dyDescent="0.2">
      <c r="A402" s="68"/>
      <c r="B402" s="69"/>
      <c r="C402" s="69"/>
    </row>
    <row r="403" spans="1:3" ht="12.75" x14ac:dyDescent="0.2">
      <c r="A403" s="68"/>
      <c r="B403" s="69"/>
      <c r="C403" s="69"/>
    </row>
    <row r="404" spans="1:3" ht="12.75" x14ac:dyDescent="0.2">
      <c r="A404" s="68"/>
      <c r="B404" s="69"/>
      <c r="C404" s="69"/>
    </row>
    <row r="405" spans="1:3" ht="12.75" x14ac:dyDescent="0.2">
      <c r="A405" s="68"/>
      <c r="B405" s="69"/>
      <c r="C405" s="69"/>
    </row>
    <row r="406" spans="1:3" ht="12.75" x14ac:dyDescent="0.2">
      <c r="A406" s="68"/>
      <c r="B406" s="69"/>
      <c r="C406" s="69"/>
    </row>
    <row r="407" spans="1:3" ht="12.75" x14ac:dyDescent="0.2">
      <c r="A407" s="68"/>
      <c r="B407" s="69"/>
      <c r="C407" s="69"/>
    </row>
    <row r="408" spans="1:3" ht="12.75" x14ac:dyDescent="0.2">
      <c r="A408" s="68"/>
      <c r="B408" s="69"/>
      <c r="C408" s="69"/>
    </row>
    <row r="409" spans="1:3" ht="12.75" x14ac:dyDescent="0.2">
      <c r="A409" s="68"/>
      <c r="B409" s="69"/>
      <c r="C409" s="69"/>
    </row>
    <row r="410" spans="1:3" ht="12.75" x14ac:dyDescent="0.2">
      <c r="A410" s="68"/>
      <c r="B410" s="69"/>
      <c r="C410" s="69"/>
    </row>
    <row r="411" spans="1:3" ht="12.75" x14ac:dyDescent="0.2">
      <c r="A411" s="68"/>
      <c r="B411" s="69"/>
      <c r="C411" s="69"/>
    </row>
    <row r="412" spans="1:3" ht="12.75" x14ac:dyDescent="0.2">
      <c r="A412" s="68"/>
      <c r="B412" s="69"/>
      <c r="C412" s="69"/>
    </row>
    <row r="413" spans="1:3" ht="12.75" x14ac:dyDescent="0.2">
      <c r="A413" s="68"/>
      <c r="B413" s="69"/>
      <c r="C413" s="69"/>
    </row>
    <row r="414" spans="1:3" ht="12.75" x14ac:dyDescent="0.2">
      <c r="A414" s="68"/>
      <c r="B414" s="69"/>
      <c r="C414" s="69"/>
    </row>
    <row r="415" spans="1:3" ht="12.75" x14ac:dyDescent="0.2">
      <c r="A415" s="68"/>
      <c r="B415" s="69"/>
      <c r="C415" s="69"/>
    </row>
    <row r="416" spans="1:3" ht="12.75" x14ac:dyDescent="0.2">
      <c r="A416" s="68"/>
      <c r="B416" s="69"/>
      <c r="C416" s="69"/>
    </row>
    <row r="417" spans="1:3" ht="12.75" x14ac:dyDescent="0.2">
      <c r="A417" s="68"/>
      <c r="B417" s="69"/>
      <c r="C417" s="69"/>
    </row>
    <row r="418" spans="1:3" ht="12.75" x14ac:dyDescent="0.2">
      <c r="A418" s="68"/>
      <c r="B418" s="69"/>
      <c r="C418" s="69"/>
    </row>
    <row r="419" spans="1:3" ht="12.75" x14ac:dyDescent="0.2">
      <c r="A419" s="68"/>
      <c r="B419" s="69"/>
      <c r="C419" s="69"/>
    </row>
    <row r="420" spans="1:3" ht="12.75" x14ac:dyDescent="0.2">
      <c r="A420" s="68"/>
      <c r="B420" s="69"/>
      <c r="C420" s="69"/>
    </row>
    <row r="421" spans="1:3" ht="12.75" x14ac:dyDescent="0.2">
      <c r="A421" s="68"/>
      <c r="B421" s="69"/>
      <c r="C421" s="69"/>
    </row>
    <row r="422" spans="1:3" ht="12.75" x14ac:dyDescent="0.2">
      <c r="A422" s="68"/>
      <c r="B422" s="69"/>
      <c r="C422" s="69"/>
    </row>
    <row r="423" spans="1:3" ht="12.75" x14ac:dyDescent="0.2">
      <c r="A423" s="68"/>
      <c r="B423" s="69"/>
      <c r="C423" s="69"/>
    </row>
    <row r="424" spans="1:3" ht="12.75" x14ac:dyDescent="0.2">
      <c r="A424" s="68"/>
      <c r="B424" s="69"/>
      <c r="C424" s="69"/>
    </row>
    <row r="425" spans="1:3" ht="12.75" x14ac:dyDescent="0.2">
      <c r="A425" s="68"/>
      <c r="B425" s="69"/>
      <c r="C425" s="69"/>
    </row>
    <row r="426" spans="1:3" ht="12.75" x14ac:dyDescent="0.2">
      <c r="A426" s="68"/>
      <c r="B426" s="69"/>
      <c r="C426" s="69"/>
    </row>
    <row r="427" spans="1:3" ht="12.75" x14ac:dyDescent="0.2">
      <c r="A427" s="68"/>
      <c r="B427" s="69"/>
      <c r="C427" s="69"/>
    </row>
    <row r="428" spans="1:3" ht="12.75" x14ac:dyDescent="0.2">
      <c r="A428" s="68"/>
      <c r="B428" s="69"/>
      <c r="C428" s="69"/>
    </row>
    <row r="429" spans="1:3" ht="12.75" x14ac:dyDescent="0.2">
      <c r="A429" s="68"/>
      <c r="B429" s="69"/>
      <c r="C429" s="69"/>
    </row>
    <row r="430" spans="1:3" ht="12.75" x14ac:dyDescent="0.2">
      <c r="A430" s="68"/>
      <c r="B430" s="69"/>
      <c r="C430" s="69"/>
    </row>
    <row r="431" spans="1:3" ht="12.75" x14ac:dyDescent="0.2">
      <c r="A431" s="68"/>
      <c r="B431" s="69"/>
      <c r="C431" s="69"/>
    </row>
    <row r="432" spans="1:3" ht="12.75" x14ac:dyDescent="0.2">
      <c r="A432" s="68"/>
      <c r="B432" s="69"/>
      <c r="C432" s="69"/>
    </row>
    <row r="433" spans="1:3" ht="12.75" x14ac:dyDescent="0.2">
      <c r="A433" s="68"/>
      <c r="B433" s="69"/>
      <c r="C433" s="69"/>
    </row>
    <row r="434" spans="1:3" ht="12.75" x14ac:dyDescent="0.2">
      <c r="A434" s="68"/>
      <c r="B434" s="69"/>
      <c r="C434" s="69"/>
    </row>
    <row r="435" spans="1:3" ht="12.75" x14ac:dyDescent="0.2">
      <c r="A435" s="68"/>
      <c r="B435" s="69"/>
      <c r="C435" s="69"/>
    </row>
    <row r="436" spans="1:3" ht="12.75" x14ac:dyDescent="0.2">
      <c r="A436" s="68"/>
      <c r="B436" s="69"/>
      <c r="C436" s="69"/>
    </row>
    <row r="437" spans="1:3" ht="12.75" x14ac:dyDescent="0.2">
      <c r="A437" s="68"/>
      <c r="B437" s="69"/>
      <c r="C437" s="69"/>
    </row>
    <row r="438" spans="1:3" ht="12.75" x14ac:dyDescent="0.2">
      <c r="A438" s="68"/>
      <c r="B438" s="69"/>
      <c r="C438" s="69"/>
    </row>
    <row r="439" spans="1:3" ht="12.75" x14ac:dyDescent="0.2">
      <c r="A439" s="68"/>
      <c r="B439" s="69"/>
      <c r="C439" s="69"/>
    </row>
    <row r="440" spans="1:3" ht="12.75" x14ac:dyDescent="0.2">
      <c r="A440" s="68"/>
      <c r="B440" s="69"/>
      <c r="C440" s="69"/>
    </row>
    <row r="441" spans="1:3" ht="12.75" x14ac:dyDescent="0.2">
      <c r="A441" s="68"/>
      <c r="B441" s="69"/>
      <c r="C441" s="69"/>
    </row>
    <row r="442" spans="1:3" ht="12.75" x14ac:dyDescent="0.2">
      <c r="A442" s="68"/>
      <c r="B442" s="69"/>
      <c r="C442" s="69"/>
    </row>
    <row r="443" spans="1:3" ht="12.75" x14ac:dyDescent="0.2">
      <c r="A443" s="68"/>
      <c r="B443" s="69"/>
      <c r="C443" s="69"/>
    </row>
    <row r="444" spans="1:3" ht="12.75" x14ac:dyDescent="0.2">
      <c r="A444" s="68"/>
      <c r="B444" s="69"/>
      <c r="C444" s="69"/>
    </row>
    <row r="445" spans="1:3" ht="12.75" x14ac:dyDescent="0.2">
      <c r="A445" s="68"/>
      <c r="B445" s="69"/>
      <c r="C445" s="69"/>
    </row>
    <row r="446" spans="1:3" ht="12.75" x14ac:dyDescent="0.2">
      <c r="A446" s="68"/>
      <c r="B446" s="69"/>
      <c r="C446" s="69"/>
    </row>
    <row r="447" spans="1:3" ht="12.75" x14ac:dyDescent="0.2">
      <c r="A447" s="68"/>
      <c r="B447" s="69"/>
      <c r="C447" s="69"/>
    </row>
    <row r="448" spans="1:3" ht="12.75" x14ac:dyDescent="0.2">
      <c r="A448" s="68"/>
      <c r="B448" s="69"/>
      <c r="C448" s="69"/>
    </row>
    <row r="449" spans="1:3" ht="12.75" x14ac:dyDescent="0.2">
      <c r="A449" s="68"/>
      <c r="B449" s="69"/>
      <c r="C449" s="69"/>
    </row>
    <row r="450" spans="1:3" ht="12.75" x14ac:dyDescent="0.2">
      <c r="A450" s="68"/>
      <c r="B450" s="69"/>
      <c r="C450" s="69"/>
    </row>
    <row r="451" spans="1:3" ht="12.75" x14ac:dyDescent="0.2">
      <c r="A451" s="68"/>
      <c r="B451" s="69"/>
      <c r="C451" s="69"/>
    </row>
    <row r="452" spans="1:3" ht="12.75" x14ac:dyDescent="0.2">
      <c r="A452" s="68"/>
      <c r="B452" s="69"/>
      <c r="C452" s="69"/>
    </row>
    <row r="453" spans="1:3" ht="12.75" x14ac:dyDescent="0.2">
      <c r="A453" s="68"/>
      <c r="B453" s="69"/>
      <c r="C453" s="69"/>
    </row>
    <row r="454" spans="1:3" ht="12.75" x14ac:dyDescent="0.2">
      <c r="A454" s="68"/>
      <c r="B454" s="69"/>
      <c r="C454" s="69"/>
    </row>
    <row r="455" spans="1:3" ht="12.75" x14ac:dyDescent="0.2">
      <c r="A455" s="68"/>
      <c r="B455" s="69"/>
      <c r="C455" s="69"/>
    </row>
    <row r="456" spans="1:3" ht="12.75" x14ac:dyDescent="0.2">
      <c r="A456" s="68"/>
      <c r="B456" s="69"/>
      <c r="C456" s="69"/>
    </row>
    <row r="457" spans="1:3" ht="12.75" x14ac:dyDescent="0.2">
      <c r="A457" s="68"/>
      <c r="B457" s="69"/>
      <c r="C457" s="69"/>
    </row>
    <row r="458" spans="1:3" ht="12.75" x14ac:dyDescent="0.2">
      <c r="A458" s="68"/>
      <c r="B458" s="69"/>
      <c r="C458" s="69"/>
    </row>
    <row r="459" spans="1:3" ht="12.75" x14ac:dyDescent="0.2">
      <c r="A459" s="68"/>
      <c r="B459" s="69"/>
      <c r="C459" s="69"/>
    </row>
    <row r="460" spans="1:3" ht="12.75" x14ac:dyDescent="0.2">
      <c r="A460" s="68"/>
      <c r="B460" s="69"/>
      <c r="C460" s="69"/>
    </row>
    <row r="461" spans="1:3" ht="12.75" x14ac:dyDescent="0.2">
      <c r="A461" s="68"/>
      <c r="B461" s="69"/>
      <c r="C461" s="69"/>
    </row>
    <row r="462" spans="1:3" ht="12.75" x14ac:dyDescent="0.2">
      <c r="A462" s="68"/>
      <c r="B462" s="69"/>
      <c r="C462" s="69"/>
    </row>
    <row r="463" spans="1:3" ht="12.75" x14ac:dyDescent="0.2">
      <c r="A463" s="68"/>
      <c r="B463" s="69"/>
      <c r="C463" s="69"/>
    </row>
    <row r="464" spans="1:3" ht="12.75" x14ac:dyDescent="0.2">
      <c r="A464" s="68"/>
      <c r="B464" s="69"/>
      <c r="C464" s="69"/>
    </row>
    <row r="465" spans="1:3" ht="12.75" x14ac:dyDescent="0.2">
      <c r="A465" s="68"/>
      <c r="B465" s="69"/>
      <c r="C465" s="69"/>
    </row>
    <row r="466" spans="1:3" ht="12.75" x14ac:dyDescent="0.2">
      <c r="A466" s="68"/>
      <c r="B466" s="69"/>
      <c r="C466" s="69"/>
    </row>
    <row r="467" spans="1:3" ht="12.75" x14ac:dyDescent="0.2">
      <c r="A467" s="68"/>
      <c r="B467" s="69"/>
      <c r="C467" s="69"/>
    </row>
    <row r="468" spans="1:3" ht="12.75" x14ac:dyDescent="0.2">
      <c r="A468" s="68"/>
      <c r="B468" s="69"/>
      <c r="C468" s="69"/>
    </row>
    <row r="469" spans="1:3" ht="12.75" x14ac:dyDescent="0.2">
      <c r="A469" s="68"/>
      <c r="B469" s="69"/>
      <c r="C469" s="69"/>
    </row>
    <row r="470" spans="1:3" ht="12.75" x14ac:dyDescent="0.2">
      <c r="A470" s="68"/>
      <c r="B470" s="69"/>
      <c r="C470" s="69"/>
    </row>
    <row r="471" spans="1:3" ht="12.75" x14ac:dyDescent="0.2">
      <c r="A471" s="68"/>
      <c r="B471" s="69"/>
      <c r="C471" s="69"/>
    </row>
    <row r="472" spans="1:3" ht="12.75" x14ac:dyDescent="0.2">
      <c r="A472" s="68"/>
      <c r="B472" s="69"/>
      <c r="C472" s="69"/>
    </row>
    <row r="473" spans="1:3" ht="12.75" x14ac:dyDescent="0.2">
      <c r="A473" s="68"/>
      <c r="B473" s="69"/>
      <c r="C473" s="69"/>
    </row>
    <row r="474" spans="1:3" ht="12.75" x14ac:dyDescent="0.2">
      <c r="A474" s="68"/>
      <c r="B474" s="69"/>
      <c r="C474" s="69"/>
    </row>
    <row r="475" spans="1:3" ht="12.75" x14ac:dyDescent="0.2">
      <c r="A475" s="68"/>
      <c r="B475" s="69"/>
      <c r="C475" s="69"/>
    </row>
    <row r="476" spans="1:3" ht="12.75" x14ac:dyDescent="0.2">
      <c r="A476" s="68"/>
      <c r="B476" s="69"/>
      <c r="C476" s="69"/>
    </row>
    <row r="477" spans="1:3" ht="12.75" x14ac:dyDescent="0.2">
      <c r="A477" s="68"/>
      <c r="B477" s="69"/>
      <c r="C477" s="69"/>
    </row>
    <row r="478" spans="1:3" ht="12.75" x14ac:dyDescent="0.2">
      <c r="A478" s="68"/>
      <c r="B478" s="69"/>
      <c r="C478" s="69"/>
    </row>
    <row r="479" spans="1:3" ht="12.75" x14ac:dyDescent="0.2">
      <c r="A479" s="68"/>
      <c r="B479" s="69"/>
      <c r="C479" s="69"/>
    </row>
    <row r="480" spans="1:3" ht="12.75" x14ac:dyDescent="0.2">
      <c r="A480" s="68"/>
      <c r="B480" s="69"/>
      <c r="C480" s="69"/>
    </row>
    <row r="481" spans="1:3" ht="12.75" x14ac:dyDescent="0.2">
      <c r="A481" s="68"/>
      <c r="B481" s="69"/>
      <c r="C481" s="69"/>
    </row>
    <row r="482" spans="1:3" ht="12.75" x14ac:dyDescent="0.2">
      <c r="A482" s="68"/>
      <c r="B482" s="69"/>
      <c r="C482" s="69"/>
    </row>
    <row r="483" spans="1:3" ht="12.75" x14ac:dyDescent="0.2">
      <c r="A483" s="68"/>
      <c r="B483" s="69"/>
      <c r="C483" s="69"/>
    </row>
    <row r="484" spans="1:3" ht="12.75" x14ac:dyDescent="0.2">
      <c r="A484" s="68"/>
      <c r="B484" s="69"/>
      <c r="C484" s="69"/>
    </row>
    <row r="485" spans="1:3" ht="12.75" x14ac:dyDescent="0.2">
      <c r="A485" s="68"/>
      <c r="B485" s="69"/>
      <c r="C485" s="69"/>
    </row>
    <row r="486" spans="1:3" ht="12.75" x14ac:dyDescent="0.2">
      <c r="A486" s="68"/>
      <c r="B486" s="69"/>
      <c r="C486" s="69"/>
    </row>
    <row r="487" spans="1:3" ht="12.75" x14ac:dyDescent="0.2">
      <c r="A487" s="68"/>
      <c r="B487" s="69"/>
      <c r="C487" s="69"/>
    </row>
    <row r="488" spans="1:3" ht="12.75" x14ac:dyDescent="0.2">
      <c r="A488" s="68"/>
      <c r="B488" s="69"/>
      <c r="C488" s="69"/>
    </row>
    <row r="489" spans="1:3" ht="12.75" x14ac:dyDescent="0.2">
      <c r="A489" s="68"/>
      <c r="B489" s="69"/>
      <c r="C489" s="69"/>
    </row>
    <row r="490" spans="1:3" ht="12.75" x14ac:dyDescent="0.2">
      <c r="A490" s="68"/>
      <c r="B490" s="69"/>
      <c r="C490" s="69"/>
    </row>
    <row r="491" spans="1:3" ht="12.75" x14ac:dyDescent="0.2">
      <c r="A491" s="68"/>
      <c r="B491" s="69"/>
      <c r="C491" s="69"/>
    </row>
    <row r="492" spans="1:3" ht="12.75" x14ac:dyDescent="0.2">
      <c r="A492" s="68"/>
      <c r="B492" s="69"/>
      <c r="C492" s="69"/>
    </row>
    <row r="493" spans="1:3" ht="12.75" x14ac:dyDescent="0.2">
      <c r="A493" s="68"/>
      <c r="B493" s="69"/>
      <c r="C493" s="69"/>
    </row>
    <row r="494" spans="1:3" ht="12.75" x14ac:dyDescent="0.2">
      <c r="A494" s="68"/>
      <c r="B494" s="69"/>
      <c r="C494" s="69"/>
    </row>
    <row r="495" spans="1:3" ht="12.75" x14ac:dyDescent="0.2">
      <c r="A495" s="68"/>
      <c r="B495" s="69"/>
      <c r="C495" s="69"/>
    </row>
    <row r="496" spans="1:3" ht="12.75" x14ac:dyDescent="0.2">
      <c r="A496" s="68"/>
      <c r="B496" s="69"/>
      <c r="C496" s="69"/>
    </row>
    <row r="497" spans="1:3" ht="12.75" x14ac:dyDescent="0.2">
      <c r="A497" s="68"/>
      <c r="B497" s="69"/>
      <c r="C497" s="69"/>
    </row>
    <row r="498" spans="1:3" ht="12.75" x14ac:dyDescent="0.2">
      <c r="A498" s="68"/>
      <c r="B498" s="69"/>
      <c r="C498" s="69"/>
    </row>
    <row r="499" spans="1:3" ht="12.75" x14ac:dyDescent="0.2">
      <c r="A499" s="68"/>
      <c r="B499" s="69"/>
      <c r="C499" s="69"/>
    </row>
    <row r="500" spans="1:3" ht="12.75" x14ac:dyDescent="0.2">
      <c r="A500" s="68"/>
      <c r="B500" s="69"/>
      <c r="C500" s="69"/>
    </row>
    <row r="501" spans="1:3" ht="12.75" x14ac:dyDescent="0.2">
      <c r="A501" s="68"/>
      <c r="B501" s="69"/>
      <c r="C501" s="69"/>
    </row>
    <row r="502" spans="1:3" ht="12.75" x14ac:dyDescent="0.2">
      <c r="A502" s="68"/>
      <c r="B502" s="69"/>
      <c r="C502" s="69"/>
    </row>
    <row r="503" spans="1:3" ht="12.75" x14ac:dyDescent="0.2">
      <c r="A503" s="68"/>
      <c r="B503" s="69"/>
      <c r="C503" s="69"/>
    </row>
    <row r="504" spans="1:3" ht="12.75" x14ac:dyDescent="0.2">
      <c r="A504" s="68"/>
      <c r="B504" s="69"/>
      <c r="C504" s="69"/>
    </row>
    <row r="505" spans="1:3" ht="12.75" x14ac:dyDescent="0.2">
      <c r="A505" s="68"/>
      <c r="B505" s="69"/>
      <c r="C505" s="69"/>
    </row>
    <row r="506" spans="1:3" ht="12.75" x14ac:dyDescent="0.2">
      <c r="A506" s="68"/>
      <c r="B506" s="69"/>
      <c r="C506" s="69"/>
    </row>
    <row r="507" spans="1:3" ht="12.75" x14ac:dyDescent="0.2">
      <c r="A507" s="68"/>
      <c r="B507" s="69"/>
      <c r="C507" s="69"/>
    </row>
    <row r="508" spans="1:3" ht="12.75" x14ac:dyDescent="0.2">
      <c r="A508" s="68"/>
      <c r="B508" s="69"/>
      <c r="C508" s="69"/>
    </row>
    <row r="509" spans="1:3" ht="12.75" x14ac:dyDescent="0.2">
      <c r="A509" s="68"/>
      <c r="B509" s="69"/>
      <c r="C509" s="69"/>
    </row>
    <row r="510" spans="1:3" ht="12.75" x14ac:dyDescent="0.2">
      <c r="A510" s="68"/>
      <c r="B510" s="69"/>
      <c r="C510" s="69"/>
    </row>
    <row r="511" spans="1:3" ht="12.75" x14ac:dyDescent="0.2">
      <c r="A511" s="68"/>
      <c r="B511" s="69"/>
      <c r="C511" s="69"/>
    </row>
    <row r="512" spans="1:3" ht="12.75" x14ac:dyDescent="0.2">
      <c r="A512" s="68"/>
      <c r="B512" s="69"/>
      <c r="C512" s="69"/>
    </row>
    <row r="513" spans="1:3" ht="12.75" x14ac:dyDescent="0.2">
      <c r="A513" s="68"/>
      <c r="B513" s="69"/>
      <c r="C513" s="69"/>
    </row>
    <row r="514" spans="1:3" ht="12.75" x14ac:dyDescent="0.2">
      <c r="A514" s="68"/>
      <c r="B514" s="69"/>
      <c r="C514" s="69"/>
    </row>
    <row r="515" spans="1:3" ht="12.75" x14ac:dyDescent="0.2">
      <c r="A515" s="68"/>
      <c r="B515" s="69"/>
      <c r="C515" s="69"/>
    </row>
    <row r="516" spans="1:3" ht="12.75" x14ac:dyDescent="0.2">
      <c r="A516" s="68"/>
      <c r="B516" s="69"/>
      <c r="C516" s="69"/>
    </row>
    <row r="517" spans="1:3" ht="12.75" x14ac:dyDescent="0.2">
      <c r="A517" s="68"/>
      <c r="B517" s="69"/>
      <c r="C517" s="69"/>
    </row>
    <row r="518" spans="1:3" ht="12.75" x14ac:dyDescent="0.2">
      <c r="A518" s="68"/>
      <c r="B518" s="69"/>
      <c r="C518" s="69"/>
    </row>
    <row r="519" spans="1:3" ht="12.75" x14ac:dyDescent="0.2">
      <c r="A519" s="68"/>
      <c r="B519" s="69"/>
      <c r="C519" s="69"/>
    </row>
    <row r="520" spans="1:3" ht="12.75" x14ac:dyDescent="0.2">
      <c r="A520" s="68"/>
      <c r="B520" s="69"/>
      <c r="C520" s="69"/>
    </row>
    <row r="521" spans="1:3" ht="12.75" x14ac:dyDescent="0.2">
      <c r="A521" s="68"/>
      <c r="B521" s="69"/>
      <c r="C521" s="69"/>
    </row>
    <row r="522" spans="1:3" ht="12.75" x14ac:dyDescent="0.2">
      <c r="A522" s="68"/>
      <c r="B522" s="69"/>
      <c r="C522" s="69"/>
    </row>
    <row r="523" spans="1:3" ht="12.75" x14ac:dyDescent="0.2">
      <c r="A523" s="68"/>
      <c r="B523" s="69"/>
      <c r="C523" s="69"/>
    </row>
    <row r="524" spans="1:3" ht="12.75" x14ac:dyDescent="0.2">
      <c r="A524" s="68"/>
      <c r="B524" s="69"/>
      <c r="C524" s="69"/>
    </row>
    <row r="525" spans="1:3" ht="12.75" x14ac:dyDescent="0.2">
      <c r="A525" s="68"/>
      <c r="B525" s="69"/>
      <c r="C525" s="69"/>
    </row>
    <row r="526" spans="1:3" ht="12.75" x14ac:dyDescent="0.2">
      <c r="A526" s="68"/>
      <c r="B526" s="69"/>
      <c r="C526" s="69"/>
    </row>
    <row r="527" spans="1:3" ht="12.75" x14ac:dyDescent="0.2">
      <c r="A527" s="68"/>
      <c r="B527" s="69"/>
      <c r="C527" s="69"/>
    </row>
    <row r="528" spans="1:3" ht="12.75" x14ac:dyDescent="0.2">
      <c r="A528" s="68"/>
      <c r="B528" s="69"/>
      <c r="C528" s="69"/>
    </row>
    <row r="529" spans="1:3" ht="12.75" x14ac:dyDescent="0.2">
      <c r="A529" s="68"/>
      <c r="B529" s="69"/>
      <c r="C529" s="69"/>
    </row>
    <row r="530" spans="1:3" ht="12.75" x14ac:dyDescent="0.2">
      <c r="A530" s="68"/>
      <c r="B530" s="69"/>
      <c r="C530" s="69"/>
    </row>
    <row r="531" spans="1:3" ht="12.75" x14ac:dyDescent="0.2">
      <c r="A531" s="68"/>
      <c r="B531" s="69"/>
      <c r="C531" s="69"/>
    </row>
    <row r="532" spans="1:3" ht="12.75" x14ac:dyDescent="0.2">
      <c r="A532" s="68"/>
      <c r="B532" s="69"/>
      <c r="C532" s="69"/>
    </row>
    <row r="533" spans="1:3" ht="12.75" x14ac:dyDescent="0.2">
      <c r="A533" s="68"/>
      <c r="B533" s="69"/>
      <c r="C533" s="69"/>
    </row>
    <row r="534" spans="1:3" ht="12.75" x14ac:dyDescent="0.2">
      <c r="A534" s="68"/>
      <c r="B534" s="69"/>
      <c r="C534" s="69"/>
    </row>
    <row r="535" spans="1:3" ht="12.75" x14ac:dyDescent="0.2">
      <c r="A535" s="68"/>
      <c r="B535" s="69"/>
      <c r="C535" s="69"/>
    </row>
    <row r="536" spans="1:3" ht="12.75" x14ac:dyDescent="0.2">
      <c r="A536" s="68"/>
      <c r="B536" s="69"/>
      <c r="C536" s="69"/>
    </row>
    <row r="537" spans="1:3" ht="12.75" x14ac:dyDescent="0.2">
      <c r="A537" s="68"/>
      <c r="B537" s="69"/>
      <c r="C537" s="69"/>
    </row>
    <row r="538" spans="1:3" ht="12.75" x14ac:dyDescent="0.2">
      <c r="A538" s="68"/>
      <c r="B538" s="69"/>
      <c r="C538" s="69"/>
    </row>
    <row r="539" spans="1:3" ht="12.75" x14ac:dyDescent="0.2">
      <c r="A539" s="68"/>
      <c r="B539" s="69"/>
      <c r="C539" s="69"/>
    </row>
    <row r="540" spans="1:3" ht="12.75" x14ac:dyDescent="0.2">
      <c r="A540" s="68"/>
      <c r="B540" s="69"/>
      <c r="C540" s="69"/>
    </row>
    <row r="541" spans="1:3" ht="12.75" x14ac:dyDescent="0.2">
      <c r="A541" s="68"/>
      <c r="B541" s="69"/>
      <c r="C541" s="69"/>
    </row>
    <row r="542" spans="1:3" ht="12.75" x14ac:dyDescent="0.2">
      <c r="A542" s="68"/>
      <c r="B542" s="69"/>
      <c r="C542" s="69"/>
    </row>
    <row r="543" spans="1:3" ht="12.75" x14ac:dyDescent="0.2">
      <c r="A543" s="68"/>
      <c r="B543" s="69"/>
      <c r="C543" s="69"/>
    </row>
    <row r="544" spans="1:3" ht="12.75" x14ac:dyDescent="0.2">
      <c r="A544" s="68"/>
      <c r="B544" s="69"/>
      <c r="C544" s="69"/>
    </row>
    <row r="545" spans="1:3" ht="12.75" x14ac:dyDescent="0.2">
      <c r="A545" s="68"/>
      <c r="B545" s="69"/>
      <c r="C545" s="69"/>
    </row>
    <row r="546" spans="1:3" ht="12.75" x14ac:dyDescent="0.2">
      <c r="A546" s="68"/>
      <c r="B546" s="69"/>
      <c r="C546" s="69"/>
    </row>
    <row r="547" spans="1:3" ht="12.75" x14ac:dyDescent="0.2">
      <c r="A547" s="68"/>
      <c r="B547" s="69"/>
      <c r="C547" s="69"/>
    </row>
    <row r="548" spans="1:3" ht="12.75" x14ac:dyDescent="0.2">
      <c r="A548" s="68"/>
      <c r="B548" s="69"/>
      <c r="C548" s="69"/>
    </row>
    <row r="549" spans="1:3" ht="12.75" x14ac:dyDescent="0.2">
      <c r="A549" s="68"/>
      <c r="B549" s="69"/>
      <c r="C549" s="69"/>
    </row>
    <row r="550" spans="1:3" ht="12.75" x14ac:dyDescent="0.2">
      <c r="A550" s="68"/>
      <c r="B550" s="69"/>
      <c r="C550" s="69"/>
    </row>
    <row r="551" spans="1:3" ht="12.75" x14ac:dyDescent="0.2">
      <c r="A551" s="68"/>
      <c r="B551" s="69"/>
      <c r="C551" s="69"/>
    </row>
    <row r="552" spans="1:3" ht="12.75" x14ac:dyDescent="0.2">
      <c r="A552" s="68"/>
      <c r="B552" s="69"/>
      <c r="C552" s="69"/>
    </row>
    <row r="553" spans="1:3" ht="12.75" x14ac:dyDescent="0.2">
      <c r="A553" s="68"/>
      <c r="B553" s="69"/>
      <c r="C553" s="69"/>
    </row>
    <row r="554" spans="1:3" ht="12.75" x14ac:dyDescent="0.2">
      <c r="A554" s="68"/>
      <c r="B554" s="69"/>
      <c r="C554" s="69"/>
    </row>
    <row r="555" spans="1:3" ht="12.75" x14ac:dyDescent="0.2">
      <c r="A555" s="68"/>
      <c r="B555" s="69"/>
      <c r="C555" s="69"/>
    </row>
    <row r="556" spans="1:3" ht="12.75" x14ac:dyDescent="0.2">
      <c r="A556" s="68"/>
      <c r="B556" s="69"/>
      <c r="C556" s="69"/>
    </row>
    <row r="557" spans="1:3" ht="12.75" x14ac:dyDescent="0.2">
      <c r="A557" s="68"/>
      <c r="B557" s="69"/>
      <c r="C557" s="69"/>
    </row>
    <row r="558" spans="1:3" ht="12.75" x14ac:dyDescent="0.2">
      <c r="A558" s="68"/>
      <c r="B558" s="69"/>
      <c r="C558" s="69"/>
    </row>
    <row r="559" spans="1:3" ht="12.75" x14ac:dyDescent="0.2">
      <c r="A559" s="68"/>
      <c r="B559" s="69"/>
      <c r="C559" s="69"/>
    </row>
    <row r="560" spans="1:3" ht="12.75" x14ac:dyDescent="0.2">
      <c r="A560" s="68"/>
      <c r="B560" s="69"/>
      <c r="C560" s="69"/>
    </row>
    <row r="561" spans="1:3" ht="12.75" x14ac:dyDescent="0.2">
      <c r="A561" s="68"/>
      <c r="B561" s="69"/>
      <c r="C561" s="69"/>
    </row>
    <row r="562" spans="1:3" ht="12.75" x14ac:dyDescent="0.2">
      <c r="A562" s="68"/>
      <c r="B562" s="69"/>
      <c r="C562" s="69"/>
    </row>
    <row r="563" spans="1:3" ht="12.75" x14ac:dyDescent="0.2">
      <c r="A563" s="68"/>
      <c r="B563" s="69"/>
      <c r="C563" s="69"/>
    </row>
    <row r="564" spans="1:3" ht="12.75" x14ac:dyDescent="0.2">
      <c r="A564" s="68"/>
      <c r="B564" s="69"/>
      <c r="C564" s="69"/>
    </row>
    <row r="565" spans="1:3" ht="12.75" x14ac:dyDescent="0.2">
      <c r="A565" s="68"/>
      <c r="B565" s="69"/>
      <c r="C565" s="69"/>
    </row>
    <row r="566" spans="1:3" ht="12.75" x14ac:dyDescent="0.2">
      <c r="A566" s="68"/>
      <c r="B566" s="69"/>
      <c r="C566" s="69"/>
    </row>
    <row r="567" spans="1:3" ht="12.75" x14ac:dyDescent="0.2">
      <c r="A567" s="68"/>
      <c r="B567" s="69"/>
      <c r="C567" s="69"/>
    </row>
    <row r="568" spans="1:3" ht="12.75" x14ac:dyDescent="0.2">
      <c r="A568" s="68"/>
      <c r="B568" s="69"/>
      <c r="C568" s="69"/>
    </row>
    <row r="569" spans="1:3" ht="12.75" x14ac:dyDescent="0.2">
      <c r="A569" s="68"/>
      <c r="B569" s="69"/>
      <c r="C569" s="69"/>
    </row>
    <row r="570" spans="1:3" ht="12.75" x14ac:dyDescent="0.2">
      <c r="A570" s="68"/>
      <c r="B570" s="69"/>
      <c r="C570" s="69"/>
    </row>
    <row r="571" spans="1:3" ht="12.75" x14ac:dyDescent="0.2">
      <c r="A571" s="68"/>
      <c r="B571" s="69"/>
      <c r="C571" s="69"/>
    </row>
    <row r="572" spans="1:3" ht="12.75" x14ac:dyDescent="0.2">
      <c r="A572" s="68"/>
      <c r="B572" s="69"/>
      <c r="C572" s="69"/>
    </row>
    <row r="573" spans="1:3" ht="12.75" x14ac:dyDescent="0.2">
      <c r="A573" s="68"/>
      <c r="B573" s="69"/>
      <c r="C573" s="69"/>
    </row>
    <row r="574" spans="1:3" ht="12.75" x14ac:dyDescent="0.2">
      <c r="A574" s="68"/>
      <c r="B574" s="69"/>
      <c r="C574" s="69"/>
    </row>
    <row r="575" spans="1:3" ht="12.75" x14ac:dyDescent="0.2">
      <c r="A575" s="68"/>
      <c r="B575" s="69"/>
      <c r="C575" s="69"/>
    </row>
    <row r="576" spans="1:3" ht="12.75" x14ac:dyDescent="0.2">
      <c r="A576" s="68"/>
      <c r="B576" s="69"/>
      <c r="C576" s="69"/>
    </row>
    <row r="577" spans="1:3" ht="12.75" x14ac:dyDescent="0.2">
      <c r="A577" s="68"/>
      <c r="B577" s="69"/>
      <c r="C577" s="69"/>
    </row>
    <row r="578" spans="1:3" ht="12.75" x14ac:dyDescent="0.2">
      <c r="A578" s="68"/>
      <c r="B578" s="69"/>
      <c r="C578" s="69"/>
    </row>
    <row r="579" spans="1:3" ht="12.75" x14ac:dyDescent="0.2">
      <c r="A579" s="68"/>
      <c r="B579" s="69"/>
      <c r="C579" s="69"/>
    </row>
    <row r="580" spans="1:3" ht="12.75" x14ac:dyDescent="0.2">
      <c r="A580" s="68"/>
      <c r="B580" s="69"/>
      <c r="C580" s="69"/>
    </row>
    <row r="581" spans="1:3" ht="12.75" x14ac:dyDescent="0.2">
      <c r="A581" s="68"/>
      <c r="B581" s="69"/>
      <c r="C581" s="69"/>
    </row>
    <row r="582" spans="1:3" ht="12.75" x14ac:dyDescent="0.2">
      <c r="A582" s="68"/>
      <c r="B582" s="69"/>
      <c r="C582" s="69"/>
    </row>
    <row r="583" spans="1:3" ht="12.75" x14ac:dyDescent="0.2">
      <c r="A583" s="68"/>
      <c r="B583" s="69"/>
      <c r="C583" s="69"/>
    </row>
    <row r="584" spans="1:3" ht="12.75" x14ac:dyDescent="0.2">
      <c r="A584" s="68"/>
      <c r="B584" s="69"/>
      <c r="C584" s="69"/>
    </row>
    <row r="585" spans="1:3" ht="12.75" x14ac:dyDescent="0.2">
      <c r="A585" s="68"/>
      <c r="B585" s="69"/>
      <c r="C585" s="69"/>
    </row>
    <row r="586" spans="1:3" ht="12.75" x14ac:dyDescent="0.2">
      <c r="A586" s="68"/>
      <c r="B586" s="69"/>
      <c r="C586" s="69"/>
    </row>
    <row r="587" spans="1:3" ht="12.75" x14ac:dyDescent="0.2">
      <c r="A587" s="68"/>
      <c r="B587" s="69"/>
      <c r="C587" s="69"/>
    </row>
    <row r="588" spans="1:3" ht="12.75" x14ac:dyDescent="0.2">
      <c r="A588" s="68"/>
      <c r="B588" s="69"/>
      <c r="C588" s="69"/>
    </row>
    <row r="589" spans="1:3" ht="12.75" x14ac:dyDescent="0.2">
      <c r="A589" s="68"/>
      <c r="B589" s="69"/>
      <c r="C589" s="69"/>
    </row>
    <row r="590" spans="1:3" ht="12.75" x14ac:dyDescent="0.2">
      <c r="A590" s="68"/>
      <c r="B590" s="69"/>
      <c r="C590" s="69"/>
    </row>
    <row r="591" spans="1:3" ht="12.75" x14ac:dyDescent="0.2">
      <c r="A591" s="68"/>
      <c r="B591" s="69"/>
      <c r="C591" s="69"/>
    </row>
    <row r="592" spans="1:3" ht="12.75" x14ac:dyDescent="0.2">
      <c r="A592" s="68"/>
      <c r="B592" s="69"/>
      <c r="C592" s="69"/>
    </row>
    <row r="593" spans="1:3" ht="12.75" x14ac:dyDescent="0.2">
      <c r="A593" s="68"/>
      <c r="B593" s="69"/>
      <c r="C593" s="69"/>
    </row>
    <row r="594" spans="1:3" ht="12.75" x14ac:dyDescent="0.2">
      <c r="A594" s="68"/>
      <c r="B594" s="69"/>
      <c r="C594" s="69"/>
    </row>
    <row r="595" spans="1:3" ht="12.75" x14ac:dyDescent="0.2">
      <c r="A595" s="68"/>
      <c r="B595" s="69"/>
      <c r="C595" s="69"/>
    </row>
    <row r="596" spans="1:3" ht="12.75" x14ac:dyDescent="0.2">
      <c r="A596" s="68"/>
      <c r="B596" s="69"/>
      <c r="C596" s="69"/>
    </row>
    <row r="597" spans="1:3" ht="12.75" x14ac:dyDescent="0.2">
      <c r="A597" s="68"/>
      <c r="B597" s="69"/>
      <c r="C597" s="69"/>
    </row>
    <row r="598" spans="1:3" ht="12.75" x14ac:dyDescent="0.2">
      <c r="A598" s="68"/>
      <c r="B598" s="69"/>
      <c r="C598" s="69"/>
    </row>
    <row r="599" spans="1:3" ht="12.75" x14ac:dyDescent="0.2">
      <c r="A599" s="68"/>
      <c r="B599" s="69"/>
      <c r="C599" s="69"/>
    </row>
    <row r="600" spans="1:3" ht="12.75" x14ac:dyDescent="0.2">
      <c r="A600" s="68"/>
      <c r="B600" s="69"/>
      <c r="C600" s="69"/>
    </row>
    <row r="601" spans="1:3" ht="12.75" x14ac:dyDescent="0.2">
      <c r="A601" s="68"/>
      <c r="B601" s="69"/>
      <c r="C601" s="69"/>
    </row>
    <row r="602" spans="1:3" ht="12.75" x14ac:dyDescent="0.2">
      <c r="A602" s="68"/>
      <c r="B602" s="69"/>
      <c r="C602" s="69"/>
    </row>
    <row r="603" spans="1:3" ht="12.75" x14ac:dyDescent="0.2">
      <c r="A603" s="68"/>
      <c r="B603" s="69"/>
      <c r="C603" s="69"/>
    </row>
    <row r="604" spans="1:3" ht="12.75" x14ac:dyDescent="0.2">
      <c r="A604" s="68"/>
      <c r="B604" s="69"/>
      <c r="C604" s="69"/>
    </row>
    <row r="605" spans="1:3" ht="12.75" x14ac:dyDescent="0.2">
      <c r="A605" s="68"/>
      <c r="B605" s="69"/>
      <c r="C605" s="69"/>
    </row>
    <row r="606" spans="1:3" ht="12.75" x14ac:dyDescent="0.2">
      <c r="A606" s="68"/>
      <c r="B606" s="69"/>
      <c r="C606" s="69"/>
    </row>
    <row r="607" spans="1:3" ht="12.75" x14ac:dyDescent="0.2">
      <c r="A607" s="68"/>
      <c r="B607" s="69"/>
      <c r="C607" s="69"/>
    </row>
    <row r="608" spans="1:3" ht="12.75" x14ac:dyDescent="0.2">
      <c r="A608" s="68"/>
      <c r="B608" s="69"/>
      <c r="C608" s="69"/>
    </row>
    <row r="609" spans="1:3" ht="12.75" x14ac:dyDescent="0.2">
      <c r="A609" s="68"/>
      <c r="B609" s="69"/>
      <c r="C609" s="69"/>
    </row>
    <row r="610" spans="1:3" ht="12.75" x14ac:dyDescent="0.2">
      <c r="A610" s="68"/>
      <c r="B610" s="69"/>
      <c r="C610" s="69"/>
    </row>
    <row r="611" spans="1:3" ht="12.75" x14ac:dyDescent="0.2">
      <c r="A611" s="68"/>
      <c r="B611" s="69"/>
      <c r="C611" s="69"/>
    </row>
    <row r="612" spans="1:3" ht="12.75" x14ac:dyDescent="0.2">
      <c r="A612" s="68"/>
      <c r="B612" s="69"/>
      <c r="C612" s="69"/>
    </row>
    <row r="613" spans="1:3" ht="12.75" x14ac:dyDescent="0.2">
      <c r="A613" s="68"/>
      <c r="B613" s="69"/>
      <c r="C613" s="69"/>
    </row>
    <row r="614" spans="1:3" ht="12.75" x14ac:dyDescent="0.2">
      <c r="A614" s="68"/>
      <c r="B614" s="69"/>
      <c r="C614" s="69"/>
    </row>
    <row r="615" spans="1:3" ht="12.75" x14ac:dyDescent="0.2">
      <c r="A615" s="68"/>
      <c r="B615" s="69"/>
      <c r="C615" s="69"/>
    </row>
    <row r="616" spans="1:3" ht="12.75" x14ac:dyDescent="0.2">
      <c r="A616" s="68"/>
      <c r="B616" s="69"/>
      <c r="C616" s="69"/>
    </row>
    <row r="617" spans="1:3" ht="12.75" x14ac:dyDescent="0.2">
      <c r="A617" s="68"/>
      <c r="B617" s="69"/>
      <c r="C617" s="69"/>
    </row>
    <row r="618" spans="1:3" ht="12.75" x14ac:dyDescent="0.2">
      <c r="A618" s="68"/>
      <c r="B618" s="69"/>
      <c r="C618" s="69"/>
    </row>
    <row r="619" spans="1:3" ht="12.75" x14ac:dyDescent="0.2">
      <c r="A619" s="68"/>
      <c r="B619" s="69"/>
      <c r="C619" s="69"/>
    </row>
    <row r="620" spans="1:3" ht="12.75" x14ac:dyDescent="0.2">
      <c r="A620" s="68"/>
      <c r="B620" s="69"/>
      <c r="C620" s="69"/>
    </row>
    <row r="621" spans="1:3" ht="12.75" x14ac:dyDescent="0.2">
      <c r="A621" s="68"/>
      <c r="B621" s="69"/>
      <c r="C621" s="69"/>
    </row>
    <row r="622" spans="1:3" ht="12.75" x14ac:dyDescent="0.2">
      <c r="A622" s="68"/>
      <c r="B622" s="69"/>
      <c r="C622" s="69"/>
    </row>
    <row r="623" spans="1:3" ht="12.75" x14ac:dyDescent="0.2">
      <c r="A623" s="68"/>
      <c r="B623" s="69"/>
      <c r="C623" s="69"/>
    </row>
    <row r="624" spans="1:3" ht="12.75" x14ac:dyDescent="0.2">
      <c r="A624" s="68"/>
      <c r="B624" s="69"/>
      <c r="C624" s="69"/>
    </row>
    <row r="625" spans="1:3" ht="12.75" x14ac:dyDescent="0.2">
      <c r="A625" s="68"/>
      <c r="B625" s="69"/>
      <c r="C625" s="69"/>
    </row>
    <row r="626" spans="1:3" ht="12.75" x14ac:dyDescent="0.2">
      <c r="A626" s="68"/>
      <c r="B626" s="69"/>
      <c r="C626" s="69"/>
    </row>
    <row r="627" spans="1:3" ht="12.75" x14ac:dyDescent="0.2">
      <c r="A627" s="68"/>
      <c r="B627" s="69"/>
      <c r="C627" s="69"/>
    </row>
    <row r="628" spans="1:3" ht="12.75" x14ac:dyDescent="0.2">
      <c r="A628" s="68"/>
      <c r="B628" s="69"/>
      <c r="C628" s="69"/>
    </row>
    <row r="629" spans="1:3" ht="12.75" x14ac:dyDescent="0.2">
      <c r="A629" s="68"/>
      <c r="B629" s="69"/>
      <c r="C629" s="69"/>
    </row>
    <row r="630" spans="1:3" ht="12.75" x14ac:dyDescent="0.2">
      <c r="A630" s="68"/>
      <c r="B630" s="69"/>
      <c r="C630" s="69"/>
    </row>
    <row r="631" spans="1:3" ht="12.75" x14ac:dyDescent="0.2">
      <c r="A631" s="68"/>
      <c r="B631" s="69"/>
      <c r="C631" s="69"/>
    </row>
    <row r="632" spans="1:3" ht="12.75" x14ac:dyDescent="0.2">
      <c r="A632" s="68"/>
      <c r="B632" s="69"/>
      <c r="C632" s="69"/>
    </row>
    <row r="633" spans="1:3" ht="12.75" x14ac:dyDescent="0.2">
      <c r="A633" s="68"/>
      <c r="B633" s="69"/>
      <c r="C633" s="69"/>
    </row>
    <row r="634" spans="1:3" ht="12.75" x14ac:dyDescent="0.2">
      <c r="A634" s="68"/>
      <c r="B634" s="69"/>
      <c r="C634" s="69"/>
    </row>
    <row r="635" spans="1:3" ht="12.75" x14ac:dyDescent="0.2">
      <c r="A635" s="68"/>
      <c r="B635" s="69"/>
      <c r="C635" s="69"/>
    </row>
    <row r="636" spans="1:3" ht="12.75" x14ac:dyDescent="0.2">
      <c r="A636" s="68"/>
      <c r="B636" s="69"/>
      <c r="C636" s="69"/>
    </row>
    <row r="637" spans="1:3" ht="12.75" x14ac:dyDescent="0.2">
      <c r="A637" s="68"/>
      <c r="B637" s="69"/>
      <c r="C637" s="69"/>
    </row>
    <row r="638" spans="1:3" ht="12.75" x14ac:dyDescent="0.2">
      <c r="A638" s="68"/>
      <c r="B638" s="69"/>
      <c r="C638" s="69"/>
    </row>
    <row r="639" spans="1:3" ht="12.75" x14ac:dyDescent="0.2">
      <c r="A639" s="68"/>
      <c r="B639" s="69"/>
      <c r="C639" s="69"/>
    </row>
    <row r="640" spans="1:3" ht="12.75" x14ac:dyDescent="0.2">
      <c r="A640" s="68"/>
      <c r="B640" s="69"/>
      <c r="C640" s="69"/>
    </row>
    <row r="641" spans="1:3" ht="12.75" x14ac:dyDescent="0.2">
      <c r="A641" s="68"/>
      <c r="B641" s="69"/>
      <c r="C641" s="69"/>
    </row>
    <row r="642" spans="1:3" ht="12.75" x14ac:dyDescent="0.2">
      <c r="A642" s="68"/>
      <c r="B642" s="69"/>
      <c r="C642" s="69"/>
    </row>
    <row r="643" spans="1:3" ht="12.75" x14ac:dyDescent="0.2">
      <c r="A643" s="68"/>
      <c r="B643" s="69"/>
      <c r="C643" s="69"/>
    </row>
    <row r="644" spans="1:3" ht="12.75" x14ac:dyDescent="0.2">
      <c r="A644" s="68"/>
      <c r="B644" s="69"/>
      <c r="C644" s="69"/>
    </row>
    <row r="645" spans="1:3" ht="12.75" x14ac:dyDescent="0.2">
      <c r="A645" s="68"/>
      <c r="B645" s="69"/>
      <c r="C645" s="69"/>
    </row>
    <row r="646" spans="1:3" ht="12.75" x14ac:dyDescent="0.2">
      <c r="A646" s="68"/>
      <c r="B646" s="69"/>
      <c r="C646" s="69"/>
    </row>
    <row r="647" spans="1:3" ht="12.75" x14ac:dyDescent="0.2">
      <c r="A647" s="68"/>
      <c r="B647" s="69"/>
      <c r="C647" s="69"/>
    </row>
    <row r="648" spans="1:3" ht="12.75" x14ac:dyDescent="0.2">
      <c r="A648" s="68"/>
      <c r="B648" s="69"/>
      <c r="C648" s="69"/>
    </row>
    <row r="649" spans="1:3" ht="12.75" x14ac:dyDescent="0.2">
      <c r="A649" s="68"/>
      <c r="B649" s="69"/>
      <c r="C649" s="69"/>
    </row>
    <row r="650" spans="1:3" ht="12.75" x14ac:dyDescent="0.2">
      <c r="A650" s="68"/>
      <c r="B650" s="69"/>
      <c r="C650" s="69"/>
    </row>
    <row r="651" spans="1:3" ht="12.75" x14ac:dyDescent="0.2">
      <c r="A651" s="68"/>
      <c r="B651" s="69"/>
      <c r="C651" s="69"/>
    </row>
    <row r="652" spans="1:3" ht="12.75" x14ac:dyDescent="0.2">
      <c r="A652" s="68"/>
      <c r="B652" s="69"/>
      <c r="C652" s="69"/>
    </row>
    <row r="653" spans="1:3" ht="12.75" x14ac:dyDescent="0.2">
      <c r="A653" s="68"/>
      <c r="B653" s="69"/>
      <c r="C653" s="69"/>
    </row>
    <row r="654" spans="1:3" ht="12.75" x14ac:dyDescent="0.2">
      <c r="A654" s="68"/>
      <c r="B654" s="69"/>
      <c r="C654" s="69"/>
    </row>
    <row r="655" spans="1:3" ht="12.75" x14ac:dyDescent="0.2">
      <c r="A655" s="68"/>
      <c r="B655" s="69"/>
      <c r="C655" s="69"/>
    </row>
    <row r="656" spans="1:3" ht="12.75" x14ac:dyDescent="0.2">
      <c r="A656" s="68"/>
      <c r="B656" s="69"/>
      <c r="C656" s="69"/>
    </row>
    <row r="657" spans="1:3" ht="12.75" x14ac:dyDescent="0.2">
      <c r="A657" s="68"/>
      <c r="B657" s="69"/>
      <c r="C657" s="69"/>
    </row>
    <row r="658" spans="1:3" ht="12.75" x14ac:dyDescent="0.2">
      <c r="A658" s="68"/>
      <c r="B658" s="69"/>
      <c r="C658" s="69"/>
    </row>
    <row r="659" spans="1:3" ht="12.75" x14ac:dyDescent="0.2">
      <c r="A659" s="68"/>
      <c r="B659" s="69"/>
      <c r="C659" s="69"/>
    </row>
    <row r="660" spans="1:3" ht="12.75" x14ac:dyDescent="0.2">
      <c r="A660" s="68"/>
      <c r="B660" s="69"/>
      <c r="C660" s="69"/>
    </row>
    <row r="661" spans="1:3" ht="12.75" x14ac:dyDescent="0.2">
      <c r="A661" s="68"/>
      <c r="B661" s="69"/>
      <c r="C661" s="69"/>
    </row>
    <row r="662" spans="1:3" ht="12.75" x14ac:dyDescent="0.2">
      <c r="A662" s="68"/>
      <c r="B662" s="69"/>
      <c r="C662" s="69"/>
    </row>
    <row r="663" spans="1:3" ht="12.75" x14ac:dyDescent="0.2">
      <c r="A663" s="68"/>
      <c r="B663" s="69"/>
      <c r="C663" s="69"/>
    </row>
    <row r="664" spans="1:3" ht="12.75" x14ac:dyDescent="0.2">
      <c r="A664" s="68"/>
      <c r="B664" s="69"/>
      <c r="C664" s="69"/>
    </row>
    <row r="665" spans="1:3" ht="12.75" x14ac:dyDescent="0.2">
      <c r="A665" s="68"/>
      <c r="B665" s="69"/>
      <c r="C665" s="69"/>
    </row>
    <row r="666" spans="1:3" ht="12.75" x14ac:dyDescent="0.2">
      <c r="A666" s="68"/>
      <c r="B666" s="69"/>
      <c r="C666" s="69"/>
    </row>
    <row r="667" spans="1:3" ht="12.75" x14ac:dyDescent="0.2">
      <c r="A667" s="68"/>
      <c r="B667" s="69"/>
      <c r="C667" s="69"/>
    </row>
    <row r="668" spans="1:3" ht="12.75" x14ac:dyDescent="0.2">
      <c r="A668" s="68"/>
      <c r="B668" s="69"/>
      <c r="C668" s="69"/>
    </row>
    <row r="669" spans="1:3" ht="12.75" x14ac:dyDescent="0.2">
      <c r="A669" s="68"/>
      <c r="B669" s="69"/>
      <c r="C669" s="69"/>
    </row>
    <row r="670" spans="1:3" ht="12.75" x14ac:dyDescent="0.2">
      <c r="A670" s="68"/>
      <c r="B670" s="69"/>
      <c r="C670" s="69"/>
    </row>
    <row r="671" spans="1:3" ht="12.75" x14ac:dyDescent="0.2">
      <c r="A671" s="68"/>
      <c r="B671" s="69"/>
      <c r="C671" s="69"/>
    </row>
    <row r="672" spans="1:3" ht="12.75" x14ac:dyDescent="0.2">
      <c r="A672" s="68"/>
      <c r="B672" s="69"/>
      <c r="C672" s="69"/>
    </row>
    <row r="673" spans="1:3" ht="12.75" x14ac:dyDescent="0.2">
      <c r="A673" s="68"/>
      <c r="B673" s="69"/>
      <c r="C673" s="69"/>
    </row>
    <row r="674" spans="1:3" ht="12.75" x14ac:dyDescent="0.2">
      <c r="A674" s="68"/>
      <c r="B674" s="69"/>
      <c r="C674" s="69"/>
    </row>
    <row r="675" spans="1:3" ht="12.75" x14ac:dyDescent="0.2">
      <c r="A675" s="68"/>
      <c r="B675" s="69"/>
      <c r="C675" s="69"/>
    </row>
    <row r="676" spans="1:3" ht="12.75" x14ac:dyDescent="0.2">
      <c r="A676" s="68"/>
      <c r="B676" s="69"/>
      <c r="C676" s="69"/>
    </row>
    <row r="677" spans="1:3" ht="12.75" x14ac:dyDescent="0.2">
      <c r="A677" s="68"/>
      <c r="B677" s="69"/>
      <c r="C677" s="69"/>
    </row>
    <row r="678" spans="1:3" ht="12.75" x14ac:dyDescent="0.2">
      <c r="A678" s="68"/>
      <c r="B678" s="69"/>
      <c r="C678" s="69"/>
    </row>
    <row r="679" spans="1:3" ht="12.75" x14ac:dyDescent="0.2">
      <c r="A679" s="68"/>
      <c r="B679" s="69"/>
      <c r="C679" s="69"/>
    </row>
    <row r="680" spans="1:3" ht="12.75" x14ac:dyDescent="0.2">
      <c r="A680" s="68"/>
      <c r="B680" s="69"/>
      <c r="C680" s="69"/>
    </row>
    <row r="681" spans="1:3" ht="12.75" x14ac:dyDescent="0.2">
      <c r="A681" s="68"/>
      <c r="B681" s="69"/>
      <c r="C681" s="69"/>
    </row>
    <row r="682" spans="1:3" ht="12.75" x14ac:dyDescent="0.2">
      <c r="A682" s="68"/>
      <c r="B682" s="69"/>
      <c r="C682" s="69"/>
    </row>
    <row r="683" spans="1:3" ht="12.75" x14ac:dyDescent="0.2">
      <c r="A683" s="68"/>
      <c r="B683" s="69"/>
      <c r="C683" s="69"/>
    </row>
    <row r="684" spans="1:3" ht="12.75" x14ac:dyDescent="0.2">
      <c r="A684" s="68"/>
      <c r="B684" s="69"/>
      <c r="C684" s="69"/>
    </row>
    <row r="685" spans="1:3" ht="12.75" x14ac:dyDescent="0.2">
      <c r="A685" s="68"/>
      <c r="B685" s="69"/>
      <c r="C685" s="69"/>
    </row>
    <row r="686" spans="1:3" ht="12.75" x14ac:dyDescent="0.2">
      <c r="A686" s="68"/>
      <c r="B686" s="69"/>
      <c r="C686" s="69"/>
    </row>
    <row r="687" spans="1:3" ht="12.75" x14ac:dyDescent="0.2">
      <c r="A687" s="68"/>
      <c r="B687" s="69"/>
      <c r="C687" s="69"/>
    </row>
    <row r="688" spans="1:3" ht="12.75" x14ac:dyDescent="0.2">
      <c r="A688" s="68"/>
      <c r="B688" s="69"/>
      <c r="C688" s="69"/>
    </row>
    <row r="689" spans="1:3" ht="12.75" x14ac:dyDescent="0.2">
      <c r="A689" s="68"/>
      <c r="B689" s="69"/>
      <c r="C689" s="69"/>
    </row>
    <row r="690" spans="1:3" ht="12.75" x14ac:dyDescent="0.2">
      <c r="A690" s="68"/>
      <c r="B690" s="69"/>
      <c r="C690" s="69"/>
    </row>
    <row r="691" spans="1:3" ht="12.75" x14ac:dyDescent="0.2">
      <c r="A691" s="68"/>
      <c r="B691" s="69"/>
      <c r="C691" s="69"/>
    </row>
    <row r="692" spans="1:3" ht="12.75" x14ac:dyDescent="0.2">
      <c r="A692" s="68"/>
      <c r="B692" s="69"/>
      <c r="C692" s="69"/>
    </row>
    <row r="693" spans="1:3" ht="12.75" x14ac:dyDescent="0.2">
      <c r="A693" s="68"/>
      <c r="B693" s="69"/>
      <c r="C693" s="69"/>
    </row>
    <row r="694" spans="1:3" ht="12.75" x14ac:dyDescent="0.2">
      <c r="A694" s="68"/>
      <c r="B694" s="69"/>
      <c r="C694" s="69"/>
    </row>
    <row r="695" spans="1:3" ht="12.75" x14ac:dyDescent="0.2">
      <c r="A695" s="68"/>
      <c r="B695" s="69"/>
      <c r="C695" s="69"/>
    </row>
    <row r="696" spans="1:3" ht="12.75" x14ac:dyDescent="0.2">
      <c r="A696" s="68"/>
      <c r="B696" s="69"/>
      <c r="C696" s="69"/>
    </row>
    <row r="697" spans="1:3" ht="12.75" x14ac:dyDescent="0.2">
      <c r="A697" s="68"/>
      <c r="B697" s="69"/>
      <c r="C697" s="69"/>
    </row>
    <row r="698" spans="1:3" ht="12.75" x14ac:dyDescent="0.2">
      <c r="A698" s="68"/>
      <c r="B698" s="69"/>
      <c r="C698" s="69"/>
    </row>
    <row r="699" spans="1:3" ht="12.75" x14ac:dyDescent="0.2">
      <c r="A699" s="68"/>
      <c r="B699" s="69"/>
      <c r="C699" s="69"/>
    </row>
    <row r="700" spans="1:3" ht="12.75" x14ac:dyDescent="0.2">
      <c r="A700" s="68"/>
      <c r="B700" s="69"/>
      <c r="C700" s="69"/>
    </row>
    <row r="701" spans="1:3" ht="12.75" x14ac:dyDescent="0.2">
      <c r="A701" s="68"/>
      <c r="B701" s="69"/>
      <c r="C701" s="69"/>
    </row>
    <row r="702" spans="1:3" ht="12.75" x14ac:dyDescent="0.2">
      <c r="A702" s="68"/>
      <c r="B702" s="69"/>
      <c r="C702" s="69"/>
    </row>
    <row r="703" spans="1:3" ht="12.75" x14ac:dyDescent="0.2">
      <c r="A703" s="68"/>
      <c r="B703" s="69"/>
      <c r="C703" s="69"/>
    </row>
    <row r="704" spans="1:3" ht="12.75" x14ac:dyDescent="0.2">
      <c r="A704" s="68"/>
      <c r="B704" s="69"/>
      <c r="C704" s="69"/>
    </row>
    <row r="705" spans="1:3" ht="12.75" x14ac:dyDescent="0.2">
      <c r="A705" s="68"/>
      <c r="B705" s="69"/>
      <c r="C705" s="69"/>
    </row>
    <row r="706" spans="1:3" ht="12.75" x14ac:dyDescent="0.2">
      <c r="A706" s="68"/>
      <c r="B706" s="69"/>
      <c r="C706" s="69"/>
    </row>
    <row r="707" spans="1:3" ht="12.75" x14ac:dyDescent="0.2">
      <c r="A707" s="68"/>
      <c r="B707" s="69"/>
      <c r="C707" s="69"/>
    </row>
    <row r="708" spans="1:3" ht="12.75" x14ac:dyDescent="0.2">
      <c r="A708" s="68"/>
      <c r="B708" s="69"/>
      <c r="C708" s="69"/>
    </row>
    <row r="709" spans="1:3" ht="12.75" x14ac:dyDescent="0.2">
      <c r="A709" s="68"/>
      <c r="B709" s="69"/>
      <c r="C709" s="69"/>
    </row>
    <row r="710" spans="1:3" ht="12.75" x14ac:dyDescent="0.2">
      <c r="A710" s="68"/>
      <c r="B710" s="69"/>
      <c r="C710" s="69"/>
    </row>
    <row r="711" spans="1:3" ht="12.75" x14ac:dyDescent="0.2">
      <c r="A711" s="68"/>
      <c r="B711" s="69"/>
      <c r="C711" s="69"/>
    </row>
    <row r="712" spans="1:3" ht="12.75" x14ac:dyDescent="0.2">
      <c r="A712" s="68"/>
      <c r="B712" s="69"/>
      <c r="C712" s="69"/>
    </row>
    <row r="713" spans="1:3" ht="12.75" x14ac:dyDescent="0.2">
      <c r="A713" s="68"/>
      <c r="B713" s="69"/>
      <c r="C713" s="69"/>
    </row>
    <row r="714" spans="1:3" ht="12.75" x14ac:dyDescent="0.2">
      <c r="A714" s="68"/>
      <c r="B714" s="69"/>
      <c r="C714" s="69"/>
    </row>
    <row r="715" spans="1:3" ht="12.75" x14ac:dyDescent="0.2">
      <c r="A715" s="68"/>
      <c r="B715" s="69"/>
      <c r="C715" s="69"/>
    </row>
    <row r="716" spans="1:3" ht="12.75" x14ac:dyDescent="0.2">
      <c r="A716" s="68"/>
      <c r="B716" s="69"/>
      <c r="C716" s="69"/>
    </row>
    <row r="717" spans="1:3" ht="12.75" x14ac:dyDescent="0.2">
      <c r="A717" s="68"/>
      <c r="B717" s="69"/>
      <c r="C717" s="69"/>
    </row>
    <row r="718" spans="1:3" ht="12.75" x14ac:dyDescent="0.2">
      <c r="A718" s="68"/>
      <c r="B718" s="69"/>
      <c r="C718" s="69"/>
    </row>
    <row r="719" spans="1:3" ht="12.75" x14ac:dyDescent="0.2">
      <c r="A719" s="68"/>
      <c r="B719" s="69"/>
      <c r="C719" s="69"/>
    </row>
    <row r="720" spans="1:3" ht="12.75" x14ac:dyDescent="0.2">
      <c r="A720" s="68"/>
      <c r="B720" s="69"/>
      <c r="C720" s="69"/>
    </row>
    <row r="721" spans="1:3" ht="12.75" x14ac:dyDescent="0.2">
      <c r="A721" s="68"/>
      <c r="B721" s="69"/>
      <c r="C721" s="69"/>
    </row>
    <row r="722" spans="1:3" ht="12.75" x14ac:dyDescent="0.2">
      <c r="A722" s="68"/>
      <c r="B722" s="69"/>
      <c r="C722" s="69"/>
    </row>
    <row r="723" spans="1:3" ht="12.75" x14ac:dyDescent="0.2">
      <c r="A723" s="68"/>
      <c r="B723" s="69"/>
      <c r="C723" s="69"/>
    </row>
    <row r="724" spans="1:3" ht="12.75" x14ac:dyDescent="0.2">
      <c r="A724" s="68"/>
      <c r="B724" s="69"/>
      <c r="C724" s="69"/>
    </row>
    <row r="725" spans="1:3" ht="12.75" x14ac:dyDescent="0.2">
      <c r="A725" s="68"/>
      <c r="B725" s="69"/>
      <c r="C725" s="69"/>
    </row>
    <row r="726" spans="1:3" ht="12.75" x14ac:dyDescent="0.2">
      <c r="A726" s="68"/>
      <c r="B726" s="69"/>
      <c r="C726" s="69"/>
    </row>
    <row r="727" spans="1:3" ht="12.75" x14ac:dyDescent="0.2">
      <c r="A727" s="68"/>
      <c r="B727" s="69"/>
      <c r="C727" s="69"/>
    </row>
    <row r="728" spans="1:3" ht="12.75" x14ac:dyDescent="0.2">
      <c r="A728" s="68"/>
      <c r="B728" s="69"/>
      <c r="C728" s="69"/>
    </row>
    <row r="729" spans="1:3" ht="12.75" x14ac:dyDescent="0.2">
      <c r="A729" s="68"/>
      <c r="B729" s="69"/>
      <c r="C729" s="69"/>
    </row>
    <row r="730" spans="1:3" ht="12.75" x14ac:dyDescent="0.2">
      <c r="A730" s="68"/>
      <c r="B730" s="69"/>
      <c r="C730" s="69"/>
    </row>
    <row r="731" spans="1:3" ht="12.75" x14ac:dyDescent="0.2">
      <c r="A731" s="68"/>
      <c r="B731" s="69"/>
      <c r="C731" s="69"/>
    </row>
    <row r="732" spans="1:3" ht="12.75" x14ac:dyDescent="0.2">
      <c r="A732" s="68"/>
      <c r="B732" s="69"/>
      <c r="C732" s="69"/>
    </row>
    <row r="733" spans="1:3" ht="12.75" x14ac:dyDescent="0.2">
      <c r="A733" s="68"/>
      <c r="B733" s="69"/>
      <c r="C733" s="69"/>
    </row>
    <row r="734" spans="1:3" ht="12.75" x14ac:dyDescent="0.2">
      <c r="A734" s="68"/>
      <c r="B734" s="69"/>
      <c r="C734" s="69"/>
    </row>
    <row r="735" spans="1:3" ht="12.75" x14ac:dyDescent="0.2">
      <c r="A735" s="68"/>
      <c r="B735" s="69"/>
      <c r="C735" s="69"/>
    </row>
    <row r="736" spans="1:3" ht="12.75" x14ac:dyDescent="0.2">
      <c r="A736" s="68"/>
      <c r="B736" s="69"/>
      <c r="C736" s="69"/>
    </row>
    <row r="737" spans="1:3" ht="12.75" x14ac:dyDescent="0.2">
      <c r="A737" s="68"/>
      <c r="B737" s="69"/>
      <c r="C737" s="69"/>
    </row>
    <row r="738" spans="1:3" ht="12.75" x14ac:dyDescent="0.2">
      <c r="A738" s="68"/>
      <c r="B738" s="69"/>
      <c r="C738" s="69"/>
    </row>
    <row r="739" spans="1:3" ht="12.75" x14ac:dyDescent="0.2">
      <c r="A739" s="68"/>
      <c r="B739" s="69"/>
      <c r="C739" s="69"/>
    </row>
    <row r="740" spans="1:3" ht="12.75" x14ac:dyDescent="0.2">
      <c r="A740" s="68"/>
      <c r="B740" s="69"/>
      <c r="C740" s="69"/>
    </row>
    <row r="741" spans="1:3" ht="12.75" x14ac:dyDescent="0.2">
      <c r="A741" s="68"/>
      <c r="B741" s="69"/>
      <c r="C741" s="69"/>
    </row>
    <row r="742" spans="1:3" ht="12.75" x14ac:dyDescent="0.2">
      <c r="A742" s="68"/>
      <c r="B742" s="69"/>
      <c r="C742" s="69"/>
    </row>
    <row r="743" spans="1:3" ht="12.75" x14ac:dyDescent="0.2">
      <c r="A743" s="68"/>
      <c r="B743" s="69"/>
      <c r="C743" s="69"/>
    </row>
    <row r="744" spans="1:3" ht="12.75" x14ac:dyDescent="0.2">
      <c r="A744" s="68"/>
      <c r="B744" s="69"/>
      <c r="C744" s="69"/>
    </row>
    <row r="745" spans="1:3" ht="12.75" x14ac:dyDescent="0.2">
      <c r="A745" s="68"/>
      <c r="B745" s="69"/>
      <c r="C745" s="69"/>
    </row>
    <row r="746" spans="1:3" ht="12.75" x14ac:dyDescent="0.2">
      <c r="A746" s="68"/>
      <c r="B746" s="69"/>
      <c r="C746" s="69"/>
    </row>
    <row r="747" spans="1:3" ht="12.75" x14ac:dyDescent="0.2">
      <c r="A747" s="68"/>
      <c r="B747" s="69"/>
      <c r="C747" s="69"/>
    </row>
    <row r="748" spans="1:3" ht="12.75" x14ac:dyDescent="0.2">
      <c r="A748" s="68"/>
      <c r="B748" s="69"/>
      <c r="C748" s="69"/>
    </row>
    <row r="749" spans="1:3" ht="12.75" x14ac:dyDescent="0.2">
      <c r="A749" s="68"/>
      <c r="B749" s="69"/>
      <c r="C749" s="69"/>
    </row>
    <row r="750" spans="1:3" ht="12.75" x14ac:dyDescent="0.2">
      <c r="A750" s="68"/>
      <c r="B750" s="69"/>
      <c r="C750" s="69"/>
    </row>
    <row r="751" spans="1:3" ht="12.75" x14ac:dyDescent="0.2">
      <c r="A751" s="68"/>
      <c r="B751" s="69"/>
      <c r="C751" s="69"/>
    </row>
    <row r="752" spans="1:3" ht="12.75" x14ac:dyDescent="0.2">
      <c r="A752" s="68"/>
      <c r="B752" s="69"/>
      <c r="C752" s="69"/>
    </row>
    <row r="753" spans="1:3" ht="12.75" x14ac:dyDescent="0.2">
      <c r="A753" s="68"/>
      <c r="B753" s="69"/>
      <c r="C753" s="69"/>
    </row>
    <row r="754" spans="1:3" ht="12.75" x14ac:dyDescent="0.2">
      <c r="A754" s="68"/>
      <c r="B754" s="69"/>
      <c r="C754" s="69"/>
    </row>
    <row r="755" spans="1:3" ht="12.75" x14ac:dyDescent="0.2">
      <c r="A755" s="68"/>
      <c r="B755" s="69"/>
      <c r="C755" s="69"/>
    </row>
    <row r="756" spans="1:3" ht="12.75" x14ac:dyDescent="0.2">
      <c r="A756" s="68"/>
      <c r="B756" s="69"/>
      <c r="C756" s="69"/>
    </row>
    <row r="757" spans="1:3" ht="12.75" x14ac:dyDescent="0.2">
      <c r="A757" s="68"/>
      <c r="B757" s="69"/>
      <c r="C757" s="69"/>
    </row>
    <row r="758" spans="1:3" ht="12.75" x14ac:dyDescent="0.2">
      <c r="A758" s="68"/>
      <c r="B758" s="69"/>
      <c r="C758" s="69"/>
    </row>
    <row r="759" spans="1:3" ht="12.75" x14ac:dyDescent="0.2">
      <c r="A759" s="68"/>
      <c r="B759" s="69"/>
      <c r="C759" s="69"/>
    </row>
    <row r="760" spans="1:3" ht="12.75" x14ac:dyDescent="0.2">
      <c r="A760" s="68"/>
      <c r="B760" s="69"/>
      <c r="C760" s="69"/>
    </row>
    <row r="761" spans="1:3" ht="12.75" x14ac:dyDescent="0.2">
      <c r="A761" s="68"/>
      <c r="B761" s="69"/>
      <c r="C761" s="69"/>
    </row>
    <row r="762" spans="1:3" ht="12.75" x14ac:dyDescent="0.2">
      <c r="A762" s="68"/>
      <c r="B762" s="69"/>
      <c r="C762" s="69"/>
    </row>
    <row r="763" spans="1:3" ht="12.75" x14ac:dyDescent="0.2">
      <c r="A763" s="68"/>
      <c r="B763" s="69"/>
      <c r="C763" s="69"/>
    </row>
    <row r="764" spans="1:3" ht="12.75" x14ac:dyDescent="0.2">
      <c r="A764" s="68"/>
      <c r="B764" s="69"/>
      <c r="C764" s="69"/>
    </row>
    <row r="765" spans="1:3" ht="12.75" x14ac:dyDescent="0.2">
      <c r="A765" s="68"/>
      <c r="B765" s="69"/>
      <c r="C765" s="69"/>
    </row>
    <row r="766" spans="1:3" ht="12.75" x14ac:dyDescent="0.2">
      <c r="A766" s="68"/>
      <c r="B766" s="69"/>
      <c r="C766" s="69"/>
    </row>
    <row r="767" spans="1:3" ht="12.75" x14ac:dyDescent="0.2">
      <c r="A767" s="68"/>
      <c r="B767" s="69"/>
      <c r="C767" s="69"/>
    </row>
    <row r="768" spans="1:3" ht="12.75" x14ac:dyDescent="0.2">
      <c r="A768" s="68"/>
      <c r="B768" s="69"/>
      <c r="C768" s="69"/>
    </row>
    <row r="769" spans="1:3" ht="12.75" x14ac:dyDescent="0.2">
      <c r="A769" s="68"/>
      <c r="B769" s="69"/>
      <c r="C769" s="69"/>
    </row>
    <row r="770" spans="1:3" ht="12.75" x14ac:dyDescent="0.2">
      <c r="A770" s="68"/>
      <c r="B770" s="69"/>
      <c r="C770" s="69"/>
    </row>
    <row r="771" spans="1:3" ht="12.75" x14ac:dyDescent="0.2">
      <c r="A771" s="68"/>
      <c r="B771" s="69"/>
      <c r="C771" s="69"/>
    </row>
    <row r="772" spans="1:3" ht="12.75" x14ac:dyDescent="0.2">
      <c r="A772" s="68"/>
      <c r="B772" s="69"/>
      <c r="C772" s="69"/>
    </row>
    <row r="773" spans="1:3" ht="12.75" x14ac:dyDescent="0.2">
      <c r="A773" s="68"/>
      <c r="B773" s="69"/>
      <c r="C773" s="69"/>
    </row>
    <row r="774" spans="1:3" ht="12.75" x14ac:dyDescent="0.2">
      <c r="A774" s="68"/>
      <c r="B774" s="69"/>
      <c r="C774" s="69"/>
    </row>
    <row r="775" spans="1:3" ht="12.75" x14ac:dyDescent="0.2">
      <c r="A775" s="68"/>
      <c r="B775" s="69"/>
      <c r="C775" s="69"/>
    </row>
    <row r="776" spans="1:3" ht="12.75" x14ac:dyDescent="0.2">
      <c r="A776" s="68"/>
      <c r="B776" s="69"/>
      <c r="C776" s="69"/>
    </row>
    <row r="777" spans="1:3" ht="12.75" x14ac:dyDescent="0.2">
      <c r="A777" s="68"/>
      <c r="B777" s="69"/>
      <c r="C777" s="69"/>
    </row>
    <row r="778" spans="1:3" ht="12.75" x14ac:dyDescent="0.2">
      <c r="A778" s="68"/>
      <c r="B778" s="69"/>
      <c r="C778" s="69"/>
    </row>
    <row r="779" spans="1:3" ht="12.75" x14ac:dyDescent="0.2">
      <c r="A779" s="68"/>
      <c r="B779" s="69"/>
      <c r="C779" s="69"/>
    </row>
    <row r="780" spans="1:3" ht="12.75" x14ac:dyDescent="0.2">
      <c r="A780" s="68"/>
      <c r="B780" s="69"/>
      <c r="C780" s="69"/>
    </row>
    <row r="781" spans="1:3" ht="12.75" x14ac:dyDescent="0.2">
      <c r="A781" s="68"/>
      <c r="B781" s="69"/>
      <c r="C781" s="69"/>
    </row>
    <row r="782" spans="1:3" ht="12.75" x14ac:dyDescent="0.2">
      <c r="A782" s="68"/>
      <c r="B782" s="69"/>
      <c r="C782" s="69"/>
    </row>
    <row r="783" spans="1:3" ht="12.75" x14ac:dyDescent="0.2">
      <c r="A783" s="68"/>
      <c r="B783" s="69"/>
      <c r="C783" s="69"/>
    </row>
    <row r="784" spans="1:3" ht="12.75" x14ac:dyDescent="0.2">
      <c r="A784" s="68"/>
      <c r="B784" s="69"/>
      <c r="C784" s="69"/>
    </row>
    <row r="785" spans="1:3" ht="12.75" x14ac:dyDescent="0.2">
      <c r="A785" s="68"/>
      <c r="B785" s="69"/>
      <c r="C785" s="69"/>
    </row>
    <row r="786" spans="1:3" ht="12.75" x14ac:dyDescent="0.2">
      <c r="A786" s="68"/>
      <c r="B786" s="69"/>
      <c r="C786" s="69"/>
    </row>
    <row r="787" spans="1:3" ht="12.75" x14ac:dyDescent="0.2">
      <c r="A787" s="68"/>
      <c r="B787" s="69"/>
      <c r="C787" s="69"/>
    </row>
    <row r="788" spans="1:3" ht="12.75" x14ac:dyDescent="0.2">
      <c r="A788" s="68"/>
      <c r="B788" s="69"/>
      <c r="C788" s="69"/>
    </row>
    <row r="789" spans="1:3" ht="12.75" x14ac:dyDescent="0.2">
      <c r="A789" s="68"/>
      <c r="B789" s="69"/>
      <c r="C789" s="69"/>
    </row>
    <row r="790" spans="1:3" ht="12.75" x14ac:dyDescent="0.2">
      <c r="A790" s="68"/>
      <c r="B790" s="69"/>
      <c r="C790" s="69"/>
    </row>
    <row r="791" spans="1:3" ht="12.75" x14ac:dyDescent="0.2">
      <c r="A791" s="68"/>
      <c r="B791" s="69"/>
      <c r="C791" s="69"/>
    </row>
    <row r="792" spans="1:3" ht="12.75" x14ac:dyDescent="0.2">
      <c r="A792" s="68"/>
      <c r="B792" s="69"/>
      <c r="C792" s="69"/>
    </row>
    <row r="793" spans="1:3" ht="12.75" x14ac:dyDescent="0.2">
      <c r="A793" s="68"/>
      <c r="B793" s="69"/>
      <c r="C793" s="69"/>
    </row>
    <row r="794" spans="1:3" ht="12.75" x14ac:dyDescent="0.2">
      <c r="A794" s="68"/>
      <c r="B794" s="69"/>
      <c r="C794" s="69"/>
    </row>
    <row r="795" spans="1:3" ht="12.75" x14ac:dyDescent="0.2">
      <c r="A795" s="68"/>
      <c r="B795" s="69"/>
      <c r="C795" s="69"/>
    </row>
    <row r="796" spans="1:3" ht="12.75" x14ac:dyDescent="0.2">
      <c r="A796" s="68"/>
      <c r="B796" s="69"/>
      <c r="C796" s="69"/>
    </row>
    <row r="797" spans="1:3" ht="12.75" x14ac:dyDescent="0.2">
      <c r="A797" s="68"/>
      <c r="B797" s="69"/>
      <c r="C797" s="69"/>
    </row>
    <row r="798" spans="1:3" ht="12.75" x14ac:dyDescent="0.2">
      <c r="A798" s="68"/>
      <c r="B798" s="69"/>
      <c r="C798" s="69"/>
    </row>
    <row r="799" spans="1:3" ht="12.75" x14ac:dyDescent="0.2">
      <c r="A799" s="68"/>
      <c r="B799" s="69"/>
      <c r="C799" s="69"/>
    </row>
    <row r="800" spans="1:3" ht="12.75" x14ac:dyDescent="0.2">
      <c r="A800" s="68"/>
      <c r="B800" s="69"/>
      <c r="C800" s="69"/>
    </row>
    <row r="801" spans="1:3" ht="12.75" x14ac:dyDescent="0.2">
      <c r="A801" s="68"/>
      <c r="B801" s="69"/>
      <c r="C801" s="69"/>
    </row>
    <row r="802" spans="1:3" ht="12.75" x14ac:dyDescent="0.2">
      <c r="A802" s="68"/>
      <c r="B802" s="69"/>
      <c r="C802" s="69"/>
    </row>
    <row r="803" spans="1:3" ht="12.75" x14ac:dyDescent="0.2">
      <c r="A803" s="68"/>
      <c r="B803" s="69"/>
      <c r="C803" s="69"/>
    </row>
    <row r="804" spans="1:3" ht="12.75" x14ac:dyDescent="0.2">
      <c r="A804" s="68"/>
      <c r="B804" s="69"/>
      <c r="C804" s="69"/>
    </row>
    <row r="805" spans="1:3" ht="12.75" x14ac:dyDescent="0.2">
      <c r="A805" s="68"/>
      <c r="B805" s="69"/>
      <c r="C805" s="69"/>
    </row>
    <row r="806" spans="1:3" ht="12.75" x14ac:dyDescent="0.2">
      <c r="A806" s="68"/>
      <c r="B806" s="69"/>
      <c r="C806" s="69"/>
    </row>
    <row r="807" spans="1:3" ht="12.75" x14ac:dyDescent="0.2">
      <c r="A807" s="68"/>
      <c r="B807" s="69"/>
      <c r="C807" s="69"/>
    </row>
    <row r="808" spans="1:3" ht="12.75" x14ac:dyDescent="0.2">
      <c r="A808" s="68"/>
      <c r="B808" s="69"/>
      <c r="C808" s="69"/>
    </row>
    <row r="809" spans="1:3" ht="12.75" x14ac:dyDescent="0.2">
      <c r="A809" s="68"/>
      <c r="B809" s="69"/>
      <c r="C809" s="69"/>
    </row>
    <row r="810" spans="1:3" ht="12.75" x14ac:dyDescent="0.2">
      <c r="A810" s="68"/>
      <c r="B810" s="69"/>
      <c r="C810" s="69"/>
    </row>
    <row r="811" spans="1:3" ht="12.75" x14ac:dyDescent="0.2">
      <c r="A811" s="68"/>
      <c r="B811" s="69"/>
      <c r="C811" s="69"/>
    </row>
    <row r="812" spans="1:3" ht="12.75" x14ac:dyDescent="0.2">
      <c r="A812" s="68"/>
      <c r="B812" s="69"/>
      <c r="C812" s="69"/>
    </row>
    <row r="813" spans="1:3" ht="12.75" x14ac:dyDescent="0.2">
      <c r="A813" s="68"/>
      <c r="B813" s="69"/>
      <c r="C813" s="69"/>
    </row>
    <row r="814" spans="1:3" ht="12.75" x14ac:dyDescent="0.2">
      <c r="A814" s="68"/>
      <c r="B814" s="69"/>
      <c r="C814" s="69"/>
    </row>
    <row r="815" spans="1:3" ht="12.75" x14ac:dyDescent="0.2">
      <c r="A815" s="68"/>
      <c r="B815" s="69"/>
      <c r="C815" s="69"/>
    </row>
    <row r="816" spans="1:3" ht="12.75" x14ac:dyDescent="0.2">
      <c r="A816" s="68"/>
      <c r="B816" s="69"/>
      <c r="C816" s="69"/>
    </row>
    <row r="817" spans="1:3" ht="12.75" x14ac:dyDescent="0.2">
      <c r="A817" s="68"/>
      <c r="B817" s="69"/>
      <c r="C817" s="69"/>
    </row>
    <row r="818" spans="1:3" ht="12.75" x14ac:dyDescent="0.2">
      <c r="A818" s="68"/>
      <c r="B818" s="69"/>
      <c r="C818" s="69"/>
    </row>
    <row r="819" spans="1:3" ht="12.75" x14ac:dyDescent="0.2">
      <c r="A819" s="68"/>
      <c r="B819" s="69"/>
      <c r="C819" s="69"/>
    </row>
    <row r="820" spans="1:3" ht="12.75" x14ac:dyDescent="0.2">
      <c r="A820" s="68"/>
      <c r="B820" s="69"/>
      <c r="C820" s="69"/>
    </row>
    <row r="821" spans="1:3" ht="12.75" x14ac:dyDescent="0.2">
      <c r="A821" s="68"/>
      <c r="B821" s="69"/>
      <c r="C821" s="69"/>
    </row>
    <row r="822" spans="1:3" ht="12.75" x14ac:dyDescent="0.2">
      <c r="A822" s="68"/>
      <c r="B822" s="69"/>
      <c r="C822" s="69"/>
    </row>
    <row r="823" spans="1:3" ht="12.75" x14ac:dyDescent="0.2">
      <c r="A823" s="68"/>
      <c r="B823" s="69"/>
      <c r="C823" s="69"/>
    </row>
    <row r="824" spans="1:3" ht="12.75" x14ac:dyDescent="0.2">
      <c r="A824" s="68"/>
      <c r="B824" s="69"/>
      <c r="C824" s="69"/>
    </row>
    <row r="825" spans="1:3" ht="12.75" x14ac:dyDescent="0.2">
      <c r="A825" s="68"/>
      <c r="B825" s="69"/>
      <c r="C825" s="69"/>
    </row>
    <row r="826" spans="1:3" ht="12.75" x14ac:dyDescent="0.2">
      <c r="A826" s="68"/>
      <c r="B826" s="69"/>
      <c r="C826" s="69"/>
    </row>
    <row r="827" spans="1:3" ht="12.75" x14ac:dyDescent="0.2">
      <c r="A827" s="68"/>
      <c r="B827" s="69"/>
      <c r="C827" s="69"/>
    </row>
    <row r="828" spans="1:3" ht="12.75" x14ac:dyDescent="0.2">
      <c r="A828" s="68"/>
      <c r="B828" s="69"/>
      <c r="C828" s="69"/>
    </row>
    <row r="829" spans="1:3" ht="12.75" x14ac:dyDescent="0.2">
      <c r="A829" s="68"/>
      <c r="B829" s="69"/>
      <c r="C829" s="69"/>
    </row>
    <row r="830" spans="1:3" ht="12.75" x14ac:dyDescent="0.2">
      <c r="A830" s="68"/>
      <c r="B830" s="69"/>
      <c r="C830" s="69"/>
    </row>
    <row r="831" spans="1:3" ht="12.75" x14ac:dyDescent="0.2">
      <c r="A831" s="68"/>
      <c r="B831" s="69"/>
      <c r="C831" s="69"/>
    </row>
    <row r="832" spans="1:3" ht="12.75" x14ac:dyDescent="0.2">
      <c r="A832" s="68"/>
      <c r="B832" s="69"/>
      <c r="C832" s="69"/>
    </row>
    <row r="833" spans="1:3" ht="12.75" x14ac:dyDescent="0.2">
      <c r="A833" s="68"/>
      <c r="B833" s="69"/>
      <c r="C833" s="69"/>
    </row>
    <row r="834" spans="1:3" ht="12.75" x14ac:dyDescent="0.2">
      <c r="A834" s="68"/>
      <c r="B834" s="69"/>
      <c r="C834" s="69"/>
    </row>
    <row r="835" spans="1:3" ht="12.75" x14ac:dyDescent="0.2">
      <c r="A835" s="68"/>
      <c r="B835" s="69"/>
      <c r="C835" s="69"/>
    </row>
    <row r="836" spans="1:3" ht="12.75" x14ac:dyDescent="0.2">
      <c r="A836" s="68"/>
      <c r="B836" s="69"/>
      <c r="C836" s="69"/>
    </row>
    <row r="837" spans="1:3" ht="12.75" x14ac:dyDescent="0.2">
      <c r="A837" s="68"/>
      <c r="B837" s="69"/>
      <c r="C837" s="69"/>
    </row>
    <row r="838" spans="1:3" ht="12.75" x14ac:dyDescent="0.2">
      <c r="A838" s="68"/>
      <c r="B838" s="69"/>
      <c r="C838" s="69"/>
    </row>
    <row r="839" spans="1:3" ht="12.75" x14ac:dyDescent="0.2">
      <c r="A839" s="68"/>
      <c r="B839" s="69"/>
      <c r="C839" s="69"/>
    </row>
    <row r="840" spans="1:3" ht="12.75" x14ac:dyDescent="0.2">
      <c r="A840" s="68"/>
      <c r="B840" s="69"/>
      <c r="C840" s="69"/>
    </row>
    <row r="841" spans="1:3" ht="12.75" x14ac:dyDescent="0.2">
      <c r="A841" s="68"/>
      <c r="B841" s="69"/>
      <c r="C841" s="69"/>
    </row>
    <row r="842" spans="1:3" ht="12.75" x14ac:dyDescent="0.2">
      <c r="A842" s="68"/>
      <c r="B842" s="69"/>
      <c r="C842" s="69"/>
    </row>
    <row r="843" spans="1:3" ht="12.75" x14ac:dyDescent="0.2">
      <c r="A843" s="68"/>
      <c r="B843" s="69"/>
      <c r="C843" s="69"/>
    </row>
    <row r="844" spans="1:3" ht="12.75" x14ac:dyDescent="0.2">
      <c r="A844" s="68"/>
      <c r="B844" s="69"/>
      <c r="C844" s="69"/>
    </row>
    <row r="845" spans="1:3" ht="12.75" x14ac:dyDescent="0.2">
      <c r="A845" s="68"/>
      <c r="B845" s="69"/>
      <c r="C845" s="69"/>
    </row>
    <row r="846" spans="1:3" ht="12.75" x14ac:dyDescent="0.2">
      <c r="A846" s="68"/>
      <c r="B846" s="69"/>
      <c r="C846" s="69"/>
    </row>
    <row r="847" spans="1:3" ht="12.75" x14ac:dyDescent="0.2">
      <c r="A847" s="68"/>
      <c r="B847" s="69"/>
      <c r="C847" s="69"/>
    </row>
    <row r="848" spans="1:3" ht="12.75" x14ac:dyDescent="0.2">
      <c r="A848" s="68"/>
      <c r="B848" s="69"/>
      <c r="C848" s="69"/>
    </row>
    <row r="849" spans="1:3" ht="12.75" x14ac:dyDescent="0.2">
      <c r="A849" s="68"/>
      <c r="B849" s="69"/>
      <c r="C849" s="69"/>
    </row>
    <row r="850" spans="1:3" ht="12.75" x14ac:dyDescent="0.2">
      <c r="A850" s="68"/>
      <c r="B850" s="69"/>
      <c r="C850" s="69"/>
    </row>
    <row r="851" spans="1:3" ht="12.75" x14ac:dyDescent="0.2">
      <c r="A851" s="68"/>
      <c r="B851" s="69"/>
      <c r="C851" s="69"/>
    </row>
    <row r="852" spans="1:3" ht="12.75" x14ac:dyDescent="0.2">
      <c r="A852" s="68"/>
      <c r="B852" s="69"/>
      <c r="C852" s="69"/>
    </row>
    <row r="853" spans="1:3" ht="12.75" x14ac:dyDescent="0.2">
      <c r="A853" s="68"/>
      <c r="B853" s="69"/>
      <c r="C853" s="69"/>
    </row>
    <row r="854" spans="1:3" ht="12.75" x14ac:dyDescent="0.2">
      <c r="A854" s="68"/>
      <c r="B854" s="69"/>
      <c r="C854" s="69"/>
    </row>
    <row r="855" spans="1:3" ht="12.75" x14ac:dyDescent="0.2">
      <c r="A855" s="68"/>
      <c r="B855" s="69"/>
      <c r="C855" s="69"/>
    </row>
    <row r="856" spans="1:3" ht="12.75" x14ac:dyDescent="0.2">
      <c r="A856" s="68"/>
      <c r="B856" s="69"/>
      <c r="C856" s="69"/>
    </row>
    <row r="857" spans="1:3" ht="12.75" x14ac:dyDescent="0.2">
      <c r="A857" s="68"/>
      <c r="B857" s="69"/>
      <c r="C857" s="69"/>
    </row>
    <row r="858" spans="1:3" ht="12.75" x14ac:dyDescent="0.2">
      <c r="A858" s="68"/>
      <c r="B858" s="69"/>
      <c r="C858" s="69"/>
    </row>
    <row r="859" spans="1:3" ht="12.75" x14ac:dyDescent="0.2">
      <c r="A859" s="68"/>
      <c r="B859" s="69"/>
      <c r="C859" s="69"/>
    </row>
    <row r="860" spans="1:3" ht="12.75" x14ac:dyDescent="0.2">
      <c r="A860" s="68"/>
      <c r="B860" s="69"/>
      <c r="C860" s="69"/>
    </row>
    <row r="861" spans="1:3" ht="12.75" x14ac:dyDescent="0.2">
      <c r="A861" s="68"/>
      <c r="B861" s="69"/>
      <c r="C861" s="69"/>
    </row>
    <row r="862" spans="1:3" ht="12.75" x14ac:dyDescent="0.2">
      <c r="A862" s="68"/>
      <c r="B862" s="69"/>
      <c r="C862" s="69"/>
    </row>
    <row r="863" spans="1:3" ht="12.75" x14ac:dyDescent="0.2">
      <c r="A863" s="68"/>
      <c r="B863" s="69"/>
      <c r="C863" s="69"/>
    </row>
    <row r="864" spans="1:3" ht="12.75" x14ac:dyDescent="0.2">
      <c r="A864" s="68"/>
      <c r="B864" s="69"/>
      <c r="C864" s="69"/>
    </row>
    <row r="865" spans="1:3" ht="12.75" x14ac:dyDescent="0.2">
      <c r="A865" s="68"/>
      <c r="B865" s="69"/>
      <c r="C865" s="69"/>
    </row>
    <row r="866" spans="1:3" ht="12.75" x14ac:dyDescent="0.2">
      <c r="A866" s="68"/>
      <c r="B866" s="69"/>
      <c r="C866" s="69"/>
    </row>
    <row r="867" spans="1:3" ht="12.75" x14ac:dyDescent="0.2">
      <c r="A867" s="68"/>
      <c r="B867" s="69"/>
      <c r="C867" s="69"/>
    </row>
    <row r="868" spans="1:3" ht="12.75" x14ac:dyDescent="0.2">
      <c r="A868" s="68"/>
      <c r="B868" s="69"/>
      <c r="C868" s="69"/>
    </row>
    <row r="869" spans="1:3" ht="12.75" x14ac:dyDescent="0.2">
      <c r="A869" s="68"/>
      <c r="B869" s="69"/>
      <c r="C869" s="69"/>
    </row>
    <row r="870" spans="1:3" ht="12.75" x14ac:dyDescent="0.2">
      <c r="A870" s="68"/>
      <c r="B870" s="69"/>
      <c r="C870" s="69"/>
    </row>
    <row r="871" spans="1:3" ht="12.75" x14ac:dyDescent="0.2">
      <c r="A871" s="68"/>
      <c r="B871" s="69"/>
      <c r="C871" s="69"/>
    </row>
    <row r="872" spans="1:3" ht="12.75" x14ac:dyDescent="0.2">
      <c r="A872" s="68"/>
      <c r="B872" s="69"/>
      <c r="C872" s="69"/>
    </row>
    <row r="873" spans="1:3" ht="12.75" x14ac:dyDescent="0.2">
      <c r="A873" s="68"/>
      <c r="B873" s="69"/>
      <c r="C873" s="69"/>
    </row>
    <row r="874" spans="1:3" ht="12.75" x14ac:dyDescent="0.2">
      <c r="A874" s="68"/>
      <c r="B874" s="69"/>
      <c r="C874" s="69"/>
    </row>
    <row r="875" spans="1:3" ht="12.75" x14ac:dyDescent="0.2">
      <c r="A875" s="68"/>
      <c r="B875" s="69"/>
      <c r="C875" s="69"/>
    </row>
    <row r="876" spans="1:3" ht="12.75" x14ac:dyDescent="0.2">
      <c r="A876" s="68"/>
      <c r="B876" s="69"/>
      <c r="C876" s="69"/>
    </row>
    <row r="877" spans="1:3" ht="12.75" x14ac:dyDescent="0.2">
      <c r="A877" s="68"/>
      <c r="B877" s="69"/>
      <c r="C877" s="69"/>
    </row>
    <row r="878" spans="1:3" ht="12.75" x14ac:dyDescent="0.2">
      <c r="A878" s="68"/>
      <c r="B878" s="69"/>
      <c r="C878" s="69"/>
    </row>
    <row r="879" spans="1:3" ht="12.75" x14ac:dyDescent="0.2">
      <c r="A879" s="68"/>
      <c r="B879" s="69"/>
      <c r="C879" s="69"/>
    </row>
    <row r="880" spans="1:3" ht="12.75" x14ac:dyDescent="0.2">
      <c r="A880" s="68"/>
      <c r="B880" s="69"/>
      <c r="C880" s="69"/>
    </row>
    <row r="881" spans="1:3" ht="12.75" x14ac:dyDescent="0.2">
      <c r="A881" s="68"/>
      <c r="B881" s="69"/>
      <c r="C881" s="69"/>
    </row>
    <row r="882" spans="1:3" ht="12.75" x14ac:dyDescent="0.2">
      <c r="A882" s="68"/>
      <c r="B882" s="69"/>
      <c r="C882" s="69"/>
    </row>
    <row r="883" spans="1:3" ht="12.75" x14ac:dyDescent="0.2">
      <c r="A883" s="68"/>
      <c r="B883" s="69"/>
      <c r="C883" s="69"/>
    </row>
    <row r="884" spans="1:3" ht="12.75" x14ac:dyDescent="0.2">
      <c r="A884" s="68"/>
      <c r="B884" s="69"/>
      <c r="C884" s="69"/>
    </row>
    <row r="885" spans="1:3" ht="12.75" x14ac:dyDescent="0.2">
      <c r="A885" s="68"/>
      <c r="B885" s="69"/>
      <c r="C885" s="69"/>
    </row>
    <row r="886" spans="1:3" ht="12.75" x14ac:dyDescent="0.2">
      <c r="A886" s="68"/>
      <c r="B886" s="69"/>
      <c r="C886" s="69"/>
    </row>
    <row r="887" spans="1:3" ht="12.75" x14ac:dyDescent="0.2">
      <c r="A887" s="68"/>
      <c r="B887" s="69"/>
      <c r="C887" s="69"/>
    </row>
    <row r="888" spans="1:3" ht="12.75" x14ac:dyDescent="0.2">
      <c r="A888" s="68"/>
      <c r="B888" s="69"/>
      <c r="C888" s="69"/>
    </row>
    <row r="889" spans="1:3" ht="12.75" x14ac:dyDescent="0.2">
      <c r="A889" s="68"/>
      <c r="B889" s="69"/>
      <c r="C889" s="69"/>
    </row>
    <row r="890" spans="1:3" ht="12.75" x14ac:dyDescent="0.2">
      <c r="A890" s="68"/>
      <c r="B890" s="69"/>
      <c r="C890" s="69"/>
    </row>
    <row r="891" spans="1:3" ht="12.75" x14ac:dyDescent="0.2">
      <c r="A891" s="68"/>
      <c r="B891" s="69"/>
      <c r="C891" s="69"/>
    </row>
    <row r="892" spans="1:3" ht="12.75" x14ac:dyDescent="0.2">
      <c r="A892" s="68"/>
      <c r="B892" s="69"/>
      <c r="C892" s="69"/>
    </row>
    <row r="893" spans="1:3" ht="12.75" x14ac:dyDescent="0.2">
      <c r="A893" s="68"/>
      <c r="B893" s="69"/>
      <c r="C893" s="69"/>
    </row>
    <row r="894" spans="1:3" ht="12.75" x14ac:dyDescent="0.2">
      <c r="A894" s="68"/>
      <c r="B894" s="69"/>
      <c r="C894" s="69"/>
    </row>
    <row r="895" spans="1:3" ht="12.75" x14ac:dyDescent="0.2">
      <c r="A895" s="68"/>
      <c r="B895" s="69"/>
      <c r="C895" s="69"/>
    </row>
    <row r="896" spans="1:3" ht="12.75" x14ac:dyDescent="0.2">
      <c r="A896" s="68"/>
      <c r="B896" s="69"/>
      <c r="C896" s="69"/>
    </row>
    <row r="897" spans="1:3" ht="12.75" x14ac:dyDescent="0.2">
      <c r="A897" s="68"/>
      <c r="B897" s="69"/>
      <c r="C897" s="69"/>
    </row>
    <row r="898" spans="1:3" ht="12.75" x14ac:dyDescent="0.2">
      <c r="A898" s="68"/>
      <c r="B898" s="69"/>
      <c r="C898" s="69"/>
    </row>
    <row r="899" spans="1:3" ht="12.75" x14ac:dyDescent="0.2">
      <c r="A899" s="68"/>
      <c r="B899" s="69"/>
      <c r="C899" s="69"/>
    </row>
    <row r="900" spans="1:3" ht="12.75" x14ac:dyDescent="0.2">
      <c r="A900" s="68"/>
      <c r="B900" s="69"/>
      <c r="C900" s="69"/>
    </row>
    <row r="901" spans="1:3" ht="12.75" x14ac:dyDescent="0.2">
      <c r="A901" s="68"/>
      <c r="B901" s="69"/>
      <c r="C901" s="69"/>
    </row>
    <row r="902" spans="1:3" ht="12.75" x14ac:dyDescent="0.2">
      <c r="A902" s="68"/>
      <c r="B902" s="69"/>
      <c r="C902" s="69"/>
    </row>
    <row r="903" spans="1:3" ht="12.75" x14ac:dyDescent="0.2">
      <c r="A903" s="68"/>
      <c r="B903" s="69"/>
      <c r="C903" s="69"/>
    </row>
    <row r="904" spans="1:3" ht="12.75" x14ac:dyDescent="0.2">
      <c r="A904" s="68"/>
      <c r="B904" s="69"/>
      <c r="C904" s="69"/>
    </row>
    <row r="905" spans="1:3" ht="12.75" x14ac:dyDescent="0.2">
      <c r="A905" s="68"/>
      <c r="B905" s="69"/>
      <c r="C905" s="69"/>
    </row>
    <row r="906" spans="1:3" ht="12.75" x14ac:dyDescent="0.2">
      <c r="A906" s="68"/>
      <c r="B906" s="69"/>
      <c r="C906" s="69"/>
    </row>
    <row r="907" spans="1:3" ht="12.75" x14ac:dyDescent="0.2">
      <c r="A907" s="68"/>
      <c r="B907" s="69"/>
      <c r="C907" s="69"/>
    </row>
    <row r="908" spans="1:3" ht="12.75" x14ac:dyDescent="0.2">
      <c r="A908" s="68"/>
      <c r="B908" s="69"/>
      <c r="C908" s="69"/>
    </row>
    <row r="909" spans="1:3" ht="12.75" x14ac:dyDescent="0.2">
      <c r="A909" s="68"/>
      <c r="B909" s="69"/>
      <c r="C909" s="69"/>
    </row>
    <row r="910" spans="1:3" ht="12.75" x14ac:dyDescent="0.2">
      <c r="A910" s="68"/>
      <c r="B910" s="69"/>
      <c r="C910" s="69"/>
    </row>
    <row r="911" spans="1:3" ht="12.75" x14ac:dyDescent="0.2">
      <c r="A911" s="68"/>
      <c r="B911" s="69"/>
      <c r="C911" s="69"/>
    </row>
    <row r="912" spans="1:3" ht="12.75" x14ac:dyDescent="0.2">
      <c r="A912" s="68"/>
      <c r="B912" s="69"/>
      <c r="C912" s="69"/>
    </row>
    <row r="913" spans="1:3" ht="12.75" x14ac:dyDescent="0.2">
      <c r="A913" s="68"/>
      <c r="B913" s="69"/>
      <c r="C913" s="69"/>
    </row>
    <row r="914" spans="1:3" ht="12.75" x14ac:dyDescent="0.2">
      <c r="A914" s="68"/>
      <c r="B914" s="69"/>
      <c r="C914" s="69"/>
    </row>
    <row r="915" spans="1:3" ht="12.75" x14ac:dyDescent="0.2">
      <c r="A915" s="68"/>
      <c r="B915" s="69"/>
      <c r="C915" s="69"/>
    </row>
    <row r="916" spans="1:3" ht="12.75" x14ac:dyDescent="0.2">
      <c r="A916" s="68"/>
      <c r="B916" s="69"/>
      <c r="C916" s="69"/>
    </row>
    <row r="917" spans="1:3" ht="12.75" x14ac:dyDescent="0.2">
      <c r="A917" s="68"/>
      <c r="B917" s="69"/>
      <c r="C917" s="69"/>
    </row>
    <row r="918" spans="1:3" ht="12.75" x14ac:dyDescent="0.2">
      <c r="A918" s="68"/>
      <c r="B918" s="69"/>
      <c r="C918" s="69"/>
    </row>
    <row r="919" spans="1:3" ht="12.75" x14ac:dyDescent="0.2">
      <c r="A919" s="68"/>
      <c r="B919" s="69"/>
      <c r="C919" s="69"/>
    </row>
    <row r="920" spans="1:3" ht="12.75" x14ac:dyDescent="0.2">
      <c r="A920" s="68"/>
      <c r="B920" s="69"/>
      <c r="C920" s="69"/>
    </row>
    <row r="921" spans="1:3" ht="12.75" x14ac:dyDescent="0.2">
      <c r="A921" s="68"/>
      <c r="B921" s="69"/>
      <c r="C921" s="69"/>
    </row>
    <row r="922" spans="1:3" ht="12.75" x14ac:dyDescent="0.2">
      <c r="A922" s="68"/>
      <c r="B922" s="69"/>
      <c r="C922" s="69"/>
    </row>
    <row r="923" spans="1:3" ht="12.75" x14ac:dyDescent="0.2">
      <c r="A923" s="68"/>
      <c r="B923" s="69"/>
      <c r="C923" s="69"/>
    </row>
    <row r="924" spans="1:3" ht="12.75" x14ac:dyDescent="0.2">
      <c r="A924" s="68"/>
      <c r="B924" s="69"/>
      <c r="C924" s="69"/>
    </row>
    <row r="925" spans="1:3" ht="12.75" x14ac:dyDescent="0.2">
      <c r="A925" s="68"/>
      <c r="B925" s="69"/>
      <c r="C925" s="69"/>
    </row>
    <row r="926" spans="1:3" ht="12.75" x14ac:dyDescent="0.2">
      <c r="A926" s="68"/>
      <c r="B926" s="69"/>
      <c r="C926" s="69"/>
    </row>
    <row r="927" spans="1:3" ht="12.75" x14ac:dyDescent="0.2">
      <c r="A927" s="68"/>
      <c r="B927" s="69"/>
      <c r="C927" s="69"/>
    </row>
    <row r="928" spans="1:3" ht="12.75" x14ac:dyDescent="0.2">
      <c r="A928" s="68"/>
      <c r="B928" s="69"/>
      <c r="C928" s="69"/>
    </row>
    <row r="929" spans="1:3" ht="12.75" x14ac:dyDescent="0.2">
      <c r="A929" s="68"/>
      <c r="B929" s="69"/>
      <c r="C929" s="69"/>
    </row>
    <row r="930" spans="1:3" ht="12.75" x14ac:dyDescent="0.2">
      <c r="A930" s="68"/>
      <c r="B930" s="69"/>
      <c r="C930" s="69"/>
    </row>
    <row r="931" spans="1:3" ht="12.75" x14ac:dyDescent="0.2">
      <c r="A931" s="68"/>
      <c r="B931" s="69"/>
      <c r="C931" s="69"/>
    </row>
    <row r="932" spans="1:3" ht="12.75" x14ac:dyDescent="0.2">
      <c r="A932" s="68"/>
      <c r="B932" s="69"/>
      <c r="C932" s="69"/>
    </row>
    <row r="933" spans="1:3" ht="12.75" x14ac:dyDescent="0.2">
      <c r="A933" s="68"/>
      <c r="B933" s="69"/>
      <c r="C933" s="69"/>
    </row>
    <row r="934" spans="1:3" ht="12.75" x14ac:dyDescent="0.2">
      <c r="A934" s="68"/>
      <c r="B934" s="69"/>
      <c r="C934" s="69"/>
    </row>
    <row r="935" spans="1:3" ht="12.75" x14ac:dyDescent="0.2">
      <c r="A935" s="68"/>
      <c r="B935" s="69"/>
      <c r="C935" s="69"/>
    </row>
    <row r="936" spans="1:3" ht="12.75" x14ac:dyDescent="0.2">
      <c r="A936" s="68"/>
      <c r="B936" s="69"/>
      <c r="C936" s="69"/>
    </row>
    <row r="937" spans="1:3" ht="12.75" x14ac:dyDescent="0.2">
      <c r="A937" s="68"/>
      <c r="B937" s="69"/>
      <c r="C937" s="69"/>
    </row>
    <row r="938" spans="1:3" ht="12.75" x14ac:dyDescent="0.2">
      <c r="A938" s="68"/>
      <c r="B938" s="69"/>
      <c r="C938" s="69"/>
    </row>
    <row r="939" spans="1:3" ht="12.75" x14ac:dyDescent="0.2">
      <c r="A939" s="68"/>
      <c r="B939" s="69"/>
      <c r="C939" s="69"/>
    </row>
    <row r="940" spans="1:3" ht="12.75" x14ac:dyDescent="0.2">
      <c r="A940" s="68"/>
      <c r="B940" s="69"/>
      <c r="C940" s="69"/>
    </row>
    <row r="941" spans="1:3" ht="12.75" x14ac:dyDescent="0.2">
      <c r="A941" s="68"/>
      <c r="B941" s="69"/>
      <c r="C941" s="69"/>
    </row>
    <row r="942" spans="1:3" ht="12.75" x14ac:dyDescent="0.2">
      <c r="A942" s="68"/>
      <c r="B942" s="69"/>
      <c r="C942" s="69"/>
    </row>
    <row r="943" spans="1:3" ht="12.75" x14ac:dyDescent="0.2">
      <c r="A943" s="68"/>
      <c r="B943" s="69"/>
      <c r="C943" s="69"/>
    </row>
    <row r="944" spans="1:3" ht="12.75" x14ac:dyDescent="0.2">
      <c r="A944" s="68"/>
      <c r="B944" s="69"/>
      <c r="C944" s="69"/>
    </row>
    <row r="945" spans="1:3" ht="12.75" x14ac:dyDescent="0.2">
      <c r="A945" s="68"/>
      <c r="B945" s="69"/>
      <c r="C945" s="69"/>
    </row>
    <row r="946" spans="1:3" ht="12.75" x14ac:dyDescent="0.2">
      <c r="A946" s="68"/>
      <c r="B946" s="69"/>
      <c r="C946" s="69"/>
    </row>
    <row r="947" spans="1:3" ht="12.75" x14ac:dyDescent="0.2">
      <c r="A947" s="68"/>
      <c r="B947" s="69"/>
      <c r="C947" s="69"/>
    </row>
    <row r="948" spans="1:3" ht="12.75" x14ac:dyDescent="0.2">
      <c r="A948" s="68"/>
      <c r="B948" s="69"/>
      <c r="C948" s="69"/>
    </row>
    <row r="949" spans="1:3" ht="12.75" x14ac:dyDescent="0.2">
      <c r="A949" s="68"/>
      <c r="B949" s="69"/>
      <c r="C949" s="69"/>
    </row>
    <row r="950" spans="1:3" ht="12.75" x14ac:dyDescent="0.2">
      <c r="A950" s="68"/>
      <c r="B950" s="69"/>
      <c r="C950" s="69"/>
    </row>
    <row r="951" spans="1:3" ht="12.75" x14ac:dyDescent="0.2">
      <c r="A951" s="68"/>
      <c r="B951" s="69"/>
      <c r="C951" s="69"/>
    </row>
    <row r="952" spans="1:3" ht="12.75" x14ac:dyDescent="0.2">
      <c r="A952" s="68"/>
      <c r="B952" s="69"/>
      <c r="C952" s="69"/>
    </row>
    <row r="953" spans="1:3" ht="12.75" x14ac:dyDescent="0.2">
      <c r="A953" s="68"/>
      <c r="B953" s="69"/>
      <c r="C953" s="69"/>
    </row>
    <row r="954" spans="1:3" ht="12.75" x14ac:dyDescent="0.2">
      <c r="A954" s="68"/>
      <c r="B954" s="69"/>
      <c r="C954" s="69"/>
    </row>
    <row r="955" spans="1:3" ht="12.75" x14ac:dyDescent="0.2">
      <c r="A955" s="68"/>
      <c r="B955" s="69"/>
      <c r="C955" s="69"/>
    </row>
    <row r="956" spans="1:3" ht="12.75" x14ac:dyDescent="0.2">
      <c r="A956" s="68"/>
      <c r="B956" s="69"/>
      <c r="C956" s="69"/>
    </row>
    <row r="957" spans="1:3" ht="12.75" x14ac:dyDescent="0.2">
      <c r="A957" s="68"/>
      <c r="B957" s="69"/>
      <c r="C957" s="69"/>
    </row>
    <row r="958" spans="1:3" ht="12.75" x14ac:dyDescent="0.2">
      <c r="A958" s="68"/>
      <c r="B958" s="69"/>
      <c r="C958" s="69"/>
    </row>
    <row r="959" spans="1:3" ht="12.75" x14ac:dyDescent="0.2">
      <c r="A959" s="68"/>
      <c r="B959" s="69"/>
      <c r="C959" s="69"/>
    </row>
    <row r="960" spans="1:3" ht="12.75" x14ac:dyDescent="0.2">
      <c r="A960" s="68"/>
      <c r="B960" s="69"/>
      <c r="C960" s="69"/>
    </row>
    <row r="961" spans="1:3" ht="12.75" x14ac:dyDescent="0.2">
      <c r="A961" s="68"/>
      <c r="B961" s="69"/>
      <c r="C961" s="69"/>
    </row>
    <row r="962" spans="1:3" ht="12.75" x14ac:dyDescent="0.2">
      <c r="A962" s="68"/>
      <c r="B962" s="69"/>
      <c r="C962" s="69"/>
    </row>
    <row r="963" spans="1:3" ht="12.75" x14ac:dyDescent="0.2">
      <c r="A963" s="68"/>
      <c r="B963" s="69"/>
      <c r="C963" s="69"/>
    </row>
    <row r="964" spans="1:3" ht="12.75" x14ac:dyDescent="0.2">
      <c r="A964" s="68"/>
      <c r="B964" s="69"/>
      <c r="C964" s="69"/>
    </row>
    <row r="965" spans="1:3" ht="12.75" x14ac:dyDescent="0.2">
      <c r="A965" s="68"/>
      <c r="B965" s="69"/>
      <c r="C965" s="69"/>
    </row>
    <row r="966" spans="1:3" ht="12.75" x14ac:dyDescent="0.2">
      <c r="A966" s="68"/>
      <c r="B966" s="69"/>
      <c r="C966" s="69"/>
    </row>
    <row r="967" spans="1:3" ht="12.75" x14ac:dyDescent="0.2">
      <c r="A967" s="68"/>
      <c r="B967" s="69"/>
      <c r="C967" s="69"/>
    </row>
    <row r="968" spans="1:3" ht="12.75" x14ac:dyDescent="0.2">
      <c r="A968" s="68"/>
      <c r="B968" s="69"/>
      <c r="C968" s="69"/>
    </row>
    <row r="969" spans="1:3" ht="12.75" x14ac:dyDescent="0.2">
      <c r="A969" s="68"/>
      <c r="B969" s="69"/>
      <c r="C969" s="69"/>
    </row>
    <row r="970" spans="1:3" ht="12.75" x14ac:dyDescent="0.2">
      <c r="A970" s="68"/>
      <c r="B970" s="69"/>
      <c r="C970" s="69"/>
    </row>
    <row r="971" spans="1:3" ht="12.75" x14ac:dyDescent="0.2">
      <c r="A971" s="68"/>
      <c r="B971" s="69"/>
      <c r="C971" s="69"/>
    </row>
    <row r="972" spans="1:3" ht="12.75" x14ac:dyDescent="0.2">
      <c r="A972" s="68"/>
      <c r="B972" s="69"/>
      <c r="C972" s="69"/>
    </row>
    <row r="973" spans="1:3" ht="12.75" x14ac:dyDescent="0.2">
      <c r="A973" s="68"/>
      <c r="B973" s="69"/>
      <c r="C973" s="69"/>
    </row>
    <row r="974" spans="1:3" ht="12.75" x14ac:dyDescent="0.2">
      <c r="A974" s="68"/>
      <c r="B974" s="69"/>
      <c r="C974" s="69"/>
    </row>
    <row r="975" spans="1:3" ht="12.75" x14ac:dyDescent="0.2">
      <c r="A975" s="68"/>
      <c r="B975" s="69"/>
      <c r="C975" s="69"/>
    </row>
    <row r="976" spans="1:3" ht="12.75" x14ac:dyDescent="0.2">
      <c r="A976" s="68"/>
      <c r="B976" s="69"/>
      <c r="C976" s="69"/>
    </row>
    <row r="977" spans="1:3" ht="12.75" x14ac:dyDescent="0.2">
      <c r="A977" s="68"/>
      <c r="B977" s="69"/>
      <c r="C977" s="69"/>
    </row>
    <row r="978" spans="1:3" ht="12.75" x14ac:dyDescent="0.2">
      <c r="A978" s="68"/>
      <c r="B978" s="69"/>
      <c r="C978" s="69"/>
    </row>
    <row r="979" spans="1:3" ht="12.75" x14ac:dyDescent="0.2">
      <c r="A979" s="68"/>
      <c r="B979" s="69"/>
      <c r="C979" s="69"/>
    </row>
    <row r="980" spans="1:3" ht="12.75" x14ac:dyDescent="0.2">
      <c r="A980" s="68"/>
      <c r="B980" s="69"/>
      <c r="C980" s="69"/>
    </row>
    <row r="981" spans="1:3" ht="12.75" x14ac:dyDescent="0.2">
      <c r="A981" s="68"/>
      <c r="B981" s="69"/>
      <c r="C981" s="69"/>
    </row>
    <row r="982" spans="1:3" ht="12.75" x14ac:dyDescent="0.2">
      <c r="A982" s="68"/>
      <c r="B982" s="69"/>
      <c r="C982" s="69"/>
    </row>
    <row r="983" spans="1:3" ht="12.75" x14ac:dyDescent="0.2">
      <c r="A983" s="68"/>
      <c r="B983" s="69"/>
      <c r="C983" s="69"/>
    </row>
    <row r="984" spans="1:3" ht="12.75" x14ac:dyDescent="0.2">
      <c r="A984" s="68"/>
      <c r="B984" s="69"/>
      <c r="C984" s="69"/>
    </row>
    <row r="985" spans="1:3" ht="12.75" x14ac:dyDescent="0.2">
      <c r="A985" s="68"/>
      <c r="B985" s="69"/>
      <c r="C985" s="69"/>
    </row>
    <row r="986" spans="1:3" ht="12.75" x14ac:dyDescent="0.2">
      <c r="A986" s="68"/>
      <c r="B986" s="69"/>
      <c r="C986" s="69"/>
    </row>
    <row r="987" spans="1:3" ht="12.75" x14ac:dyDescent="0.2">
      <c r="A987" s="68"/>
      <c r="B987" s="69"/>
      <c r="C987" s="69"/>
    </row>
    <row r="988" spans="1:3" ht="12.75" x14ac:dyDescent="0.2">
      <c r="A988" s="68"/>
      <c r="B988" s="69"/>
      <c r="C988" s="69"/>
    </row>
    <row r="989" spans="1:3" ht="12.75" x14ac:dyDescent="0.2">
      <c r="A989" s="68"/>
      <c r="B989" s="69"/>
      <c r="C989" s="69"/>
    </row>
    <row r="990" spans="1:3" ht="12.75" x14ac:dyDescent="0.2">
      <c r="A990" s="68"/>
      <c r="B990" s="69"/>
      <c r="C990" s="69"/>
    </row>
    <row r="991" spans="1:3" ht="12.75" x14ac:dyDescent="0.2">
      <c r="A991" s="68"/>
      <c r="B991" s="69"/>
      <c r="C991" s="69"/>
    </row>
    <row r="992" spans="1:3" ht="12.75" x14ac:dyDescent="0.2">
      <c r="A992" s="68"/>
      <c r="B992" s="69"/>
      <c r="C992" s="69"/>
    </row>
    <row r="993" spans="1:3" ht="12.75" x14ac:dyDescent="0.2">
      <c r="A993" s="68"/>
      <c r="B993" s="69"/>
      <c r="C993" s="69"/>
    </row>
    <row r="994" spans="1:3" ht="12.75" x14ac:dyDescent="0.2">
      <c r="A994" s="68"/>
      <c r="B994" s="69"/>
      <c r="C994" s="69"/>
    </row>
    <row r="995" spans="1:3" ht="12.75" x14ac:dyDescent="0.2">
      <c r="A995" s="68"/>
      <c r="B995" s="69"/>
      <c r="C995" s="69"/>
    </row>
    <row r="996" spans="1:3" ht="12.75" x14ac:dyDescent="0.2">
      <c r="A996" s="68"/>
      <c r="B996" s="69"/>
      <c r="C996" s="69"/>
    </row>
    <row r="997" spans="1:3" ht="12.75" x14ac:dyDescent="0.2">
      <c r="A997" s="68"/>
      <c r="B997" s="69"/>
      <c r="C997" s="69"/>
    </row>
    <row r="998" spans="1:3" ht="12.75" x14ac:dyDescent="0.2">
      <c r="A998" s="68"/>
      <c r="B998" s="69"/>
      <c r="C998" s="69"/>
    </row>
    <row r="999" spans="1:3" ht="12.75" x14ac:dyDescent="0.2">
      <c r="A999" s="68"/>
      <c r="B999" s="69"/>
      <c r="C999" s="69"/>
    </row>
    <row r="1000" spans="1:3" ht="12.75" x14ac:dyDescent="0.2">
      <c r="A1000" s="68"/>
      <c r="B1000" s="69"/>
      <c r="C1000" s="69"/>
    </row>
    <row r="1001" spans="1:3" ht="12.75" x14ac:dyDescent="0.2">
      <c r="A1001" s="68"/>
      <c r="B1001" s="69"/>
      <c r="C1001" s="69"/>
    </row>
    <row r="1002" spans="1:3" ht="12.75" x14ac:dyDescent="0.2">
      <c r="A1002" s="68"/>
      <c r="B1002" s="69"/>
      <c r="C1002" s="69"/>
    </row>
    <row r="1003" spans="1:3" ht="12.75" x14ac:dyDescent="0.2">
      <c r="A1003" s="68"/>
      <c r="B1003" s="69"/>
      <c r="C1003" s="69"/>
    </row>
    <row r="1004" spans="1:3" ht="12.75" x14ac:dyDescent="0.2">
      <c r="A1004" s="68"/>
      <c r="B1004" s="69"/>
      <c r="C1004" s="69"/>
    </row>
    <row r="1005" spans="1:3" ht="12.75" x14ac:dyDescent="0.2">
      <c r="A1005" s="68"/>
      <c r="B1005" s="69"/>
      <c r="C1005" s="69"/>
    </row>
    <row r="1006" spans="1:3" ht="12.75" x14ac:dyDescent="0.2">
      <c r="A1006" s="68"/>
      <c r="B1006" s="69"/>
      <c r="C1006" s="69"/>
    </row>
    <row r="1007" spans="1:3" ht="12.75" x14ac:dyDescent="0.2">
      <c r="A1007" s="68"/>
      <c r="B1007" s="69"/>
      <c r="C1007" s="69"/>
    </row>
    <row r="1008" spans="1:3" ht="12.75" x14ac:dyDescent="0.2">
      <c r="A1008" s="68"/>
      <c r="B1008" s="69"/>
      <c r="C1008" s="69"/>
    </row>
    <row r="1009" spans="1:3" ht="12.75" x14ac:dyDescent="0.2">
      <c r="A1009" s="68"/>
      <c r="B1009" s="69"/>
      <c r="C1009" s="69"/>
    </row>
    <row r="1010" spans="1:3" ht="12.75" x14ac:dyDescent="0.2">
      <c r="A1010" s="68"/>
      <c r="B1010" s="69"/>
      <c r="C1010" s="69"/>
    </row>
    <row r="1011" spans="1:3" ht="12.75" x14ac:dyDescent="0.2">
      <c r="A1011" s="68"/>
      <c r="B1011" s="69"/>
      <c r="C1011" s="69"/>
    </row>
    <row r="1012" spans="1:3" ht="12.75" x14ac:dyDescent="0.2">
      <c r="A1012" s="68"/>
      <c r="B1012" s="69"/>
      <c r="C1012" s="69"/>
    </row>
    <row r="1013" spans="1:3" ht="12.75" x14ac:dyDescent="0.2">
      <c r="A1013" s="68"/>
      <c r="B1013" s="69"/>
      <c r="C1013" s="69"/>
    </row>
    <row r="1014" spans="1:3" ht="12.75" x14ac:dyDescent="0.2">
      <c r="A1014" s="68"/>
      <c r="B1014" s="69"/>
      <c r="C1014" s="69"/>
    </row>
    <row r="1015" spans="1:3" ht="12.75" x14ac:dyDescent="0.2">
      <c r="A1015" s="68"/>
      <c r="B1015" s="69"/>
      <c r="C1015" s="69"/>
    </row>
    <row r="1016" spans="1:3" ht="12.75" x14ac:dyDescent="0.2">
      <c r="A1016" s="68"/>
      <c r="B1016" s="69"/>
      <c r="C1016" s="69"/>
    </row>
    <row r="1017" spans="1:3" ht="12.75" x14ac:dyDescent="0.2">
      <c r="A1017" s="68"/>
      <c r="B1017" s="69"/>
      <c r="C1017" s="69"/>
    </row>
    <row r="1018" spans="1:3" ht="12.75" x14ac:dyDescent="0.2">
      <c r="A1018" s="68"/>
      <c r="B1018" s="69"/>
      <c r="C1018" s="69"/>
    </row>
    <row r="1019" spans="1:3" ht="12.75" x14ac:dyDescent="0.2">
      <c r="A1019" s="68"/>
      <c r="B1019" s="69"/>
      <c r="C1019" s="69"/>
    </row>
    <row r="1020" spans="1:3" ht="12.75" x14ac:dyDescent="0.2">
      <c r="A1020" s="68"/>
      <c r="B1020" s="69"/>
      <c r="C1020" s="69"/>
    </row>
    <row r="1021" spans="1:3" ht="12.75" x14ac:dyDescent="0.2">
      <c r="A1021" s="68"/>
      <c r="B1021" s="69"/>
      <c r="C1021" s="69"/>
    </row>
    <row r="1022" spans="1:3" ht="12.75" x14ac:dyDescent="0.2">
      <c r="A1022" s="68"/>
      <c r="B1022" s="69"/>
      <c r="C1022" s="69"/>
    </row>
    <row r="1023" spans="1:3" ht="12.75" x14ac:dyDescent="0.2">
      <c r="A1023" s="68"/>
      <c r="B1023" s="69"/>
      <c r="C1023" s="69"/>
    </row>
    <row r="1024" spans="1:3" ht="12.75" x14ac:dyDescent="0.2">
      <c r="A1024" s="68"/>
      <c r="B1024" s="69"/>
      <c r="C1024" s="69"/>
    </row>
    <row r="1025" spans="1:3" ht="12.75" x14ac:dyDescent="0.2">
      <c r="A1025" s="68"/>
      <c r="B1025" s="69"/>
      <c r="C1025" s="69"/>
    </row>
    <row r="1026" spans="1:3" ht="12.75" x14ac:dyDescent="0.2">
      <c r="A1026" s="68"/>
      <c r="B1026" s="69"/>
      <c r="C1026" s="69"/>
    </row>
    <row r="1027" spans="1:3" ht="12.75" x14ac:dyDescent="0.2">
      <c r="A1027" s="68"/>
      <c r="B1027" s="69"/>
      <c r="C1027" s="69"/>
    </row>
    <row r="1028" spans="1:3" ht="12.75" x14ac:dyDescent="0.2">
      <c r="A1028" s="68"/>
      <c r="B1028" s="69"/>
      <c r="C1028" s="69"/>
    </row>
    <row r="1029" spans="1:3" ht="12.75" x14ac:dyDescent="0.2">
      <c r="A1029" s="68"/>
      <c r="B1029" s="69"/>
      <c r="C1029" s="69"/>
    </row>
    <row r="1030" spans="1:3" ht="12.75" x14ac:dyDescent="0.2">
      <c r="A1030" s="68"/>
      <c r="B1030" s="69"/>
      <c r="C1030" s="69"/>
    </row>
    <row r="1031" spans="1:3" ht="12.75" x14ac:dyDescent="0.2">
      <c r="A1031" s="68"/>
      <c r="B1031" s="69"/>
      <c r="C1031" s="69"/>
    </row>
    <row r="1032" spans="1:3" ht="12.75" x14ac:dyDescent="0.2">
      <c r="A1032" s="68"/>
      <c r="B1032" s="69"/>
      <c r="C1032" s="69"/>
    </row>
    <row r="1033" spans="1:3" ht="12.75" x14ac:dyDescent="0.2">
      <c r="A1033" s="68"/>
      <c r="B1033" s="69"/>
      <c r="C1033" s="69"/>
    </row>
    <row r="1034" spans="1:3" ht="12.75" x14ac:dyDescent="0.2">
      <c r="A1034" s="68"/>
      <c r="B1034" s="69"/>
      <c r="C1034" s="69"/>
    </row>
    <row r="1035" spans="1:3" ht="12.75" x14ac:dyDescent="0.2">
      <c r="A1035" s="68"/>
      <c r="B1035" s="69"/>
      <c r="C1035" s="69"/>
    </row>
    <row r="1036" spans="1:3" ht="12.75" x14ac:dyDescent="0.2">
      <c r="A1036" s="68"/>
      <c r="B1036" s="69"/>
      <c r="C1036" s="69"/>
    </row>
    <row r="1037" spans="1:3" ht="12.75" x14ac:dyDescent="0.2">
      <c r="A1037" s="68"/>
      <c r="B1037" s="69"/>
      <c r="C1037" s="69"/>
    </row>
    <row r="1038" spans="1:3" ht="12.75" x14ac:dyDescent="0.2">
      <c r="A1038" s="68"/>
      <c r="B1038" s="69"/>
      <c r="C1038" s="69"/>
    </row>
    <row r="1039" spans="1:3" ht="12.75" x14ac:dyDescent="0.2">
      <c r="A1039" s="68"/>
      <c r="B1039" s="69"/>
      <c r="C1039" s="69"/>
    </row>
    <row r="1040" spans="1:3" ht="12.75" x14ac:dyDescent="0.2">
      <c r="A1040" s="68"/>
      <c r="B1040" s="69"/>
      <c r="C1040" s="69"/>
    </row>
    <row r="1041" spans="1:3" ht="12.75" x14ac:dyDescent="0.2">
      <c r="A1041" s="68"/>
      <c r="B1041" s="69"/>
      <c r="C1041" s="69"/>
    </row>
    <row r="1042" spans="1:3" ht="12.75" x14ac:dyDescent="0.2">
      <c r="A1042" s="68"/>
      <c r="B1042" s="69"/>
      <c r="C1042" s="69"/>
    </row>
    <row r="1043" spans="1:3" ht="12.75" x14ac:dyDescent="0.2">
      <c r="A1043" s="68"/>
      <c r="B1043" s="69"/>
      <c r="C1043" s="69"/>
    </row>
    <row r="1044" spans="1:3" ht="12.75" x14ac:dyDescent="0.2">
      <c r="A1044" s="68"/>
      <c r="B1044" s="69"/>
      <c r="C1044" s="69"/>
    </row>
    <row r="1045" spans="1:3" ht="12.75" x14ac:dyDescent="0.2">
      <c r="A1045" s="68"/>
      <c r="B1045" s="69"/>
      <c r="C1045" s="69"/>
    </row>
    <row r="1046" spans="1:3" ht="12.75" x14ac:dyDescent="0.2">
      <c r="A1046" s="68"/>
      <c r="B1046" s="69"/>
      <c r="C1046" s="69"/>
    </row>
    <row r="1047" spans="1:3" ht="12.75" x14ac:dyDescent="0.2">
      <c r="A1047" s="68"/>
      <c r="B1047" s="69"/>
      <c r="C1047" s="69"/>
    </row>
    <row r="1048" spans="1:3" ht="12.75" x14ac:dyDescent="0.2">
      <c r="A1048" s="68"/>
      <c r="B1048" s="69"/>
      <c r="C1048" s="69"/>
    </row>
    <row r="1049" spans="1:3" ht="12.75" x14ac:dyDescent="0.2">
      <c r="A1049" s="68"/>
      <c r="B1049" s="69"/>
      <c r="C1049" s="69"/>
    </row>
    <row r="1050" spans="1:3" ht="12.75" x14ac:dyDescent="0.2">
      <c r="A1050" s="68"/>
      <c r="B1050" s="69"/>
      <c r="C1050" s="69"/>
    </row>
    <row r="1051" spans="1:3" ht="12.75" x14ac:dyDescent="0.2">
      <c r="A1051" s="68"/>
      <c r="B1051" s="69"/>
      <c r="C1051" s="69"/>
    </row>
    <row r="1052" spans="1:3" ht="12.75" x14ac:dyDescent="0.2">
      <c r="A1052" s="68"/>
      <c r="B1052" s="69"/>
      <c r="C1052" s="69"/>
    </row>
    <row r="1053" spans="1:3" ht="12.75" x14ac:dyDescent="0.2">
      <c r="A1053" s="68"/>
      <c r="B1053" s="69"/>
      <c r="C1053" s="69"/>
    </row>
    <row r="1054" spans="1:3" ht="12.75" x14ac:dyDescent="0.2">
      <c r="A1054" s="68"/>
      <c r="B1054" s="69"/>
      <c r="C1054" s="69"/>
    </row>
    <row r="1055" spans="1:3" ht="12.75" x14ac:dyDescent="0.2">
      <c r="A1055" s="68"/>
      <c r="B1055" s="69"/>
      <c r="C1055" s="69"/>
    </row>
    <row r="1056" spans="1:3" ht="12.75" x14ac:dyDescent="0.2">
      <c r="A1056" s="68"/>
      <c r="B1056" s="69"/>
      <c r="C1056" s="69"/>
    </row>
    <row r="1057" spans="1:3" ht="12.75" x14ac:dyDescent="0.2">
      <c r="A1057" s="68"/>
      <c r="B1057" s="69"/>
      <c r="C1057" s="69"/>
    </row>
    <row r="1058" spans="1:3" ht="12.75" x14ac:dyDescent="0.2">
      <c r="A1058" s="68"/>
      <c r="B1058" s="69"/>
      <c r="C1058" s="69"/>
    </row>
    <row r="1059" spans="1:3" ht="12.75" x14ac:dyDescent="0.2">
      <c r="A1059" s="68"/>
      <c r="B1059" s="69"/>
      <c r="C1059" s="69"/>
    </row>
    <row r="1060" spans="1:3" ht="12.75" x14ac:dyDescent="0.2">
      <c r="A1060" s="68"/>
      <c r="B1060" s="69"/>
      <c r="C1060" s="69"/>
    </row>
    <row r="1061" spans="1:3" ht="12.75" x14ac:dyDescent="0.2">
      <c r="A1061" s="68"/>
      <c r="B1061" s="69"/>
      <c r="C1061" s="69"/>
    </row>
    <row r="1062" spans="1:3" ht="12.75" x14ac:dyDescent="0.2">
      <c r="A1062" s="68"/>
      <c r="B1062" s="69"/>
      <c r="C1062" s="69"/>
    </row>
    <row r="1063" spans="1:3" ht="12.75" x14ac:dyDescent="0.2">
      <c r="A1063" s="68"/>
      <c r="B1063" s="69"/>
      <c r="C1063" s="69"/>
    </row>
    <row r="1064" spans="1:3" ht="12.75" x14ac:dyDescent="0.2">
      <c r="A1064" s="68"/>
      <c r="B1064" s="69"/>
      <c r="C1064" s="69"/>
    </row>
    <row r="1065" spans="1:3" ht="12.75" x14ac:dyDescent="0.2">
      <c r="A1065" s="68"/>
      <c r="B1065" s="69"/>
      <c r="C1065" s="69"/>
    </row>
    <row r="1066" spans="1:3" ht="12.75" x14ac:dyDescent="0.2">
      <c r="A1066" s="68"/>
      <c r="B1066" s="69"/>
      <c r="C1066" s="69"/>
    </row>
    <row r="1067" spans="1:3" ht="12.75" x14ac:dyDescent="0.2">
      <c r="A1067" s="68"/>
      <c r="B1067" s="69"/>
      <c r="C1067" s="69"/>
    </row>
    <row r="1068" spans="1:3" ht="12.75" x14ac:dyDescent="0.2">
      <c r="A1068" s="68"/>
      <c r="B1068" s="69"/>
      <c r="C1068" s="69"/>
    </row>
    <row r="1069" spans="1:3" ht="12.75" x14ac:dyDescent="0.2">
      <c r="A1069" s="68"/>
      <c r="B1069" s="69"/>
      <c r="C1069" s="69"/>
    </row>
    <row r="1070" spans="1:3" ht="12.75" x14ac:dyDescent="0.2">
      <c r="A1070" s="68"/>
      <c r="B1070" s="69"/>
      <c r="C1070" s="69"/>
    </row>
    <row r="1071" spans="1:3" ht="12.75" x14ac:dyDescent="0.2">
      <c r="A1071" s="68"/>
      <c r="B1071" s="69"/>
      <c r="C1071" s="69"/>
    </row>
    <row r="1072" spans="1:3" ht="12.75" x14ac:dyDescent="0.2">
      <c r="A1072" s="68"/>
      <c r="B1072" s="69"/>
      <c r="C1072" s="69"/>
    </row>
    <row r="1073" spans="1:3" ht="12.75" x14ac:dyDescent="0.2">
      <c r="A1073" s="68"/>
      <c r="B1073" s="69"/>
      <c r="C1073" s="69"/>
    </row>
    <row r="1074" spans="1:3" ht="12.75" x14ac:dyDescent="0.2">
      <c r="A1074" s="68"/>
      <c r="B1074" s="69"/>
      <c r="C1074" s="69"/>
    </row>
    <row r="1075" spans="1:3" ht="12.75" x14ac:dyDescent="0.2">
      <c r="A1075" s="68"/>
      <c r="B1075" s="69"/>
      <c r="C1075" s="69"/>
    </row>
    <row r="1076" spans="1:3" ht="12.75" x14ac:dyDescent="0.2">
      <c r="A1076" s="68"/>
      <c r="B1076" s="69"/>
      <c r="C1076" s="69"/>
    </row>
    <row r="1077" spans="1:3" ht="12.75" x14ac:dyDescent="0.2">
      <c r="A1077" s="68"/>
      <c r="B1077" s="69"/>
      <c r="C1077" s="69"/>
    </row>
    <row r="1078" spans="1:3" ht="12.75" x14ac:dyDescent="0.2">
      <c r="A1078" s="68"/>
      <c r="B1078" s="69"/>
      <c r="C1078" s="69"/>
    </row>
    <row r="1079" spans="1:3" ht="12.75" x14ac:dyDescent="0.2">
      <c r="A1079" s="68"/>
      <c r="B1079" s="69"/>
      <c r="C1079" s="69"/>
    </row>
    <row r="1080" spans="1:3" ht="12.75" x14ac:dyDescent="0.2">
      <c r="A1080" s="68"/>
      <c r="B1080" s="69"/>
      <c r="C1080" s="69"/>
    </row>
    <row r="1081" spans="1:3" ht="12.75" x14ac:dyDescent="0.2">
      <c r="A1081" s="68"/>
      <c r="B1081" s="69"/>
      <c r="C1081" s="69"/>
    </row>
    <row r="1082" spans="1:3" ht="12.75" x14ac:dyDescent="0.2">
      <c r="A1082" s="68"/>
      <c r="B1082" s="69"/>
      <c r="C1082" s="69"/>
    </row>
    <row r="1083" spans="1:3" ht="12.75" x14ac:dyDescent="0.2">
      <c r="A1083" s="68"/>
      <c r="B1083" s="69"/>
      <c r="C1083" s="69"/>
    </row>
    <row r="1084" spans="1:3" ht="12.75" x14ac:dyDescent="0.2">
      <c r="A1084" s="68"/>
      <c r="B1084" s="69"/>
      <c r="C1084" s="69"/>
    </row>
    <row r="1085" spans="1:3" ht="12.75" x14ac:dyDescent="0.2">
      <c r="A1085" s="68"/>
      <c r="B1085" s="69"/>
      <c r="C1085" s="69"/>
    </row>
    <row r="1086" spans="1:3" ht="12.75" x14ac:dyDescent="0.2">
      <c r="A1086" s="68"/>
      <c r="B1086" s="69"/>
      <c r="C1086" s="69"/>
    </row>
    <row r="1087" spans="1:3" ht="12.75" x14ac:dyDescent="0.2">
      <c r="A1087" s="68"/>
      <c r="B1087" s="69"/>
      <c r="C1087" s="69"/>
    </row>
    <row r="1088" spans="1:3" ht="12.75" x14ac:dyDescent="0.2">
      <c r="A1088" s="68"/>
      <c r="B1088" s="69"/>
      <c r="C1088" s="69"/>
    </row>
    <row r="1089" spans="1:3" ht="12.75" x14ac:dyDescent="0.2">
      <c r="A1089" s="68"/>
      <c r="B1089" s="69"/>
      <c r="C1089" s="69"/>
    </row>
    <row r="1090" spans="1:3" ht="12.75" x14ac:dyDescent="0.2">
      <c r="A1090" s="68"/>
      <c r="B1090" s="69"/>
      <c r="C1090" s="69"/>
    </row>
    <row r="1091" spans="1:3" ht="12.75" x14ac:dyDescent="0.2">
      <c r="A1091" s="68"/>
      <c r="B1091" s="69"/>
      <c r="C1091" s="69"/>
    </row>
  </sheetData>
  <mergeCells count="18">
    <mergeCell ref="A146:D146"/>
    <mergeCell ref="A1:D2"/>
    <mergeCell ref="A3:D3"/>
    <mergeCell ref="A8:D8"/>
    <mergeCell ref="A9:A28"/>
    <mergeCell ref="A29:D29"/>
    <mergeCell ref="A30:A34"/>
    <mergeCell ref="A54:D54"/>
    <mergeCell ref="A122:A123"/>
    <mergeCell ref="A79:D79"/>
    <mergeCell ref="A102:D102"/>
    <mergeCell ref="A111:D111"/>
    <mergeCell ref="A124:D124"/>
    <mergeCell ref="A35:A53"/>
    <mergeCell ref="A55:A78"/>
    <mergeCell ref="A81:A89"/>
    <mergeCell ref="A91:A101"/>
    <mergeCell ref="A104:A1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74"/>
  <sheetViews>
    <sheetView workbookViewId="0">
      <pane ySplit="4" topLeftCell="A57" activePane="bottomLeft" state="frozen"/>
      <selection pane="bottomLeft" activeCell="B14" sqref="B14"/>
    </sheetView>
  </sheetViews>
  <sheetFormatPr defaultColWidth="12.5703125" defaultRowHeight="15.75" customHeight="1" x14ac:dyDescent="0.2"/>
  <cols>
    <col min="1" max="1" width="32.42578125" customWidth="1"/>
    <col min="2" max="2" width="52.5703125" customWidth="1"/>
    <col min="3" max="3" width="10.42578125" customWidth="1"/>
    <col min="4" max="4" width="14" customWidth="1"/>
  </cols>
  <sheetData>
    <row r="1" spans="1:17" ht="12.75" x14ac:dyDescent="0.2">
      <c r="A1" s="163" t="s">
        <v>260</v>
      </c>
      <c r="B1" s="149"/>
      <c r="C1" s="149"/>
      <c r="D1" s="149"/>
    </row>
    <row r="2" spans="1:17" ht="15.75" customHeight="1" x14ac:dyDescent="0.2">
      <c r="A2" s="149"/>
      <c r="B2" s="149"/>
      <c r="C2" s="149"/>
      <c r="D2" s="149"/>
    </row>
    <row r="3" spans="1:17" x14ac:dyDescent="0.2">
      <c r="A3" s="165">
        <v>46175</v>
      </c>
      <c r="B3" s="149"/>
      <c r="C3" s="149"/>
      <c r="D3" s="149"/>
    </row>
    <row r="4" spans="1:17" ht="33" x14ac:dyDescent="0.2">
      <c r="A4" s="70" t="s">
        <v>54</v>
      </c>
      <c r="B4" s="70" t="s">
        <v>261</v>
      </c>
      <c r="C4" s="71" t="s">
        <v>262</v>
      </c>
      <c r="D4" s="71" t="s">
        <v>90</v>
      </c>
    </row>
    <row r="5" spans="1:17" x14ac:dyDescent="0.25">
      <c r="A5" s="166" t="s">
        <v>263</v>
      </c>
      <c r="B5" s="158"/>
      <c r="C5" s="158"/>
      <c r="D5" s="16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ht="25.5" x14ac:dyDescent="0.2">
      <c r="A6" s="168" t="s">
        <v>264</v>
      </c>
      <c r="B6" s="169"/>
      <c r="C6" s="169"/>
      <c r="D6" s="169"/>
    </row>
    <row r="7" spans="1:17" ht="12.75" x14ac:dyDescent="0.2">
      <c r="A7" s="170" t="e">
        <f ca="1">_xludf.image("https://lh3.google.com/u/0/d/1Wa80mTNWyqYUp0KsLCDYwXRAn6A2Hhg7",1)</f>
        <v>#NAME?</v>
      </c>
      <c r="B7" s="73" t="s">
        <v>265</v>
      </c>
      <c r="C7" s="74"/>
      <c r="D7" s="75">
        <v>3395000</v>
      </c>
    </row>
    <row r="8" spans="1:17" ht="12.75" x14ac:dyDescent="0.2">
      <c r="A8" s="155"/>
      <c r="B8" s="73" t="s">
        <v>266</v>
      </c>
      <c r="C8" s="74"/>
      <c r="D8" s="75">
        <v>4031000</v>
      </c>
    </row>
    <row r="9" spans="1:17" ht="12.75" x14ac:dyDescent="0.2">
      <c r="A9" s="155"/>
      <c r="B9" s="73" t="s">
        <v>267</v>
      </c>
      <c r="C9" s="74"/>
      <c r="D9" s="75">
        <v>5834000</v>
      </c>
    </row>
    <row r="10" spans="1:17" ht="12.75" x14ac:dyDescent="0.2">
      <c r="A10" s="155"/>
      <c r="B10" s="73" t="s">
        <v>268</v>
      </c>
      <c r="C10" s="74"/>
      <c r="D10" s="75">
        <v>6682000</v>
      </c>
    </row>
    <row r="11" spans="1:17" ht="12.75" x14ac:dyDescent="0.2">
      <c r="A11" s="155"/>
      <c r="B11" s="73" t="s">
        <v>269</v>
      </c>
      <c r="C11" s="74"/>
      <c r="D11" s="75">
        <v>2440000</v>
      </c>
    </row>
    <row r="12" spans="1:17" ht="12.75" x14ac:dyDescent="0.2">
      <c r="A12" s="155"/>
      <c r="B12" s="73" t="s">
        <v>270</v>
      </c>
      <c r="C12" s="74"/>
      <c r="D12" s="75">
        <v>1804000</v>
      </c>
    </row>
    <row r="13" spans="1:17" ht="12.75" x14ac:dyDescent="0.2">
      <c r="A13" s="156"/>
      <c r="B13" s="73" t="s">
        <v>271</v>
      </c>
      <c r="C13" s="74"/>
      <c r="D13" s="75">
        <v>1592000</v>
      </c>
    </row>
    <row r="14" spans="1:17" ht="75" customHeight="1" x14ac:dyDescent="0.2">
      <c r="A14" s="72" t="e">
        <f ca="1">_xludf.image("https://lh3.google.com/u/0/d/1CGHzQEHICQyDQJFGv-pUYw8diIoB84eS",1)</f>
        <v>#NAME?</v>
      </c>
      <c r="B14" s="73" t="s">
        <v>272</v>
      </c>
      <c r="C14" s="76"/>
      <c r="D14" s="75">
        <v>179000</v>
      </c>
    </row>
    <row r="15" spans="1:17" ht="75" customHeight="1" x14ac:dyDescent="0.2">
      <c r="A15" s="72" t="e">
        <f ca="1">_xludf.image("https://lh3.google.com/u/0/d/1ZYjqUTBUN7uaheefZpfyRzCvj5buagNq",1)</f>
        <v>#NAME?</v>
      </c>
      <c r="B15" s="73" t="s">
        <v>273</v>
      </c>
      <c r="C15" s="76"/>
      <c r="D15" s="75">
        <v>254000</v>
      </c>
    </row>
    <row r="16" spans="1:17" ht="75" customHeight="1" x14ac:dyDescent="0.2">
      <c r="A16" s="72" t="e">
        <f ca="1">_xludf.image("https://lh3.google.com/u/0/d/1jRVzZIDTC0TtOFomPNgy0may4a0BJiIs",1)</f>
        <v>#NAME?</v>
      </c>
      <c r="B16" s="73" t="s">
        <v>274</v>
      </c>
      <c r="C16" s="76"/>
      <c r="D16" s="75">
        <v>467000</v>
      </c>
    </row>
    <row r="17" spans="1:4" ht="75" customHeight="1" x14ac:dyDescent="0.2">
      <c r="A17" s="72" t="e">
        <f ca="1">_xludf.image("https://lh3.google.com/u/0/d/1wNZmESSFXR8dohgbLoMaw2CrOyoHgGcI",1)</f>
        <v>#NAME?</v>
      </c>
      <c r="B17" s="73" t="s">
        <v>275</v>
      </c>
      <c r="C17" s="76"/>
      <c r="D17" s="75">
        <v>559000</v>
      </c>
    </row>
    <row r="18" spans="1:4" ht="75" customHeight="1" x14ac:dyDescent="0.2">
      <c r="A18" s="72" t="e">
        <f ca="1">_xludf.image("https://lh3.google.com/u/0/d/16wkeH8M8n2s6j3_9iPs-sGQjqXHJa-SL",1)</f>
        <v>#NAME?</v>
      </c>
      <c r="B18" s="73" t="s">
        <v>276</v>
      </c>
      <c r="C18" s="76"/>
      <c r="D18" s="75">
        <v>652000</v>
      </c>
    </row>
    <row r="19" spans="1:4" ht="75" customHeight="1" x14ac:dyDescent="0.2">
      <c r="A19" s="72" t="e">
        <f ca="1">_xludf.image("https://lh3.google.com/u/0/d/1_KYkcwvgl-TaQC5talbugyKdvpY-GIPQ",1)</f>
        <v>#NAME?</v>
      </c>
      <c r="B19" s="73" t="s">
        <v>277</v>
      </c>
      <c r="C19" s="76"/>
      <c r="D19" s="75">
        <v>926000</v>
      </c>
    </row>
    <row r="20" spans="1:4" ht="75" customHeight="1" x14ac:dyDescent="0.2">
      <c r="A20" s="72" t="e">
        <f ca="1">_xludf.image("https://lh3.google.com/u/0/d/1RfdqfcSdjJQpipkVEb1xHWSDoc4py-Gq",1)</f>
        <v>#NAME?</v>
      </c>
      <c r="B20" s="73" t="s">
        <v>278</v>
      </c>
      <c r="C20" s="76"/>
      <c r="D20" s="75">
        <v>1115000</v>
      </c>
    </row>
    <row r="21" spans="1:4" ht="75" customHeight="1" x14ac:dyDescent="0.2">
      <c r="A21" s="72" t="e">
        <f ca="1">_xludf.image("https://lh3.google.com/u/0/d/1v-WEAX1tBW5gINT4yYzl56Vtxu-GLxVu",1)</f>
        <v>#NAME?</v>
      </c>
      <c r="B21" s="73" t="s">
        <v>279</v>
      </c>
      <c r="C21" s="76"/>
      <c r="D21" s="75">
        <v>2133000</v>
      </c>
    </row>
    <row r="22" spans="1:4" ht="75" customHeight="1" x14ac:dyDescent="0.2">
      <c r="A22" s="72" t="e">
        <f ca="1">_xludf.image("https://lh3.google.com/u/0/d/12f5a6vBMfHh4XdnJAgO90pXaU3zjJkmb",1)</f>
        <v>#NAME?</v>
      </c>
      <c r="B22" s="73" t="s">
        <v>280</v>
      </c>
      <c r="C22" s="76"/>
      <c r="D22" s="75">
        <v>2318000</v>
      </c>
    </row>
    <row r="23" spans="1:4" ht="75" customHeight="1" x14ac:dyDescent="0.2">
      <c r="A23" s="72" t="e">
        <f ca="1">_xludf.image("https://lh3.google.com/u/0/d/1BqCg2FtCSzWv272OoO6xIB_pDL9w4c5h",1)</f>
        <v>#NAME?</v>
      </c>
      <c r="B23" s="73" t="s">
        <v>281</v>
      </c>
      <c r="C23" s="76"/>
      <c r="D23" s="75">
        <v>2318000</v>
      </c>
    </row>
    <row r="24" spans="1:4" ht="18.75" customHeight="1" x14ac:dyDescent="0.2">
      <c r="A24" s="170" t="e">
        <f ca="1">_xludf.image("https://lh3.google.com/u/0/d/1q6StSJFbxGufWxUrymYU8qIzM5Wi6ZrS",1)</f>
        <v>#NAME?</v>
      </c>
      <c r="B24" s="77" t="s">
        <v>282</v>
      </c>
      <c r="C24" s="171"/>
      <c r="D24" s="75">
        <v>926000</v>
      </c>
    </row>
    <row r="25" spans="1:4" ht="18.75" customHeight="1" x14ac:dyDescent="0.2">
      <c r="A25" s="155"/>
      <c r="B25" s="78" t="s">
        <v>283</v>
      </c>
      <c r="C25" s="155"/>
      <c r="D25" s="75">
        <v>1235000</v>
      </c>
    </row>
    <row r="26" spans="1:4" ht="18.75" customHeight="1" x14ac:dyDescent="0.2">
      <c r="A26" s="155"/>
      <c r="B26" s="78" t="s">
        <v>284</v>
      </c>
      <c r="C26" s="155"/>
      <c r="D26" s="75">
        <v>1691000</v>
      </c>
    </row>
    <row r="27" spans="1:4" ht="18.75" customHeight="1" x14ac:dyDescent="0.2">
      <c r="A27" s="79" t="s">
        <v>285</v>
      </c>
      <c r="B27" s="78" t="s">
        <v>286</v>
      </c>
      <c r="C27" s="156"/>
      <c r="D27" s="75">
        <v>2308000</v>
      </c>
    </row>
    <row r="28" spans="1:4" ht="25.5" x14ac:dyDescent="0.2">
      <c r="A28" s="172" t="s">
        <v>287</v>
      </c>
      <c r="B28" s="158"/>
      <c r="C28" s="158"/>
      <c r="D28" s="158"/>
    </row>
    <row r="29" spans="1:4" ht="75" customHeight="1" x14ac:dyDescent="0.2">
      <c r="A29" s="80" t="e">
        <f ca="1">_xludf.image("https://lh3.google.com/u/0/d/1fB9HRxHIBLWRIUrQmf-xscPY7sPsjnKT",1)</f>
        <v>#NAME?</v>
      </c>
      <c r="B29" s="73" t="s">
        <v>288</v>
      </c>
      <c r="C29" s="74"/>
      <c r="D29" s="75">
        <v>7663000</v>
      </c>
    </row>
    <row r="30" spans="1:4" ht="75" customHeight="1" x14ac:dyDescent="0.2">
      <c r="A30" s="81" t="e">
        <f ca="1">_xludf.image("https://lh3.google.com/u/0/d/1uxwSJUX-D-2LKb07tGvg_chHOMxbJToR",1)</f>
        <v>#NAME?</v>
      </c>
      <c r="B30" s="42" t="s">
        <v>289</v>
      </c>
      <c r="C30" s="76"/>
      <c r="D30" s="75">
        <v>604000</v>
      </c>
    </row>
    <row r="31" spans="1:4" ht="75" customHeight="1" x14ac:dyDescent="0.2">
      <c r="A31" s="80" t="e">
        <f ca="1">_xludf.image("https://lh3.google.com/u/0/d/1gdoItlrQiENSXBVrZQWTk4zA7215TAQk",1)</f>
        <v>#NAME?</v>
      </c>
      <c r="B31" s="73" t="s">
        <v>290</v>
      </c>
      <c r="C31" s="76"/>
      <c r="D31" s="75">
        <v>1663000</v>
      </c>
    </row>
    <row r="32" spans="1:4" ht="75" customHeight="1" x14ac:dyDescent="0.2">
      <c r="A32" s="81" t="e">
        <f ca="1">_xludf.image("https://lh3.google.com/u/0/d/1-sr1Tqtnu7IZKqheh9NPiYL6KD8pSHX8",1)</f>
        <v>#NAME?</v>
      </c>
      <c r="B32" s="42" t="s">
        <v>291</v>
      </c>
      <c r="C32" s="76"/>
      <c r="D32" s="75">
        <v>2205000</v>
      </c>
    </row>
    <row r="33" spans="1:4" ht="75" customHeight="1" x14ac:dyDescent="0.2">
      <c r="A33" s="80" t="e">
        <f ca="1">_xludf.image("https://lh3.google.com/u/0/d/1pgL6cmIzAqCyQkgkXySFS2R1YrCOYHSV",1)</f>
        <v>#NAME?</v>
      </c>
      <c r="B33" s="73" t="s">
        <v>292</v>
      </c>
      <c r="C33" s="76"/>
      <c r="D33" s="75">
        <v>3449000</v>
      </c>
    </row>
    <row r="34" spans="1:4" ht="75" customHeight="1" x14ac:dyDescent="0.2">
      <c r="A34" s="80" t="e">
        <f ca="1">_xludf.image("https://lh3.google.com/u/0/d/1j2skRQWQX8FQ_A6gKDaVRp10bFk0WxTC",1)</f>
        <v>#NAME?</v>
      </c>
      <c r="B34" s="73" t="s">
        <v>293</v>
      </c>
      <c r="C34" s="76"/>
      <c r="D34" s="75">
        <v>3503000</v>
      </c>
    </row>
    <row r="35" spans="1:4" ht="75" customHeight="1" x14ac:dyDescent="0.2">
      <c r="A35" s="81" t="e">
        <f ca="1">_xludf.image("https://lh3.google.com/u/0/d/1xrAa40nIZbP69tED80pKLzp4udRtipiW",1)</f>
        <v>#NAME?</v>
      </c>
      <c r="B35" s="42" t="s">
        <v>294</v>
      </c>
      <c r="C35" s="76"/>
      <c r="D35" s="75">
        <v>2638000</v>
      </c>
    </row>
    <row r="36" spans="1:4" ht="75" customHeight="1" x14ac:dyDescent="0.2">
      <c r="A36" s="81" t="e">
        <f ca="1">_xludf.image("https://lh3.google.com/u/0/d/1tH6sjiTYYDJAyXUSow2egxz-GSmVeWYH",1)</f>
        <v>#NAME?</v>
      </c>
      <c r="B36" s="42" t="s">
        <v>295</v>
      </c>
      <c r="C36" s="76"/>
      <c r="D36" s="75">
        <v>2070000</v>
      </c>
    </row>
    <row r="37" spans="1:4" ht="75" customHeight="1" x14ac:dyDescent="0.2">
      <c r="A37" s="81" t="e">
        <f ca="1">_xludf.image("https://lh3.google.com/u/0/d/1rlz-6ZhuwDXCrPVUqlJeSFt4lwlNFCcj",1)</f>
        <v>#NAME?</v>
      </c>
      <c r="B37" s="42" t="s">
        <v>296</v>
      </c>
      <c r="C37" s="76"/>
      <c r="D37" s="75">
        <v>2626000</v>
      </c>
    </row>
    <row r="38" spans="1:4" ht="75" customHeight="1" x14ac:dyDescent="0.2">
      <c r="A38" s="80" t="e">
        <f ca="1">_xludf.image("https://lh3.google.com/u/0/d/1NCY7aWU6NP7aO7UxMr0anbMx1G1w-QES",1)</f>
        <v>#NAME?</v>
      </c>
      <c r="B38" s="73" t="s">
        <v>297</v>
      </c>
      <c r="C38" s="76"/>
      <c r="D38" s="75">
        <v>4261000</v>
      </c>
    </row>
    <row r="39" spans="1:4" ht="75" customHeight="1" x14ac:dyDescent="0.2">
      <c r="A39" s="80" t="e">
        <f ca="1">_xludf.image("https://lh3.google.com/u/0/d/1O3o-5MQwTnQk6-mWJhPwz9KXpOFFEvjG",1)</f>
        <v>#NAME?</v>
      </c>
      <c r="B39" s="73" t="s">
        <v>298</v>
      </c>
      <c r="C39" s="76"/>
      <c r="D39" s="75">
        <v>4040000</v>
      </c>
    </row>
    <row r="40" spans="1:4" ht="75" customHeight="1" x14ac:dyDescent="0.2">
      <c r="A40" s="82" t="s">
        <v>299</v>
      </c>
      <c r="B40" s="73" t="s">
        <v>300</v>
      </c>
      <c r="C40" s="76"/>
      <c r="D40" s="75">
        <v>4501000</v>
      </c>
    </row>
    <row r="41" spans="1:4" ht="75" customHeight="1" x14ac:dyDescent="0.2">
      <c r="A41" s="80" t="e">
        <f ca="1">_xludf.image("https://lh3.google.com/u/0/d/1KMWa_iWWsApb3MvvV3gyzZ7_ewWPisd3",1)</f>
        <v>#NAME?</v>
      </c>
      <c r="B41" s="73" t="s">
        <v>301</v>
      </c>
      <c r="C41" s="76"/>
      <c r="D41" s="75">
        <v>3929000</v>
      </c>
    </row>
    <row r="42" spans="1:4" ht="75" customHeight="1" x14ac:dyDescent="0.2">
      <c r="A42" s="80" t="e">
        <f ca="1">_xludf.image("https://lh3.google.com/u/0/d/1WLG8RljmLyElWL94-FjgyCzTz_yNAKRJ",1)</f>
        <v>#NAME?</v>
      </c>
      <c r="B42" s="73" t="s">
        <v>302</v>
      </c>
      <c r="C42" s="76">
        <v>1</v>
      </c>
      <c r="D42" s="75">
        <v>256000</v>
      </c>
    </row>
    <row r="43" spans="1:4" ht="75" customHeight="1" x14ac:dyDescent="0.2">
      <c r="A43" s="80" t="e">
        <f ca="1">_xludf.image("https://lh3.google.com/u/0/d/1VJzdqSc0WZ1-kixl5NLI0mvkGKozzOdz",1)</f>
        <v>#NAME?</v>
      </c>
      <c r="B43" s="73" t="s">
        <v>303</v>
      </c>
      <c r="C43" s="76"/>
      <c r="D43" s="75">
        <v>1149000</v>
      </c>
    </row>
    <row r="44" spans="1:4" ht="75" customHeight="1" x14ac:dyDescent="0.2">
      <c r="A44" s="80" t="e">
        <f ca="1">_xludf.image("https://lh3.google.com/u/0/d/1zMUjic6aRLGkOjecBUCPnR8bj9L6vK76",1)</f>
        <v>#NAME?</v>
      </c>
      <c r="B44" s="73" t="s">
        <v>304</v>
      </c>
      <c r="C44" s="76"/>
      <c r="D44" s="75">
        <v>1349000</v>
      </c>
    </row>
    <row r="45" spans="1:4" ht="75" customHeight="1" x14ac:dyDescent="0.2">
      <c r="A45" s="80" t="e">
        <f ca="1">_xludf.image("https://lh3.google.com/u/0/d/1AmBhLK7JgXCA0lM_X2j6J_0AqmpqAoth",1)</f>
        <v>#NAME?</v>
      </c>
      <c r="B45" s="73" t="s">
        <v>305</v>
      </c>
      <c r="C45" s="76">
        <v>3</v>
      </c>
      <c r="D45" s="75">
        <v>577000</v>
      </c>
    </row>
    <row r="46" spans="1:4" ht="75" customHeight="1" x14ac:dyDescent="0.2">
      <c r="A46" s="80" t="e">
        <f ca="1">_xludf.image("https://lh3.google.com/u/0/d/1zGxGKOjBWr07HEujzwVwSS_YAOwCNJQu",1)</f>
        <v>#NAME?</v>
      </c>
      <c r="B46" s="73" t="s">
        <v>306</v>
      </c>
      <c r="C46" s="76"/>
      <c r="D46" s="75">
        <v>4734000</v>
      </c>
    </row>
    <row r="47" spans="1:4" ht="75" customHeight="1" x14ac:dyDescent="0.2">
      <c r="A47" s="80" t="e">
        <f ca="1">_xludf.image("https://lh3.google.com/u/0/d/1WLG8RljmLyElWL94-FjgyCzTz_yNAKRJ",1)</f>
        <v>#NAME?</v>
      </c>
      <c r="B47" s="73" t="s">
        <v>307</v>
      </c>
      <c r="C47" s="76"/>
      <c r="D47" s="75">
        <v>625000</v>
      </c>
    </row>
    <row r="48" spans="1:4" ht="75" customHeight="1" x14ac:dyDescent="0.2">
      <c r="A48" s="80" t="e">
        <f ca="1">_xludf.image("https://lh3.google.com/u/0/d/1l-iLhn8plzrrIa9e95hPVMV8Gw4XXTlv",1)</f>
        <v>#NAME?</v>
      </c>
      <c r="B48" s="73" t="s">
        <v>308</v>
      </c>
      <c r="C48" s="76"/>
      <c r="D48" s="75">
        <v>3503000</v>
      </c>
    </row>
    <row r="49" spans="1:4" ht="75" customHeight="1" x14ac:dyDescent="0.2">
      <c r="A49" s="81" t="e">
        <f ca="1">_xludf.image("https://lh3.google.com/u/0/d/18fkcH_Kjvu5l_VOmCz0e3Bf84Wiis-Wg",1)</f>
        <v>#NAME?</v>
      </c>
      <c r="B49" s="83" t="s">
        <v>309</v>
      </c>
      <c r="C49" s="76"/>
      <c r="D49" s="75">
        <v>3689000</v>
      </c>
    </row>
    <row r="50" spans="1:4" ht="75" customHeight="1" x14ac:dyDescent="0.2">
      <c r="A50" s="80" t="e">
        <f ca="1">_xludf.image("https://lh3.google.com/u/0/d/1A0yfhPjKUsogHx-sCDEm_8_HdFyNivxG",1)</f>
        <v>#NAME?</v>
      </c>
      <c r="B50" s="84" t="s">
        <v>310</v>
      </c>
      <c r="C50" s="76"/>
      <c r="D50" s="75">
        <v>4357000</v>
      </c>
    </row>
    <row r="51" spans="1:4" ht="31.5" customHeight="1" x14ac:dyDescent="0.2">
      <c r="A51" s="80" t="e">
        <f t="shared" ref="A51:A52" ca="1" si="0">_xludf.image("https://lh3.google.com/u/0/d/18cGMZ69iP7OO1E8symNt1Nouue67XcQ-",1)</f>
        <v>#NAME?</v>
      </c>
      <c r="B51" s="84" t="s">
        <v>311</v>
      </c>
      <c r="C51" s="76"/>
      <c r="D51" s="75">
        <v>10983000</v>
      </c>
    </row>
    <row r="52" spans="1:4" ht="75" customHeight="1" x14ac:dyDescent="0.2">
      <c r="A52" s="80" t="e">
        <f t="shared" ca="1" si="0"/>
        <v>#NAME?</v>
      </c>
      <c r="B52" s="84" t="s">
        <v>312</v>
      </c>
      <c r="C52" s="76"/>
      <c r="D52" s="75">
        <v>10983000</v>
      </c>
    </row>
    <row r="53" spans="1:4" ht="75" customHeight="1" x14ac:dyDescent="0.2">
      <c r="A53" s="80" t="e">
        <f ca="1">_xludf.image("https://lh3.google.com/u/0/d/1OlgvRGTi-qcJiegHVsOoV6JLxbHWjK6y",1)</f>
        <v>#NAME?</v>
      </c>
      <c r="B53" s="73" t="s">
        <v>313</v>
      </c>
      <c r="C53" s="76"/>
      <c r="D53" s="75">
        <v>2568000</v>
      </c>
    </row>
    <row r="54" spans="1:4" ht="35.25" customHeight="1" x14ac:dyDescent="0.2">
      <c r="A54" s="168" t="s">
        <v>314</v>
      </c>
      <c r="B54" s="169"/>
      <c r="C54" s="169"/>
      <c r="D54" s="169"/>
    </row>
    <row r="55" spans="1:4" ht="75" customHeight="1" x14ac:dyDescent="0.2">
      <c r="A55" s="81" t="e">
        <f ca="1">_xludf.image("https://lh3.google.com/u/0/d/1GOYYmJIa0Ro6ODAAPG5kE20IG_n7LeHk",1)</f>
        <v>#NAME?</v>
      </c>
      <c r="B55" s="42" t="s">
        <v>315</v>
      </c>
      <c r="C55" s="76"/>
      <c r="D55" s="75">
        <v>967000</v>
      </c>
    </row>
    <row r="56" spans="1:4" ht="75" customHeight="1" x14ac:dyDescent="0.2">
      <c r="A56" s="81" t="e">
        <f ca="1">_xludf.image("https://lh3.google.com/u/0/d/1CXvCA7HbRRcu7ibXaOup8v9-nP7M3CJ1",1)</f>
        <v>#NAME?</v>
      </c>
      <c r="B56" s="42" t="s">
        <v>316</v>
      </c>
      <c r="C56" s="76"/>
      <c r="D56" s="75">
        <v>4625000</v>
      </c>
    </row>
    <row r="57" spans="1:4" ht="75" customHeight="1" x14ac:dyDescent="0.2">
      <c r="A57" s="81" t="e">
        <f t="shared" ref="A57:A58" ca="1" si="1">_xludf.image("https://lh3.google.com/u/0/d/1WKXGeWMv-2BRbCXnbp9un4qsNFhdB4dU",1)</f>
        <v>#NAME?</v>
      </c>
      <c r="B57" s="42" t="s">
        <v>317</v>
      </c>
      <c r="C57" s="74"/>
      <c r="D57" s="75">
        <v>1224000</v>
      </c>
    </row>
    <row r="58" spans="1:4" ht="75" customHeight="1" x14ac:dyDescent="0.2">
      <c r="A58" s="81" t="e">
        <f t="shared" ca="1" si="1"/>
        <v>#NAME?</v>
      </c>
      <c r="B58" s="42" t="s">
        <v>318</v>
      </c>
      <c r="C58" s="74"/>
      <c r="D58" s="75">
        <v>1609000</v>
      </c>
    </row>
    <row r="59" spans="1:4" ht="75" customHeight="1" x14ac:dyDescent="0.2">
      <c r="A59" s="168" t="s">
        <v>319</v>
      </c>
      <c r="B59" s="169"/>
      <c r="C59" s="169"/>
      <c r="D59" s="169"/>
    </row>
    <row r="60" spans="1:4" ht="75" customHeight="1" x14ac:dyDescent="0.2">
      <c r="A60" s="80" t="e">
        <f ca="1">_xludf.image("https://lh3.google.com/u/0/d/1ysK0eVQ5ryElg-WZ7l0W_gGUfAApcXmf",1)</f>
        <v>#NAME?</v>
      </c>
      <c r="B60" s="73" t="s">
        <v>320</v>
      </c>
      <c r="C60" s="76"/>
      <c r="D60" s="75">
        <v>5664000</v>
      </c>
    </row>
    <row r="61" spans="1:4" ht="75" customHeight="1" x14ac:dyDescent="0.2">
      <c r="A61" s="80" t="e">
        <f ca="1">_xludf.image("https://lh3.google.com/u/0/d/1kKXqXIjxJ1tsFKqMUtJW4MnDkPJsM8vH",1)</f>
        <v>#NAME?</v>
      </c>
      <c r="B61" s="73" t="s">
        <v>321</v>
      </c>
      <c r="C61" s="76"/>
      <c r="D61" s="75">
        <v>3921000</v>
      </c>
    </row>
    <row r="62" spans="1:4" ht="75" customHeight="1" x14ac:dyDescent="0.2">
      <c r="A62" s="80" t="e">
        <f ca="1">_xludf.image("https://lh3.google.com/u/0/d/1j6Fnj0cJrYKjWzeUwgKf61Afj02rK_49",1)</f>
        <v>#NAME?</v>
      </c>
      <c r="B62" s="73" t="s">
        <v>322</v>
      </c>
      <c r="C62" s="76"/>
      <c r="D62" s="75">
        <v>6125000</v>
      </c>
    </row>
    <row r="63" spans="1:4" ht="75" customHeight="1" x14ac:dyDescent="0.2">
      <c r="A63" s="80" t="e">
        <f ca="1">_xludf.image("https://lh3.google.com/u/0/d/19sBwgSWN5RGwZx53GuFZ0TZ3TJ4marhS",1)</f>
        <v>#NAME?</v>
      </c>
      <c r="B63" s="73" t="s">
        <v>323</v>
      </c>
      <c r="C63" s="76"/>
      <c r="D63" s="75">
        <v>12798000</v>
      </c>
    </row>
    <row r="64" spans="1:4" ht="75" customHeight="1" x14ac:dyDescent="0.2">
      <c r="A64" s="80" t="e">
        <f ca="1">_xludf.image("https://lh3.google.com/u/0/d/11P8eaOhGNO_0KDgcwJ5oszYnYscK8-wn",1)</f>
        <v>#NAME?</v>
      </c>
      <c r="B64" s="73" t="s">
        <v>324</v>
      </c>
      <c r="C64" s="76"/>
      <c r="D64" s="75">
        <v>13293000</v>
      </c>
    </row>
    <row r="65" spans="1:4" ht="48" customHeight="1" x14ac:dyDescent="0.2">
      <c r="A65" s="80" t="e">
        <f ca="1">_xludf.image("https://lh3.google.com/u/0/d/1j6Fnj0cJrYKjWzeUwgKf61Afj02rK_49",1)</f>
        <v>#NAME?</v>
      </c>
      <c r="B65" s="73" t="s">
        <v>325</v>
      </c>
      <c r="C65" s="76"/>
      <c r="D65" s="75">
        <v>7048000</v>
      </c>
    </row>
    <row r="66" spans="1:4" ht="56.25" customHeight="1" x14ac:dyDescent="0.2">
      <c r="A66" s="168" t="s">
        <v>326</v>
      </c>
      <c r="B66" s="169"/>
      <c r="C66" s="169"/>
      <c r="D66" s="169"/>
    </row>
    <row r="67" spans="1:4" ht="56.25" customHeight="1" x14ac:dyDescent="0.2">
      <c r="A67" s="80" t="e">
        <f ca="1">_xludf.image("https://lh3.google.com/u/0/d/1vEou_TxEhxNtCPfaRP7B0UCP8RMIQXDS",1)</f>
        <v>#NAME?</v>
      </c>
      <c r="B67" s="73" t="s">
        <v>327</v>
      </c>
      <c r="C67" s="76">
        <v>2</v>
      </c>
      <c r="D67" s="75">
        <v>1273000</v>
      </c>
    </row>
    <row r="68" spans="1:4" ht="56.25" customHeight="1" x14ac:dyDescent="0.2">
      <c r="A68" s="80" t="e">
        <f ca="1">_xludf.image("https://lh3.google.com/u/0/d/18199rQFv1wio_07M5kVZMVuyGYSM-qOU",1)</f>
        <v>#NAME?</v>
      </c>
      <c r="B68" s="73" t="s">
        <v>328</v>
      </c>
      <c r="C68" s="76">
        <v>2</v>
      </c>
      <c r="D68" s="75">
        <v>135000</v>
      </c>
    </row>
    <row r="69" spans="1:4" ht="56.25" customHeight="1" x14ac:dyDescent="0.2">
      <c r="A69" s="80" t="e">
        <f ca="1">_xludf.image("https://lh3.google.com/u/0/d/1WAJ2BcGzYv7jFUTTShYZV5fOacsTDawr",1)</f>
        <v>#NAME?</v>
      </c>
      <c r="B69" s="73" t="s">
        <v>329</v>
      </c>
      <c r="C69" s="76"/>
      <c r="D69" s="75">
        <v>1041000</v>
      </c>
    </row>
    <row r="70" spans="1:4" ht="56.25" customHeight="1" x14ac:dyDescent="0.2">
      <c r="A70" s="80" t="e">
        <f ca="1">_xludf.image("https://lh3.google.com/u/0/d/1LkeXjdcONV1_zWImVfwm5rQ42J17dCCF",1)</f>
        <v>#NAME?</v>
      </c>
      <c r="B70" s="73" t="s">
        <v>330</v>
      </c>
      <c r="C70" s="76"/>
      <c r="D70" s="75">
        <v>417000</v>
      </c>
    </row>
    <row r="71" spans="1:4" ht="56.25" customHeight="1" x14ac:dyDescent="0.2">
      <c r="A71" s="168" t="s">
        <v>331</v>
      </c>
      <c r="B71" s="169"/>
      <c r="C71" s="169"/>
      <c r="D71" s="169"/>
    </row>
    <row r="72" spans="1:4" ht="37.5" customHeight="1" x14ac:dyDescent="0.2">
      <c r="A72" s="80" t="e">
        <f ca="1">_xludf.image("https://lh3.google.com/u/0/d/1tGKzdH-x7yAW-2-bIK7JHyYwE9ZZAaW5",1)</f>
        <v>#NAME?</v>
      </c>
      <c r="B72" s="73" t="s">
        <v>332</v>
      </c>
      <c r="C72" s="76"/>
      <c r="D72" s="75">
        <v>13275000</v>
      </c>
    </row>
    <row r="73" spans="1:4" ht="37.5" customHeight="1" x14ac:dyDescent="0.2">
      <c r="A73" s="80" t="e">
        <f ca="1">_xludf.image("https://lh3.google.com/u/0/d/1cih51LS3kt_K9YSHTHGBYyWSXO7yEHTm",1)</f>
        <v>#NAME?</v>
      </c>
      <c r="B73" s="73" t="s">
        <v>333</v>
      </c>
      <c r="C73" s="76"/>
      <c r="D73" s="75">
        <v>4349000</v>
      </c>
    </row>
    <row r="74" spans="1:4" ht="37.5" customHeight="1" x14ac:dyDescent="0.2">
      <c r="A74" s="80" t="e">
        <f ca="1">_xludf.image("https://lh3.google.com/u/0/d/1bn5TbSfjkQSs6j-3_gN5vOMm_H1bWd-h",1)</f>
        <v>#NAME?</v>
      </c>
      <c r="B74" s="73" t="s">
        <v>334</v>
      </c>
      <c r="C74" s="76"/>
      <c r="D74" s="75">
        <v>3303000</v>
      </c>
    </row>
    <row r="75" spans="1:4" ht="37.5" customHeight="1" x14ac:dyDescent="0.2">
      <c r="A75" s="80" t="e">
        <f ca="1">_xludf.image("https://lh3.google.com/u/0/d/1VegY5vrVYfJ1xViZetqUF1wReZlj1qNa",1)</f>
        <v>#NAME?</v>
      </c>
      <c r="B75" s="73" t="s">
        <v>335</v>
      </c>
      <c r="C75" s="76"/>
      <c r="D75" s="75">
        <v>1434000</v>
      </c>
    </row>
    <row r="76" spans="1:4" ht="37.5" customHeight="1" x14ac:dyDescent="0.2">
      <c r="A76" s="80" t="e">
        <f ca="1">_xludf.image("https://lh3.google.com/u/0/d/1vIr1cBEXIEaAuMGQbtwPCY50D8wDnLZO",1)</f>
        <v>#NAME?</v>
      </c>
      <c r="B76" s="73" t="s">
        <v>336</v>
      </c>
      <c r="C76" s="76"/>
      <c r="D76" s="75">
        <v>3248000</v>
      </c>
    </row>
    <row r="77" spans="1:4" ht="37.5" customHeight="1" x14ac:dyDescent="0.2">
      <c r="A77" s="80" t="e">
        <f ca="1">_xludf.image("https://lh3.google.com/u/0/d/1-NC-h3s4IZGOXDZcbr_c7P9iqovF3p7G",1)</f>
        <v>#NAME?</v>
      </c>
      <c r="B77" s="73" t="s">
        <v>337</v>
      </c>
      <c r="C77" s="76"/>
      <c r="D77" s="75">
        <v>13903000</v>
      </c>
    </row>
    <row r="78" spans="1:4" ht="37.5" customHeight="1" x14ac:dyDescent="0.2">
      <c r="A78" s="80" t="e">
        <f ca="1">_xludf.image("https://lh3.google.com/u/0/d/1CafwMetE2FshNY5ozK9cohW-QEbu-cIo",1)</f>
        <v>#NAME?</v>
      </c>
      <c r="B78" s="73" t="s">
        <v>338</v>
      </c>
      <c r="C78" s="76"/>
      <c r="D78" s="75">
        <v>640000</v>
      </c>
    </row>
    <row r="79" spans="1:4" ht="37.5" customHeight="1" x14ac:dyDescent="0.2">
      <c r="A79" s="80" t="e">
        <f ca="1">_xludf.image("https://lh3.google.com/u/0/d/12M__Vu_V2Aj7NAPMy5cWbqGP2fehLhEH",1)</f>
        <v>#NAME?</v>
      </c>
      <c r="B79" s="73" t="s">
        <v>339</v>
      </c>
      <c r="C79" s="76"/>
      <c r="D79" s="75">
        <v>7770000</v>
      </c>
    </row>
    <row r="80" spans="1:4" ht="56.25" customHeight="1" x14ac:dyDescent="0.2">
      <c r="A80" s="168" t="s">
        <v>340</v>
      </c>
      <c r="B80" s="169"/>
      <c r="C80" s="169"/>
      <c r="D80" s="169"/>
    </row>
    <row r="81" spans="1:4" ht="56.25" customHeight="1" x14ac:dyDescent="0.2">
      <c r="A81" s="80" t="e">
        <f ca="1">_xludf.image("https://lh3.google.com/u/0/d/1Ul7EQVOlpLqN-EMpqKcdxTeN0QjPMVZX",1)</f>
        <v>#NAME?</v>
      </c>
      <c r="B81" s="73" t="s">
        <v>341</v>
      </c>
      <c r="C81" s="76"/>
      <c r="D81" s="75">
        <v>4328000</v>
      </c>
    </row>
    <row r="82" spans="1:4" ht="56.25" customHeight="1" x14ac:dyDescent="0.2">
      <c r="A82" s="80" t="e">
        <f ca="1">_xludf.image("https://lh3.google.com/u/0/d/19GYSFNY6LbM7y88XVdr_43fUGH7veo8f",1)</f>
        <v>#NAME?</v>
      </c>
      <c r="B82" s="73" t="s">
        <v>342</v>
      </c>
      <c r="C82" s="76"/>
      <c r="D82" s="75">
        <v>6632000</v>
      </c>
    </row>
    <row r="83" spans="1:4" ht="56.25" customHeight="1" x14ac:dyDescent="0.2">
      <c r="A83" s="80" t="e">
        <f ca="1">_xludf.image("https://lh3.google.com/u/0/d/1HiIG4w1Wqd16dTkjUmnGSJ7HD3tTcd23",1)</f>
        <v>#NAME?</v>
      </c>
      <c r="B83" s="73" t="s">
        <v>343</v>
      </c>
      <c r="C83" s="76"/>
      <c r="D83" s="75">
        <v>8268000</v>
      </c>
    </row>
    <row r="84" spans="1:4" ht="56.25" customHeight="1" x14ac:dyDescent="0.2">
      <c r="A84" s="80" t="e">
        <f ca="1">_xludf.image("https://lh3.google.com/u/0/d/142VXjTT9BSl29Pys6yPOD7LwqS7GpCnQ",1)</f>
        <v>#NAME?</v>
      </c>
      <c r="B84" s="73" t="s">
        <v>344</v>
      </c>
      <c r="C84" s="76"/>
      <c r="D84" s="75">
        <v>1636000</v>
      </c>
    </row>
    <row r="85" spans="1:4" ht="56.25" customHeight="1" x14ac:dyDescent="0.2">
      <c r="A85" s="80" t="e">
        <f ca="1">_xludf.image("https://lh3.google.com/u/0/d/1CASf8yz3iIlnOAao98G0GEFY9ecwuh66",1)</f>
        <v>#NAME?</v>
      </c>
      <c r="B85" s="73" t="s">
        <v>345</v>
      </c>
      <c r="C85" s="76"/>
      <c r="D85" s="75">
        <v>9228000</v>
      </c>
    </row>
    <row r="86" spans="1:4" ht="56.25" customHeight="1" x14ac:dyDescent="0.2">
      <c r="A86" s="80" t="e">
        <f ca="1">_xludf.image("https://lh3.google.com/u/0/d/18tOO1bm0H0CNh7bT0BacO3VojoEPZ-y7",1)</f>
        <v>#NAME?</v>
      </c>
      <c r="B86" s="73" t="s">
        <v>346</v>
      </c>
      <c r="C86" s="76"/>
      <c r="D86" s="75">
        <v>3364000</v>
      </c>
    </row>
    <row r="87" spans="1:4" ht="56.25" customHeight="1" x14ac:dyDescent="0.2">
      <c r="A87" s="80" t="e">
        <f ca="1">_xludf.image("https://lh3.google.com/u/0/d/1Ng6Bgn0jFbp2x1ku1GqObAEF6SDThNB-",1)</f>
        <v>#NAME?</v>
      </c>
      <c r="B87" s="73" t="s">
        <v>347</v>
      </c>
      <c r="C87" s="76"/>
      <c r="D87" s="75">
        <v>22394000</v>
      </c>
    </row>
    <row r="88" spans="1:4" ht="56.25" customHeight="1" x14ac:dyDescent="0.2">
      <c r="A88" s="80" t="e">
        <f ca="1">_xludf.image("https://lh3.google.com/u/0/d/19u_tSnEcVWYLJxWhqpBBrS9ZkMTb-9E4",1)</f>
        <v>#NAME?</v>
      </c>
      <c r="B88" s="73" t="s">
        <v>348</v>
      </c>
      <c r="C88" s="76"/>
      <c r="D88" s="75">
        <v>2308000</v>
      </c>
    </row>
    <row r="89" spans="1:4" ht="49.5" customHeight="1" x14ac:dyDescent="0.2">
      <c r="A89" s="80" t="e">
        <f ca="1">_xludf.image("https://lh3.google.com/u/0/d/1o9flnOtsZneaFCrHibCsOEYyW9qUbpk8",1)</f>
        <v>#NAME?</v>
      </c>
      <c r="B89" s="73" t="s">
        <v>349</v>
      </c>
      <c r="C89" s="76"/>
      <c r="D89" s="75">
        <v>1156000</v>
      </c>
    </row>
    <row r="90" spans="1:4" ht="75" customHeight="1" x14ac:dyDescent="0.2">
      <c r="A90" s="80" t="e">
        <f ca="1">_xludf.image("https://lh3.google.com/u/0/d/1DZ6OUKn3Ogcj0lTpM7WRjJOgotP-IViS",1)</f>
        <v>#NAME?</v>
      </c>
      <c r="B90" s="73" t="s">
        <v>344</v>
      </c>
      <c r="C90" s="76"/>
      <c r="D90" s="75">
        <v>975000</v>
      </c>
    </row>
    <row r="91" spans="1:4" ht="75" customHeight="1" x14ac:dyDescent="0.2">
      <c r="A91" s="80" t="e">
        <f ca="1">_xludf.image("https://lh3.google.com/u/0/d/1mnq1lBnuXk3wRK3LHoQVcGt27pHUCPTR",1)</f>
        <v>#NAME?</v>
      </c>
      <c r="B91" s="73" t="s">
        <v>350</v>
      </c>
      <c r="C91" s="76"/>
      <c r="D91" s="75">
        <v>9999000</v>
      </c>
    </row>
    <row r="92" spans="1:4" ht="90" customHeight="1" x14ac:dyDescent="0.2">
      <c r="A92" s="80" t="e">
        <f ca="1">_xludf.image("https://lh3.google.com/u/0/d/1hzBkgIQtEU6g1nwcwC7PPF3-5XSEljMS",1)</f>
        <v>#NAME?</v>
      </c>
      <c r="B92" s="73" t="s">
        <v>351</v>
      </c>
      <c r="C92" s="76"/>
      <c r="D92" s="75">
        <v>10287000</v>
      </c>
    </row>
    <row r="93" spans="1:4" ht="90" customHeight="1" x14ac:dyDescent="0.2">
      <c r="A93" s="80" t="e">
        <f ca="1">_xludf.image("https://lh3.google.com/u/0/d/185nevY8MZAbT4UaAhm8Peycl_dAghtvY",1)</f>
        <v>#NAME?</v>
      </c>
      <c r="B93" s="73" t="s">
        <v>352</v>
      </c>
      <c r="C93" s="76"/>
      <c r="D93" s="75">
        <v>42672000</v>
      </c>
    </row>
    <row r="94" spans="1:4" ht="90" customHeight="1" x14ac:dyDescent="0.2">
      <c r="A94" s="80" t="e">
        <f ca="1">_xludf.image("https://lh3.google.com/u/0/d/1P6d2ztDEbmSh0u-OvKTYeGB76TYCVC5K",1)</f>
        <v>#NAME?</v>
      </c>
      <c r="B94" s="73" t="s">
        <v>353</v>
      </c>
      <c r="C94" s="76"/>
      <c r="D94" s="75">
        <v>7212000</v>
      </c>
    </row>
    <row r="95" spans="1:4" ht="50.25" customHeight="1" x14ac:dyDescent="0.2">
      <c r="A95" s="168" t="s">
        <v>354</v>
      </c>
      <c r="B95" s="169"/>
      <c r="C95" s="169"/>
      <c r="D95" s="169"/>
    </row>
    <row r="96" spans="1:4" ht="37.5" customHeight="1" x14ac:dyDescent="0.2">
      <c r="A96" s="80" t="e">
        <f ca="1">_xludf.image("https://lh3.google.com/u/0/d/1_JPt__ajvDh7nt5iORSEU3Ht7toSx_jh",1)</f>
        <v>#NAME?</v>
      </c>
      <c r="B96" s="85" t="s">
        <v>355</v>
      </c>
      <c r="C96" s="86"/>
      <c r="D96" s="75">
        <v>1746000</v>
      </c>
    </row>
    <row r="97" spans="1:4" ht="37.5" customHeight="1" x14ac:dyDescent="0.2">
      <c r="A97" s="80" t="e">
        <f ca="1">_xludf.image("https://lh3.google.com/u/0/d/1PiOPitXdHYWA4EHGSE1qS7j9AnA-VtfU",1)</f>
        <v>#NAME?</v>
      </c>
      <c r="B97" s="73" t="s">
        <v>356</v>
      </c>
      <c r="C97" s="76"/>
      <c r="D97" s="75">
        <v>9025000</v>
      </c>
    </row>
    <row r="98" spans="1:4" ht="37.5" customHeight="1" x14ac:dyDescent="0.2">
      <c r="A98" s="80" t="e">
        <f ca="1">_xludf.image("https://lh3.google.com/u/0/d/1A7i2cJPdAcFkI4YV73dWWXYXCliJr6qR",1)</f>
        <v>#NAME?</v>
      </c>
      <c r="B98" s="73" t="s">
        <v>357</v>
      </c>
      <c r="C98" s="76"/>
      <c r="D98" s="75">
        <v>31311000</v>
      </c>
    </row>
    <row r="99" spans="1:4" ht="37.5" customHeight="1" x14ac:dyDescent="0.2">
      <c r="A99" s="80" t="e">
        <f ca="1">_xludf.image("https://lh3.google.com/u/0/d/1o8VAfGYXSGtt3Dv_Gs3hqaBLZRbwqTIj",1)</f>
        <v>#NAME?</v>
      </c>
      <c r="B99" s="73" t="s">
        <v>358</v>
      </c>
      <c r="C99" s="76"/>
      <c r="D99" s="75">
        <v>18330000</v>
      </c>
    </row>
    <row r="100" spans="1:4" ht="37.5" customHeight="1" x14ac:dyDescent="0.2">
      <c r="A100" s="80" t="e">
        <f t="shared" ref="A100:A101" ca="1" si="2">_xludf.image("https://lh3.google.com/u/0/d/1OGCqgKNfB45YMGBhGZP1iJvdtUE4j9C8",1)</f>
        <v>#NAME?</v>
      </c>
      <c r="B100" s="73" t="s">
        <v>359</v>
      </c>
      <c r="C100" s="76"/>
      <c r="D100" s="75">
        <v>15942000</v>
      </c>
    </row>
    <row r="101" spans="1:4" ht="37.5" customHeight="1" x14ac:dyDescent="0.2">
      <c r="A101" s="80" t="e">
        <f t="shared" ca="1" si="2"/>
        <v>#NAME?</v>
      </c>
      <c r="B101" s="73" t="s">
        <v>360</v>
      </c>
      <c r="C101" s="76"/>
      <c r="D101" s="75">
        <v>15942000</v>
      </c>
    </row>
    <row r="102" spans="1:4" ht="37.5" customHeight="1" x14ac:dyDescent="0.2">
      <c r="A102" s="80" t="e">
        <f ca="1">_xludf.image("https://lh3.google.com/u/0/d/1rH1svdy9ZGHtOpDsKofjr3nRAuXQvO4V",1)</f>
        <v>#NAME?</v>
      </c>
      <c r="B102" s="73" t="s">
        <v>361</v>
      </c>
      <c r="C102" s="76"/>
      <c r="D102" s="75">
        <v>19644000</v>
      </c>
    </row>
    <row r="103" spans="1:4" ht="75" customHeight="1" x14ac:dyDescent="0.2">
      <c r="A103" s="168" t="s">
        <v>362</v>
      </c>
      <c r="B103" s="169"/>
      <c r="C103" s="169"/>
      <c r="D103" s="169"/>
    </row>
    <row r="104" spans="1:4" ht="37.5" customHeight="1" x14ac:dyDescent="0.2">
      <c r="A104" s="80" t="e">
        <f ca="1">_xludf.image("https://lh3.google.com/u/0/d/1vKB-Fb7Q5bErYthARIm9Rqvxklkn9_by",1)</f>
        <v>#NAME?</v>
      </c>
      <c r="B104" s="73" t="s">
        <v>363</v>
      </c>
      <c r="C104" s="76">
        <v>1</v>
      </c>
      <c r="D104" s="75">
        <v>6909000</v>
      </c>
    </row>
    <row r="105" spans="1:4" ht="37.5" customHeight="1" x14ac:dyDescent="0.2">
      <c r="A105" s="170" t="e">
        <f ca="1">_xludf.image("https://lh3.google.com/u/0/d/1KqpngzaaOb8F0-PEVSmW-Bj5kOmSZwqC",1)</f>
        <v>#NAME?</v>
      </c>
      <c r="B105" s="73" t="s">
        <v>364</v>
      </c>
      <c r="C105" s="76">
        <v>1</v>
      </c>
      <c r="D105" s="75">
        <v>6246000</v>
      </c>
    </row>
    <row r="106" spans="1:4" ht="37.5" customHeight="1" x14ac:dyDescent="0.2">
      <c r="A106" s="156"/>
      <c r="B106" s="73" t="s">
        <v>365</v>
      </c>
      <c r="C106" s="76">
        <v>1</v>
      </c>
      <c r="D106" s="75">
        <v>5761000</v>
      </c>
    </row>
    <row r="107" spans="1:4" ht="37.5" customHeight="1" x14ac:dyDescent="0.2">
      <c r="A107" s="170" t="e">
        <f ca="1">_xludf.image("https://lh3.google.com/u/0/d/1WAbdiLAHFXQ2ZhjQjDyCDRIjTdlkBPxh",1)</f>
        <v>#NAME?</v>
      </c>
      <c r="B107" s="73" t="s">
        <v>366</v>
      </c>
      <c r="C107" s="76">
        <v>6</v>
      </c>
      <c r="D107" s="75">
        <v>14254000</v>
      </c>
    </row>
    <row r="108" spans="1:4" ht="37.5" customHeight="1" x14ac:dyDescent="0.2">
      <c r="A108" s="156"/>
      <c r="B108" s="73" t="s">
        <v>367</v>
      </c>
      <c r="C108" s="76">
        <v>17</v>
      </c>
      <c r="D108" s="75">
        <v>14405000</v>
      </c>
    </row>
    <row r="109" spans="1:4" ht="37.5" customHeight="1" x14ac:dyDescent="0.2">
      <c r="A109" s="72" t="e">
        <f ca="1">_xludf.image("https://lh3.google.com/u/0/d/1U56jb9BrcCYGn0S2r_BKb5FGewUcTbSi",1)</f>
        <v>#NAME?</v>
      </c>
      <c r="B109" s="73" t="s">
        <v>368</v>
      </c>
      <c r="C109" s="76">
        <v>5</v>
      </c>
      <c r="D109" s="75">
        <v>14819000</v>
      </c>
    </row>
    <row r="110" spans="1:4" ht="37.5" customHeight="1" x14ac:dyDescent="0.2">
      <c r="A110" s="87" t="e">
        <f ca="1">_xludf.image("https://lh3.google.com/u/0/d/1G9WGPssZzgRQMZDq_R8K5nlZoBzD9UAi",1)</f>
        <v>#NAME?</v>
      </c>
      <c r="B110" s="73" t="s">
        <v>369</v>
      </c>
      <c r="C110" s="76">
        <v>5</v>
      </c>
      <c r="D110" s="75">
        <v>16557000</v>
      </c>
    </row>
    <row r="111" spans="1:4" ht="37.5" customHeight="1" x14ac:dyDescent="0.2">
      <c r="A111" s="72" t="e">
        <f ca="1">_xludf.image("https://lh3.google.com/u/0/d/1kdjN3t2zxg-wqKv_KYJn3idj-utjUS5c",1)</f>
        <v>#NAME?</v>
      </c>
      <c r="B111" s="73" t="s">
        <v>370</v>
      </c>
      <c r="C111" s="76">
        <v>3</v>
      </c>
      <c r="D111" s="75">
        <v>20728000</v>
      </c>
    </row>
    <row r="112" spans="1:4" ht="37.5" customHeight="1" x14ac:dyDescent="0.2">
      <c r="A112" s="87" t="e">
        <f ca="1">_xludf.image("https://lh3.google.com/u/0/d/1hftKroG2ZBTNkPVfA1Pqfs_ZsanNQU1l",1)</f>
        <v>#NAME?</v>
      </c>
      <c r="B112" s="73" t="s">
        <v>371</v>
      </c>
      <c r="C112" s="76">
        <v>1</v>
      </c>
      <c r="D112" s="75">
        <v>26769000</v>
      </c>
    </row>
    <row r="113" spans="1:4" ht="37.5" customHeight="1" x14ac:dyDescent="0.2">
      <c r="A113" s="80" t="e">
        <f ca="1">_xludf.image("https://lh3.google.com/u/0/d/1nVH_1D4eM-VK64t7oDSrkw6NeBrpZn76",1)</f>
        <v>#NAME?</v>
      </c>
      <c r="B113" s="73" t="s">
        <v>372</v>
      </c>
      <c r="C113" s="76">
        <v>3</v>
      </c>
      <c r="D113" s="75">
        <v>22643000</v>
      </c>
    </row>
    <row r="114" spans="1:4" ht="37.5" customHeight="1" x14ac:dyDescent="0.2">
      <c r="A114" s="80" t="e">
        <f ca="1">_xludf.image("https://lh3.google.com/u/0/d/1gAp7t7uvKp_0ZN0N-HpEPbWc9pnFqfHM",1)</f>
        <v>#NAME?</v>
      </c>
      <c r="B114" s="88" t="s">
        <v>373</v>
      </c>
      <c r="C114" s="76">
        <v>2</v>
      </c>
      <c r="D114" s="75">
        <v>52775000</v>
      </c>
    </row>
    <row r="115" spans="1:4" ht="37.5" customHeight="1" x14ac:dyDescent="0.2">
      <c r="A115" s="80" t="e">
        <f ca="1">_xludf.image("https://lh3.google.com/u/0/d/1XupikCVNVhzqJCtMqjqW2-JMeuctH5-f",1)</f>
        <v>#NAME?</v>
      </c>
      <c r="B115" s="73" t="s">
        <v>374</v>
      </c>
      <c r="C115" s="76">
        <v>5</v>
      </c>
      <c r="D115" s="75">
        <v>34412000</v>
      </c>
    </row>
    <row r="116" spans="1:4" ht="37.5" customHeight="1" x14ac:dyDescent="0.2">
      <c r="A116" s="80" t="e">
        <f ca="1">_xludf.image("https://lh3.google.com/u/0/d/1Fy--tz6tTvjvlP0poPtvNX2B5BZaDnzi",1)</f>
        <v>#NAME?</v>
      </c>
      <c r="B116" s="73" t="s">
        <v>375</v>
      </c>
      <c r="C116" s="76">
        <v>3</v>
      </c>
      <c r="D116" s="75">
        <v>15038000</v>
      </c>
    </row>
    <row r="117" spans="1:4" ht="37.5" customHeight="1" x14ac:dyDescent="0.2">
      <c r="A117" s="80" t="e">
        <f ca="1">_xludf.image("https://lh3.google.com/u/0/d/1B5u0CwesojntmmpkWfZDei5KfvSfTZd9",1)</f>
        <v>#NAME?</v>
      </c>
      <c r="B117" s="73" t="s">
        <v>376</v>
      </c>
      <c r="C117" s="76">
        <v>1</v>
      </c>
      <c r="D117" s="75">
        <v>15038000</v>
      </c>
    </row>
    <row r="118" spans="1:4" ht="37.5" customHeight="1" x14ac:dyDescent="0.2">
      <c r="A118" s="80" t="e">
        <f ca="1">_xludf.image("https://lh3.google.com/u/0/d/1Ow-QgIHhgd6lvrewqKM9Jd2yxEPp8ihh",1)</f>
        <v>#NAME?</v>
      </c>
      <c r="B118" s="73" t="s">
        <v>377</v>
      </c>
      <c r="C118" s="76">
        <v>2</v>
      </c>
      <c r="D118" s="75">
        <v>29538000</v>
      </c>
    </row>
    <row r="119" spans="1:4" ht="37.5" customHeight="1" x14ac:dyDescent="0.2">
      <c r="A119" s="80" t="e">
        <f ca="1">_xludf.image("https://lh3.google.com/u/0/d/10HKzDdb6g7E8flar9aAjwAP3y5yLCfUr",1)</f>
        <v>#NAME?</v>
      </c>
      <c r="B119" s="73" t="s">
        <v>378</v>
      </c>
      <c r="C119" s="76">
        <v>1</v>
      </c>
      <c r="D119" s="75">
        <v>52240000</v>
      </c>
    </row>
    <row r="120" spans="1:4" ht="37.5" customHeight="1" x14ac:dyDescent="0.2">
      <c r="A120" s="80" t="e">
        <f ca="1">_xludf.image("https://lh3.google.com/u/0/d/1GecSTRRwsrUEyPJWvjJ3vvMQrGLxnzTz",1)</f>
        <v>#NAME?</v>
      </c>
      <c r="B120" s="73" t="s">
        <v>379</v>
      </c>
      <c r="C120" s="76">
        <v>1</v>
      </c>
      <c r="D120" s="75">
        <v>10758000</v>
      </c>
    </row>
    <row r="121" spans="1:4" ht="37.5" customHeight="1" x14ac:dyDescent="0.2">
      <c r="A121" s="80" t="e">
        <f ca="1">_xludf.image("https://lh3.google.com/u/0/d/15BJUULLsbjuy-3hiGs6kkTKQhGdP1P7I",1)</f>
        <v>#NAME?</v>
      </c>
      <c r="B121" s="73" t="s">
        <v>380</v>
      </c>
      <c r="C121" s="76">
        <v>13</v>
      </c>
      <c r="D121" s="75">
        <v>15384000</v>
      </c>
    </row>
    <row r="122" spans="1:4" ht="37.5" customHeight="1" x14ac:dyDescent="0.2">
      <c r="A122" s="80" t="e">
        <f ca="1">_xludf.image("https://lh3.google.com/u/0/d/1r_Da81dHEUymQ2psg4j0PsfEzQD4Uy_m",1)</f>
        <v>#NAME?</v>
      </c>
      <c r="B122" s="73" t="s">
        <v>381</v>
      </c>
      <c r="C122" s="76">
        <v>5</v>
      </c>
      <c r="D122" s="75">
        <v>8996000</v>
      </c>
    </row>
    <row r="123" spans="1:4" ht="37.5" customHeight="1" x14ac:dyDescent="0.2">
      <c r="A123" s="80"/>
      <c r="B123" s="73" t="s">
        <v>382</v>
      </c>
      <c r="C123" s="76"/>
      <c r="D123" s="75">
        <v>858000</v>
      </c>
    </row>
    <row r="124" spans="1:4" ht="37.5" customHeight="1" x14ac:dyDescent="0.2">
      <c r="A124" s="80"/>
      <c r="B124" s="73" t="s">
        <v>383</v>
      </c>
      <c r="C124" s="76"/>
      <c r="D124" s="75">
        <v>1123000</v>
      </c>
    </row>
    <row r="125" spans="1:4" ht="37.5" customHeight="1" x14ac:dyDescent="0.2">
      <c r="A125" s="80"/>
      <c r="B125" s="73" t="s">
        <v>384</v>
      </c>
      <c r="C125" s="76"/>
      <c r="D125" s="75">
        <v>858000</v>
      </c>
    </row>
    <row r="126" spans="1:4" ht="37.5" customHeight="1" x14ac:dyDescent="0.2">
      <c r="A126" s="80"/>
      <c r="B126" s="73" t="s">
        <v>385</v>
      </c>
      <c r="C126" s="76"/>
      <c r="D126" s="75">
        <v>3186000</v>
      </c>
    </row>
    <row r="127" spans="1:4" ht="25.5" x14ac:dyDescent="0.2">
      <c r="A127" s="168" t="s">
        <v>386</v>
      </c>
      <c r="B127" s="169"/>
      <c r="C127" s="169"/>
      <c r="D127" s="169"/>
    </row>
    <row r="128" spans="1:4" ht="37.5" customHeight="1" x14ac:dyDescent="0.2">
      <c r="A128" s="80" t="e">
        <f ca="1">_xludf.image("https://lh3.google.com/u/0/d/1zFoBzMxuLoAyGSeSgKFaM8-7Z2ikitWA",1)</f>
        <v>#NAME?</v>
      </c>
      <c r="B128" s="73" t="s">
        <v>387</v>
      </c>
      <c r="C128" s="76"/>
      <c r="D128" s="75">
        <v>2140000</v>
      </c>
    </row>
    <row r="129" spans="1:4" ht="37.5" customHeight="1" x14ac:dyDescent="0.2">
      <c r="A129" s="80" t="e">
        <f ca="1">_xludf.image("https://lh3.google.com/u/0/d/16B9utyEaAxLU3uJtP5V9GN2N7ZlXGxZB",1)</f>
        <v>#NAME?</v>
      </c>
      <c r="B129" s="73" t="s">
        <v>388</v>
      </c>
      <c r="C129" s="76"/>
      <c r="D129" s="75">
        <v>952000</v>
      </c>
    </row>
    <row r="130" spans="1:4" ht="37.5" customHeight="1" x14ac:dyDescent="0.2">
      <c r="A130" s="80" t="e">
        <f ca="1">_xludf.image("https://lh3.google.com/u/0/d/1XelJiiAjNdx4ftJYwnMOXeXSI8I0Rv9U",1)</f>
        <v>#NAME?</v>
      </c>
      <c r="B130" s="73" t="s">
        <v>389</v>
      </c>
      <c r="C130" s="76"/>
      <c r="D130" s="75">
        <v>812000</v>
      </c>
    </row>
    <row r="131" spans="1:4" ht="37.5" customHeight="1" x14ac:dyDescent="0.2">
      <c r="A131" s="80" t="e">
        <f ca="1">_xludf.image("https://lh3.google.com/u/0/d/1aU0BIO-bL4OONNklKkgHNY2XSzO6Hrgn",1)</f>
        <v>#NAME?</v>
      </c>
      <c r="B131" s="73" t="s">
        <v>390</v>
      </c>
      <c r="C131" s="76"/>
      <c r="D131" s="75">
        <v>869000</v>
      </c>
    </row>
    <row r="132" spans="1:4" ht="37.5" customHeight="1" x14ac:dyDescent="0.2">
      <c r="A132" s="80" t="e">
        <f ca="1">_xludf.image("https://lh3.google.com/u/0/d/13m7t5_3dExyg5NNqZjQbqq0c1ERlbmRN",1)</f>
        <v>#NAME?</v>
      </c>
      <c r="B132" s="73" t="s">
        <v>391</v>
      </c>
      <c r="C132" s="76"/>
      <c r="D132" s="75">
        <v>1125000</v>
      </c>
    </row>
    <row r="133" spans="1:4" ht="12.75" x14ac:dyDescent="0.2">
      <c r="A133" s="68"/>
      <c r="B133" s="69"/>
      <c r="C133" s="89"/>
      <c r="D133" s="69"/>
    </row>
    <row r="134" spans="1:4" ht="12.75" x14ac:dyDescent="0.2">
      <c r="A134" s="68"/>
      <c r="B134" s="69"/>
      <c r="C134" s="89"/>
      <c r="D134" s="69"/>
    </row>
    <row r="135" spans="1:4" ht="12.75" x14ac:dyDescent="0.2">
      <c r="A135" s="68"/>
      <c r="B135" s="69"/>
      <c r="C135" s="89"/>
      <c r="D135" s="69"/>
    </row>
    <row r="136" spans="1:4" ht="12.75" x14ac:dyDescent="0.2">
      <c r="A136" s="68"/>
      <c r="B136" s="69"/>
      <c r="C136" s="89"/>
      <c r="D136" s="69"/>
    </row>
    <row r="137" spans="1:4" ht="12.75" x14ac:dyDescent="0.2">
      <c r="A137" s="68"/>
      <c r="B137" s="69"/>
      <c r="C137" s="89"/>
      <c r="D137" s="69"/>
    </row>
    <row r="138" spans="1:4" ht="12.75" x14ac:dyDescent="0.2">
      <c r="A138" s="68"/>
      <c r="B138" s="69"/>
      <c r="C138" s="89"/>
      <c r="D138" s="69"/>
    </row>
    <row r="139" spans="1:4" ht="12.75" x14ac:dyDescent="0.2">
      <c r="A139" s="68"/>
      <c r="B139" s="69"/>
      <c r="C139" s="89"/>
      <c r="D139" s="69"/>
    </row>
    <row r="140" spans="1:4" ht="12.75" x14ac:dyDescent="0.2">
      <c r="A140" s="68"/>
      <c r="B140" s="69"/>
      <c r="C140" s="89"/>
      <c r="D140" s="69"/>
    </row>
    <row r="141" spans="1:4" ht="12.75" x14ac:dyDescent="0.2">
      <c r="A141" s="68"/>
      <c r="B141" s="69"/>
      <c r="C141" s="89"/>
      <c r="D141" s="69"/>
    </row>
    <row r="142" spans="1:4" ht="12.75" x14ac:dyDescent="0.2">
      <c r="A142" s="68"/>
      <c r="B142" s="69"/>
      <c r="C142" s="89"/>
      <c r="D142" s="69"/>
    </row>
    <row r="143" spans="1:4" ht="12.75" x14ac:dyDescent="0.2">
      <c r="A143" s="68"/>
      <c r="B143" s="69"/>
      <c r="C143" s="89"/>
      <c r="D143" s="69"/>
    </row>
    <row r="144" spans="1:4" ht="12.75" x14ac:dyDescent="0.2">
      <c r="A144" s="68"/>
      <c r="B144" s="69"/>
      <c r="C144" s="89"/>
      <c r="D144" s="69"/>
    </row>
    <row r="145" spans="1:4" ht="12.75" x14ac:dyDescent="0.2">
      <c r="A145" s="68"/>
      <c r="B145" s="69"/>
      <c r="C145" s="89"/>
      <c r="D145" s="69"/>
    </row>
    <row r="146" spans="1:4" ht="12.75" x14ac:dyDescent="0.2">
      <c r="A146" s="68"/>
      <c r="B146" s="69"/>
      <c r="C146" s="89"/>
      <c r="D146" s="69"/>
    </row>
    <row r="147" spans="1:4" ht="12.75" x14ac:dyDescent="0.2">
      <c r="A147" s="68"/>
      <c r="B147" s="69"/>
      <c r="C147" s="89"/>
      <c r="D147" s="69"/>
    </row>
    <row r="148" spans="1:4" ht="12.75" x14ac:dyDescent="0.2">
      <c r="A148" s="68"/>
      <c r="B148" s="69"/>
      <c r="C148" s="89"/>
      <c r="D148" s="69"/>
    </row>
    <row r="149" spans="1:4" ht="12.75" x14ac:dyDescent="0.2">
      <c r="A149" s="68"/>
      <c r="B149" s="69"/>
      <c r="C149" s="89"/>
      <c r="D149" s="69"/>
    </row>
    <row r="150" spans="1:4" ht="12.75" x14ac:dyDescent="0.2">
      <c r="A150" s="68"/>
      <c r="B150" s="69"/>
      <c r="C150" s="89"/>
      <c r="D150" s="69"/>
    </row>
    <row r="151" spans="1:4" ht="12.75" x14ac:dyDescent="0.2">
      <c r="A151" s="68"/>
      <c r="B151" s="69"/>
      <c r="C151" s="89"/>
      <c r="D151" s="69"/>
    </row>
    <row r="152" spans="1:4" ht="12.75" x14ac:dyDescent="0.2">
      <c r="A152" s="68"/>
      <c r="B152" s="69"/>
      <c r="C152" s="89"/>
      <c r="D152" s="69"/>
    </row>
    <row r="153" spans="1:4" ht="12.75" x14ac:dyDescent="0.2">
      <c r="A153" s="68"/>
      <c r="B153" s="69"/>
      <c r="C153" s="89"/>
      <c r="D153" s="69"/>
    </row>
    <row r="154" spans="1:4" ht="12.75" x14ac:dyDescent="0.2">
      <c r="A154" s="68"/>
      <c r="B154" s="69"/>
      <c r="C154" s="89"/>
      <c r="D154" s="69"/>
    </row>
    <row r="155" spans="1:4" ht="12.75" x14ac:dyDescent="0.2">
      <c r="A155" s="68"/>
      <c r="B155" s="69"/>
      <c r="C155" s="89"/>
      <c r="D155" s="69"/>
    </row>
    <row r="156" spans="1:4" ht="12.75" x14ac:dyDescent="0.2">
      <c r="A156" s="68"/>
      <c r="B156" s="69"/>
      <c r="C156" s="89"/>
      <c r="D156" s="69"/>
    </row>
    <row r="157" spans="1:4" ht="12.75" x14ac:dyDescent="0.2">
      <c r="A157" s="68"/>
      <c r="B157" s="69"/>
      <c r="C157" s="89"/>
      <c r="D157" s="69"/>
    </row>
    <row r="158" spans="1:4" ht="12.75" x14ac:dyDescent="0.2">
      <c r="A158" s="68"/>
      <c r="B158" s="69"/>
      <c r="C158" s="89"/>
      <c r="D158" s="69"/>
    </row>
    <row r="159" spans="1:4" ht="12.75" x14ac:dyDescent="0.2">
      <c r="A159" s="68"/>
      <c r="B159" s="69"/>
      <c r="C159" s="89"/>
      <c r="D159" s="69"/>
    </row>
    <row r="160" spans="1:4" ht="12.75" x14ac:dyDescent="0.2">
      <c r="A160" s="68"/>
      <c r="B160" s="69"/>
      <c r="C160" s="89"/>
      <c r="D160" s="69"/>
    </row>
    <row r="161" spans="1:4" ht="12.75" x14ac:dyDescent="0.2">
      <c r="A161" s="68"/>
      <c r="B161" s="69"/>
      <c r="C161" s="89"/>
      <c r="D161" s="69"/>
    </row>
    <row r="162" spans="1:4" ht="12.75" x14ac:dyDescent="0.2">
      <c r="A162" s="68"/>
      <c r="B162" s="69"/>
      <c r="C162" s="89"/>
      <c r="D162" s="69"/>
    </row>
    <row r="163" spans="1:4" ht="12.75" x14ac:dyDescent="0.2">
      <c r="A163" s="68"/>
      <c r="B163" s="69"/>
      <c r="C163" s="89"/>
      <c r="D163" s="69"/>
    </row>
    <row r="164" spans="1:4" ht="12.75" x14ac:dyDescent="0.2">
      <c r="A164" s="68"/>
      <c r="B164" s="69"/>
      <c r="C164" s="89"/>
      <c r="D164" s="69"/>
    </row>
    <row r="165" spans="1:4" ht="12.75" x14ac:dyDescent="0.2">
      <c r="A165" s="68"/>
      <c r="B165" s="69"/>
      <c r="C165" s="89"/>
      <c r="D165" s="69"/>
    </row>
    <row r="166" spans="1:4" ht="12.75" x14ac:dyDescent="0.2">
      <c r="A166" s="68"/>
      <c r="B166" s="69"/>
      <c r="C166" s="89"/>
      <c r="D166" s="69"/>
    </row>
    <row r="167" spans="1:4" ht="12.75" x14ac:dyDescent="0.2">
      <c r="A167" s="68"/>
      <c r="B167" s="69"/>
      <c r="C167" s="89"/>
      <c r="D167" s="69"/>
    </row>
    <row r="168" spans="1:4" ht="12.75" x14ac:dyDescent="0.2">
      <c r="A168" s="68"/>
      <c r="B168" s="69"/>
      <c r="C168" s="89"/>
      <c r="D168" s="69"/>
    </row>
    <row r="169" spans="1:4" ht="12.75" x14ac:dyDescent="0.2">
      <c r="A169" s="68"/>
      <c r="B169" s="69"/>
      <c r="C169" s="89"/>
      <c r="D169" s="69"/>
    </row>
    <row r="170" spans="1:4" ht="12.75" x14ac:dyDescent="0.2">
      <c r="A170" s="68"/>
      <c r="B170" s="69"/>
      <c r="C170" s="89"/>
      <c r="D170" s="69"/>
    </row>
    <row r="171" spans="1:4" ht="12.75" x14ac:dyDescent="0.2">
      <c r="A171" s="68"/>
      <c r="B171" s="69"/>
      <c r="C171" s="89"/>
      <c r="D171" s="69"/>
    </row>
    <row r="172" spans="1:4" ht="12.75" x14ac:dyDescent="0.2">
      <c r="A172" s="68"/>
      <c r="B172" s="69"/>
      <c r="C172" s="89"/>
      <c r="D172" s="69"/>
    </row>
    <row r="173" spans="1:4" ht="12.75" x14ac:dyDescent="0.2">
      <c r="A173" s="68"/>
      <c r="B173" s="69"/>
      <c r="C173" s="89"/>
      <c r="D173" s="69"/>
    </row>
    <row r="174" spans="1:4" ht="12.75" x14ac:dyDescent="0.2">
      <c r="A174" s="68"/>
      <c r="B174" s="69"/>
      <c r="C174" s="89"/>
      <c r="D174" s="69"/>
    </row>
    <row r="175" spans="1:4" ht="12.75" x14ac:dyDescent="0.2">
      <c r="A175" s="68"/>
      <c r="B175" s="69"/>
      <c r="C175" s="89"/>
      <c r="D175" s="69"/>
    </row>
    <row r="176" spans="1:4" ht="12.75" x14ac:dyDescent="0.2">
      <c r="A176" s="68"/>
      <c r="B176" s="69"/>
      <c r="C176" s="89"/>
      <c r="D176" s="69"/>
    </row>
    <row r="177" spans="1:4" ht="12.75" x14ac:dyDescent="0.2">
      <c r="A177" s="68"/>
      <c r="B177" s="69"/>
      <c r="C177" s="89"/>
      <c r="D177" s="69"/>
    </row>
    <row r="178" spans="1:4" ht="12.75" x14ac:dyDescent="0.2">
      <c r="A178" s="68"/>
      <c r="B178" s="69"/>
      <c r="C178" s="89"/>
      <c r="D178" s="69"/>
    </row>
    <row r="179" spans="1:4" ht="12.75" x14ac:dyDescent="0.2">
      <c r="A179" s="68"/>
      <c r="B179" s="69"/>
      <c r="C179" s="89"/>
      <c r="D179" s="69"/>
    </row>
    <row r="180" spans="1:4" ht="12.75" x14ac:dyDescent="0.2">
      <c r="A180" s="68"/>
      <c r="B180" s="69"/>
      <c r="C180" s="89"/>
      <c r="D180" s="69"/>
    </row>
    <row r="181" spans="1:4" ht="12.75" x14ac:dyDescent="0.2">
      <c r="A181" s="68"/>
      <c r="B181" s="69"/>
      <c r="C181" s="89"/>
      <c r="D181" s="69"/>
    </row>
    <row r="182" spans="1:4" ht="12.75" x14ac:dyDescent="0.2">
      <c r="A182" s="68"/>
      <c r="B182" s="69"/>
      <c r="C182" s="89"/>
      <c r="D182" s="69"/>
    </row>
    <row r="183" spans="1:4" ht="12.75" x14ac:dyDescent="0.2">
      <c r="A183" s="68"/>
      <c r="B183" s="69"/>
      <c r="C183" s="89"/>
      <c r="D183" s="69"/>
    </row>
    <row r="184" spans="1:4" ht="12.75" x14ac:dyDescent="0.2">
      <c r="A184" s="68"/>
      <c r="B184" s="69"/>
      <c r="C184" s="89"/>
      <c r="D184" s="69"/>
    </row>
    <row r="185" spans="1:4" ht="12.75" x14ac:dyDescent="0.2">
      <c r="A185" s="68"/>
      <c r="B185" s="69"/>
      <c r="C185" s="89"/>
      <c r="D185" s="69"/>
    </row>
    <row r="186" spans="1:4" ht="12.75" x14ac:dyDescent="0.2">
      <c r="A186" s="68"/>
      <c r="B186" s="69"/>
      <c r="C186" s="89"/>
      <c r="D186" s="69"/>
    </row>
    <row r="187" spans="1:4" ht="12.75" x14ac:dyDescent="0.2">
      <c r="A187" s="68"/>
      <c r="B187" s="69"/>
      <c r="C187" s="89"/>
      <c r="D187" s="69"/>
    </row>
    <row r="188" spans="1:4" ht="12.75" x14ac:dyDescent="0.2">
      <c r="A188" s="68"/>
      <c r="B188" s="69"/>
      <c r="C188" s="89"/>
      <c r="D188" s="69"/>
    </row>
    <row r="189" spans="1:4" ht="12.75" x14ac:dyDescent="0.2">
      <c r="A189" s="68"/>
      <c r="B189" s="69"/>
      <c r="C189" s="89"/>
      <c r="D189" s="69"/>
    </row>
    <row r="190" spans="1:4" ht="12.75" x14ac:dyDescent="0.2">
      <c r="A190" s="68"/>
      <c r="B190" s="69"/>
      <c r="C190" s="89"/>
      <c r="D190" s="69"/>
    </row>
    <row r="191" spans="1:4" ht="12.75" x14ac:dyDescent="0.2">
      <c r="A191" s="68"/>
      <c r="B191" s="69"/>
      <c r="C191" s="89"/>
      <c r="D191" s="69"/>
    </row>
    <row r="192" spans="1:4" ht="12.75" x14ac:dyDescent="0.2">
      <c r="A192" s="68"/>
      <c r="B192" s="69"/>
      <c r="C192" s="89"/>
      <c r="D192" s="69"/>
    </row>
    <row r="193" spans="1:4" ht="12.75" x14ac:dyDescent="0.2">
      <c r="A193" s="68"/>
      <c r="B193" s="69"/>
      <c r="C193" s="89"/>
      <c r="D193" s="69"/>
    </row>
    <row r="194" spans="1:4" ht="12.75" x14ac:dyDescent="0.2">
      <c r="A194" s="68"/>
      <c r="B194" s="69"/>
      <c r="C194" s="89"/>
      <c r="D194" s="69"/>
    </row>
    <row r="195" spans="1:4" ht="12.75" x14ac:dyDescent="0.2">
      <c r="A195" s="68"/>
      <c r="B195" s="69"/>
      <c r="C195" s="89"/>
      <c r="D195" s="69"/>
    </row>
    <row r="196" spans="1:4" ht="12.75" x14ac:dyDescent="0.2">
      <c r="A196" s="68"/>
      <c r="B196" s="69"/>
      <c r="C196" s="89"/>
      <c r="D196" s="69"/>
    </row>
    <row r="197" spans="1:4" ht="12.75" x14ac:dyDescent="0.2">
      <c r="A197" s="68"/>
      <c r="B197" s="69"/>
      <c r="C197" s="89"/>
      <c r="D197" s="69"/>
    </row>
    <row r="198" spans="1:4" ht="12.75" x14ac:dyDescent="0.2">
      <c r="A198" s="68"/>
      <c r="B198" s="69"/>
      <c r="C198" s="89"/>
      <c r="D198" s="69"/>
    </row>
    <row r="199" spans="1:4" ht="12.75" x14ac:dyDescent="0.2">
      <c r="A199" s="68"/>
      <c r="B199" s="69"/>
      <c r="C199" s="89"/>
      <c r="D199" s="69"/>
    </row>
    <row r="200" spans="1:4" ht="12.75" x14ac:dyDescent="0.2">
      <c r="A200" s="68"/>
      <c r="B200" s="69"/>
      <c r="C200" s="89"/>
      <c r="D200" s="69"/>
    </row>
    <row r="201" spans="1:4" ht="12.75" x14ac:dyDescent="0.2">
      <c r="A201" s="68"/>
      <c r="B201" s="69"/>
      <c r="C201" s="89"/>
      <c r="D201" s="69"/>
    </row>
    <row r="202" spans="1:4" ht="12.75" x14ac:dyDescent="0.2">
      <c r="A202" s="68"/>
      <c r="B202" s="69"/>
      <c r="C202" s="89"/>
      <c r="D202" s="69"/>
    </row>
    <row r="203" spans="1:4" ht="12.75" x14ac:dyDescent="0.2">
      <c r="A203" s="68"/>
      <c r="B203" s="69"/>
      <c r="C203" s="89"/>
      <c r="D203" s="69"/>
    </row>
    <row r="204" spans="1:4" ht="12.75" x14ac:dyDescent="0.2">
      <c r="A204" s="68"/>
      <c r="B204" s="69"/>
      <c r="C204" s="89"/>
      <c r="D204" s="69"/>
    </row>
    <row r="205" spans="1:4" ht="12.75" x14ac:dyDescent="0.2">
      <c r="A205" s="68"/>
      <c r="B205" s="69"/>
      <c r="C205" s="89"/>
      <c r="D205" s="69"/>
    </row>
    <row r="206" spans="1:4" ht="12.75" x14ac:dyDescent="0.2">
      <c r="A206" s="68"/>
      <c r="B206" s="69"/>
      <c r="C206" s="89"/>
      <c r="D206" s="69"/>
    </row>
    <row r="207" spans="1:4" ht="12.75" x14ac:dyDescent="0.2">
      <c r="A207" s="68"/>
      <c r="B207" s="69"/>
      <c r="C207" s="89"/>
      <c r="D207" s="69"/>
    </row>
    <row r="208" spans="1:4" ht="12.75" x14ac:dyDescent="0.2">
      <c r="A208" s="68"/>
      <c r="B208" s="69"/>
      <c r="C208" s="89"/>
      <c r="D208" s="69"/>
    </row>
    <row r="209" spans="1:4" ht="12.75" x14ac:dyDescent="0.2">
      <c r="A209" s="68"/>
      <c r="B209" s="69"/>
      <c r="C209" s="89"/>
      <c r="D209" s="69"/>
    </row>
    <row r="210" spans="1:4" ht="12.75" x14ac:dyDescent="0.2">
      <c r="A210" s="68"/>
      <c r="B210" s="69"/>
      <c r="C210" s="89"/>
      <c r="D210" s="69"/>
    </row>
    <row r="211" spans="1:4" ht="12.75" x14ac:dyDescent="0.2">
      <c r="A211" s="68"/>
      <c r="B211" s="69"/>
      <c r="C211" s="89"/>
      <c r="D211" s="69"/>
    </row>
    <row r="212" spans="1:4" ht="12.75" x14ac:dyDescent="0.2">
      <c r="A212" s="68"/>
      <c r="B212" s="69"/>
      <c r="C212" s="89"/>
      <c r="D212" s="69"/>
    </row>
    <row r="213" spans="1:4" ht="12.75" x14ac:dyDescent="0.2">
      <c r="A213" s="68"/>
      <c r="B213" s="69"/>
      <c r="C213" s="89"/>
      <c r="D213" s="69"/>
    </row>
    <row r="214" spans="1:4" ht="12.75" x14ac:dyDescent="0.2">
      <c r="A214" s="68"/>
      <c r="B214" s="69"/>
      <c r="C214" s="89"/>
      <c r="D214" s="69"/>
    </row>
    <row r="215" spans="1:4" ht="12.75" x14ac:dyDescent="0.2">
      <c r="A215" s="68"/>
      <c r="B215" s="69"/>
      <c r="C215" s="89"/>
      <c r="D215" s="69"/>
    </row>
    <row r="216" spans="1:4" ht="12.75" x14ac:dyDescent="0.2">
      <c r="A216" s="68"/>
      <c r="B216" s="69"/>
      <c r="C216" s="89"/>
      <c r="D216" s="69"/>
    </row>
    <row r="217" spans="1:4" ht="12.75" x14ac:dyDescent="0.2">
      <c r="A217" s="68"/>
      <c r="B217" s="69"/>
      <c r="C217" s="89"/>
      <c r="D217" s="69"/>
    </row>
    <row r="218" spans="1:4" ht="12.75" x14ac:dyDescent="0.2">
      <c r="A218" s="68"/>
      <c r="B218" s="69"/>
      <c r="C218" s="89"/>
      <c r="D218" s="69"/>
    </row>
    <row r="219" spans="1:4" ht="12.75" x14ac:dyDescent="0.2">
      <c r="A219" s="68"/>
      <c r="B219" s="69"/>
      <c r="C219" s="89"/>
      <c r="D219" s="69"/>
    </row>
    <row r="220" spans="1:4" ht="12.75" x14ac:dyDescent="0.2">
      <c r="A220" s="68"/>
      <c r="B220" s="69"/>
      <c r="C220" s="89"/>
      <c r="D220" s="69"/>
    </row>
    <row r="221" spans="1:4" ht="12.75" x14ac:dyDescent="0.2">
      <c r="A221" s="68"/>
      <c r="B221" s="69"/>
      <c r="C221" s="89"/>
      <c r="D221" s="69"/>
    </row>
    <row r="222" spans="1:4" ht="12.75" x14ac:dyDescent="0.2">
      <c r="A222" s="68"/>
      <c r="B222" s="69"/>
      <c r="C222" s="89"/>
      <c r="D222" s="69"/>
    </row>
    <row r="223" spans="1:4" ht="12.75" x14ac:dyDescent="0.2">
      <c r="A223" s="68"/>
      <c r="B223" s="69"/>
      <c r="C223" s="89"/>
      <c r="D223" s="69"/>
    </row>
    <row r="224" spans="1:4" ht="12.75" x14ac:dyDescent="0.2">
      <c r="A224" s="68"/>
      <c r="B224" s="69"/>
      <c r="C224" s="89"/>
      <c r="D224" s="69"/>
    </row>
    <row r="225" spans="1:4" ht="12.75" x14ac:dyDescent="0.2">
      <c r="A225" s="68"/>
      <c r="B225" s="69"/>
      <c r="C225" s="89"/>
      <c r="D225" s="69"/>
    </row>
    <row r="226" spans="1:4" ht="12.75" x14ac:dyDescent="0.2">
      <c r="A226" s="68"/>
      <c r="B226" s="69"/>
      <c r="C226" s="89"/>
      <c r="D226" s="69"/>
    </row>
    <row r="227" spans="1:4" ht="12.75" x14ac:dyDescent="0.2">
      <c r="A227" s="68"/>
      <c r="B227" s="69"/>
      <c r="C227" s="89"/>
      <c r="D227" s="69"/>
    </row>
    <row r="228" spans="1:4" ht="12.75" x14ac:dyDescent="0.2">
      <c r="A228" s="68"/>
      <c r="B228" s="69"/>
      <c r="C228" s="89"/>
      <c r="D228" s="69"/>
    </row>
    <row r="229" spans="1:4" ht="12.75" x14ac:dyDescent="0.2">
      <c r="A229" s="68"/>
      <c r="B229" s="69"/>
      <c r="C229" s="89"/>
      <c r="D229" s="69"/>
    </row>
    <row r="230" spans="1:4" ht="12.75" x14ac:dyDescent="0.2">
      <c r="A230" s="68"/>
      <c r="B230" s="69"/>
      <c r="C230" s="89"/>
      <c r="D230" s="69"/>
    </row>
    <row r="231" spans="1:4" ht="12.75" x14ac:dyDescent="0.2">
      <c r="A231" s="68"/>
      <c r="B231" s="69"/>
      <c r="C231" s="89"/>
      <c r="D231" s="69"/>
    </row>
    <row r="232" spans="1:4" ht="12.75" x14ac:dyDescent="0.2">
      <c r="A232" s="68"/>
      <c r="B232" s="69"/>
      <c r="C232" s="89"/>
      <c r="D232" s="69"/>
    </row>
    <row r="233" spans="1:4" ht="12.75" x14ac:dyDescent="0.2">
      <c r="A233" s="68"/>
      <c r="B233" s="69"/>
      <c r="C233" s="89"/>
      <c r="D233" s="69"/>
    </row>
    <row r="234" spans="1:4" ht="12.75" x14ac:dyDescent="0.2">
      <c r="A234" s="68"/>
      <c r="B234" s="69"/>
      <c r="C234" s="89"/>
      <c r="D234" s="69"/>
    </row>
    <row r="235" spans="1:4" ht="12.75" x14ac:dyDescent="0.2">
      <c r="A235" s="68"/>
      <c r="B235" s="69"/>
      <c r="C235" s="89"/>
      <c r="D235" s="69"/>
    </row>
    <row r="236" spans="1:4" ht="12.75" x14ac:dyDescent="0.2">
      <c r="A236" s="68"/>
      <c r="B236" s="69"/>
      <c r="C236" s="89"/>
      <c r="D236" s="69"/>
    </row>
    <row r="237" spans="1:4" ht="12.75" x14ac:dyDescent="0.2">
      <c r="A237" s="68"/>
      <c r="B237" s="69"/>
      <c r="C237" s="89"/>
      <c r="D237" s="69"/>
    </row>
    <row r="238" spans="1:4" ht="12.75" x14ac:dyDescent="0.2">
      <c r="A238" s="68"/>
      <c r="B238" s="69"/>
      <c r="C238" s="89"/>
      <c r="D238" s="69"/>
    </row>
    <row r="239" spans="1:4" ht="12.75" x14ac:dyDescent="0.2">
      <c r="A239" s="68"/>
      <c r="B239" s="69"/>
      <c r="C239" s="89"/>
      <c r="D239" s="69"/>
    </row>
    <row r="240" spans="1:4" ht="12.75" x14ac:dyDescent="0.2">
      <c r="A240" s="68"/>
      <c r="B240" s="69"/>
      <c r="C240" s="89"/>
      <c r="D240" s="69"/>
    </row>
    <row r="241" spans="1:4" ht="12.75" x14ac:dyDescent="0.2">
      <c r="A241" s="68"/>
      <c r="B241" s="69"/>
      <c r="C241" s="89"/>
      <c r="D241" s="69"/>
    </row>
    <row r="242" spans="1:4" ht="12.75" x14ac:dyDescent="0.2">
      <c r="A242" s="68"/>
      <c r="B242" s="69"/>
      <c r="C242" s="89"/>
      <c r="D242" s="69"/>
    </row>
    <row r="243" spans="1:4" ht="12.75" x14ac:dyDescent="0.2">
      <c r="A243" s="68"/>
      <c r="B243" s="69"/>
      <c r="C243" s="89"/>
      <c r="D243" s="69"/>
    </row>
    <row r="244" spans="1:4" ht="12.75" x14ac:dyDescent="0.2">
      <c r="A244" s="68"/>
      <c r="B244" s="69"/>
      <c r="C244" s="89"/>
      <c r="D244" s="69"/>
    </row>
    <row r="245" spans="1:4" ht="12.75" x14ac:dyDescent="0.2">
      <c r="A245" s="68"/>
      <c r="B245" s="69"/>
      <c r="C245" s="89"/>
      <c r="D245" s="69"/>
    </row>
    <row r="246" spans="1:4" ht="12.75" x14ac:dyDescent="0.2">
      <c r="A246" s="68"/>
      <c r="B246" s="69"/>
      <c r="C246" s="89"/>
      <c r="D246" s="69"/>
    </row>
    <row r="247" spans="1:4" ht="12.75" x14ac:dyDescent="0.2">
      <c r="A247" s="68"/>
      <c r="B247" s="69"/>
      <c r="C247" s="89"/>
      <c r="D247" s="69"/>
    </row>
    <row r="248" spans="1:4" ht="12.75" x14ac:dyDescent="0.2">
      <c r="A248" s="68"/>
      <c r="B248" s="69"/>
      <c r="C248" s="89"/>
      <c r="D248" s="69"/>
    </row>
    <row r="249" spans="1:4" ht="12.75" x14ac:dyDescent="0.2">
      <c r="A249" s="68"/>
      <c r="B249" s="69"/>
      <c r="C249" s="89"/>
      <c r="D249" s="69"/>
    </row>
    <row r="250" spans="1:4" ht="12.75" x14ac:dyDescent="0.2">
      <c r="A250" s="68"/>
      <c r="B250" s="69"/>
      <c r="C250" s="89"/>
      <c r="D250" s="69"/>
    </row>
    <row r="251" spans="1:4" ht="12.75" x14ac:dyDescent="0.2">
      <c r="A251" s="68"/>
      <c r="B251" s="69"/>
      <c r="C251" s="89"/>
      <c r="D251" s="69"/>
    </row>
    <row r="252" spans="1:4" ht="12.75" x14ac:dyDescent="0.2">
      <c r="A252" s="68"/>
      <c r="B252" s="69"/>
      <c r="C252" s="89"/>
      <c r="D252" s="69"/>
    </row>
    <row r="253" spans="1:4" ht="12.75" x14ac:dyDescent="0.2">
      <c r="A253" s="68"/>
      <c r="B253" s="69"/>
      <c r="C253" s="89"/>
      <c r="D253" s="69"/>
    </row>
    <row r="254" spans="1:4" ht="12.75" x14ac:dyDescent="0.2">
      <c r="A254" s="68"/>
      <c r="B254" s="69"/>
      <c r="C254" s="89"/>
      <c r="D254" s="69"/>
    </row>
    <row r="255" spans="1:4" ht="12.75" x14ac:dyDescent="0.2">
      <c r="A255" s="68"/>
      <c r="B255" s="69"/>
      <c r="C255" s="89"/>
      <c r="D255" s="69"/>
    </row>
    <row r="256" spans="1:4" ht="12.75" x14ac:dyDescent="0.2">
      <c r="A256" s="68"/>
      <c r="B256" s="69"/>
      <c r="C256" s="89"/>
      <c r="D256" s="69"/>
    </row>
    <row r="257" spans="1:4" ht="12.75" x14ac:dyDescent="0.2">
      <c r="A257" s="68"/>
      <c r="B257" s="69"/>
      <c r="C257" s="89"/>
      <c r="D257" s="69"/>
    </row>
    <row r="258" spans="1:4" ht="12.75" x14ac:dyDescent="0.2">
      <c r="A258" s="68"/>
      <c r="B258" s="69"/>
      <c r="C258" s="89"/>
      <c r="D258" s="69"/>
    </row>
    <row r="259" spans="1:4" ht="12.75" x14ac:dyDescent="0.2">
      <c r="A259" s="68"/>
      <c r="B259" s="69"/>
      <c r="C259" s="89"/>
      <c r="D259" s="69"/>
    </row>
    <row r="260" spans="1:4" ht="12.75" x14ac:dyDescent="0.2">
      <c r="A260" s="68"/>
      <c r="B260" s="69"/>
      <c r="C260" s="89"/>
      <c r="D260" s="69"/>
    </row>
    <row r="261" spans="1:4" ht="12.75" x14ac:dyDescent="0.2">
      <c r="A261" s="68"/>
      <c r="B261" s="69"/>
      <c r="C261" s="89"/>
      <c r="D261" s="69"/>
    </row>
    <row r="262" spans="1:4" ht="12.75" x14ac:dyDescent="0.2">
      <c r="A262" s="68"/>
      <c r="B262" s="69"/>
      <c r="C262" s="89"/>
      <c r="D262" s="69"/>
    </row>
    <row r="263" spans="1:4" ht="12.75" x14ac:dyDescent="0.2">
      <c r="A263" s="68"/>
      <c r="B263" s="69"/>
      <c r="C263" s="89"/>
      <c r="D263" s="69"/>
    </row>
    <row r="264" spans="1:4" ht="12.75" x14ac:dyDescent="0.2">
      <c r="A264" s="68"/>
      <c r="B264" s="69"/>
      <c r="C264" s="89"/>
      <c r="D264" s="69"/>
    </row>
    <row r="265" spans="1:4" ht="12.75" x14ac:dyDescent="0.2">
      <c r="A265" s="68"/>
      <c r="B265" s="69"/>
      <c r="C265" s="89"/>
      <c r="D265" s="69"/>
    </row>
    <row r="266" spans="1:4" ht="12.75" x14ac:dyDescent="0.2">
      <c r="A266" s="68"/>
      <c r="B266" s="69"/>
      <c r="C266" s="89"/>
      <c r="D266" s="69"/>
    </row>
    <row r="267" spans="1:4" ht="12.75" x14ac:dyDescent="0.2">
      <c r="A267" s="68"/>
      <c r="B267" s="69"/>
      <c r="C267" s="89"/>
      <c r="D267" s="69"/>
    </row>
    <row r="268" spans="1:4" ht="12.75" x14ac:dyDescent="0.2">
      <c r="A268" s="68"/>
      <c r="B268" s="69"/>
      <c r="C268" s="89"/>
      <c r="D268" s="69"/>
    </row>
    <row r="269" spans="1:4" ht="12.75" x14ac:dyDescent="0.2">
      <c r="A269" s="68"/>
      <c r="B269" s="69"/>
      <c r="C269" s="89"/>
      <c r="D269" s="69"/>
    </row>
    <row r="270" spans="1:4" ht="12.75" x14ac:dyDescent="0.2">
      <c r="A270" s="68"/>
      <c r="B270" s="69"/>
      <c r="C270" s="89"/>
      <c r="D270" s="69"/>
    </row>
    <row r="271" spans="1:4" ht="12.75" x14ac:dyDescent="0.2">
      <c r="A271" s="68"/>
      <c r="B271" s="69"/>
      <c r="C271" s="89"/>
      <c r="D271" s="69"/>
    </row>
    <row r="272" spans="1:4" ht="12.75" x14ac:dyDescent="0.2">
      <c r="A272" s="68"/>
      <c r="B272" s="69"/>
      <c r="C272" s="89"/>
      <c r="D272" s="69"/>
    </row>
    <row r="273" spans="1:4" ht="12.75" x14ac:dyDescent="0.2">
      <c r="A273" s="68"/>
      <c r="B273" s="69"/>
      <c r="C273" s="89"/>
      <c r="D273" s="69"/>
    </row>
    <row r="274" spans="1:4" ht="12.75" x14ac:dyDescent="0.2">
      <c r="A274" s="68"/>
      <c r="B274" s="69"/>
      <c r="C274" s="89"/>
      <c r="D274" s="69"/>
    </row>
    <row r="275" spans="1:4" ht="12.75" x14ac:dyDescent="0.2">
      <c r="A275" s="68"/>
      <c r="B275" s="69"/>
      <c r="C275" s="89"/>
      <c r="D275" s="69"/>
    </row>
    <row r="276" spans="1:4" ht="12.75" x14ac:dyDescent="0.2">
      <c r="A276" s="68"/>
      <c r="B276" s="69"/>
      <c r="C276" s="89"/>
      <c r="D276" s="69"/>
    </row>
    <row r="277" spans="1:4" ht="12.75" x14ac:dyDescent="0.2">
      <c r="A277" s="68"/>
      <c r="B277" s="69"/>
      <c r="C277" s="89"/>
      <c r="D277" s="69"/>
    </row>
    <row r="278" spans="1:4" ht="12.75" x14ac:dyDescent="0.2">
      <c r="A278" s="68"/>
      <c r="B278" s="69"/>
      <c r="C278" s="89"/>
      <c r="D278" s="69"/>
    </row>
    <row r="279" spans="1:4" ht="12.75" x14ac:dyDescent="0.2">
      <c r="A279" s="68"/>
      <c r="B279" s="69"/>
      <c r="C279" s="89"/>
      <c r="D279" s="69"/>
    </row>
    <row r="280" spans="1:4" ht="12.75" x14ac:dyDescent="0.2">
      <c r="A280" s="68"/>
      <c r="B280" s="69"/>
      <c r="C280" s="89"/>
      <c r="D280" s="69"/>
    </row>
    <row r="281" spans="1:4" ht="12.75" x14ac:dyDescent="0.2">
      <c r="A281" s="68"/>
      <c r="B281" s="69"/>
      <c r="C281" s="89"/>
      <c r="D281" s="69"/>
    </row>
    <row r="282" spans="1:4" ht="12.75" x14ac:dyDescent="0.2">
      <c r="A282" s="68"/>
      <c r="B282" s="69"/>
      <c r="C282" s="89"/>
      <c r="D282" s="69"/>
    </row>
    <row r="283" spans="1:4" ht="12.75" x14ac:dyDescent="0.2">
      <c r="A283" s="68"/>
      <c r="B283" s="69"/>
      <c r="C283" s="89"/>
      <c r="D283" s="69"/>
    </row>
    <row r="284" spans="1:4" ht="12.75" x14ac:dyDescent="0.2">
      <c r="A284" s="68"/>
      <c r="B284" s="69"/>
      <c r="C284" s="89"/>
      <c r="D284" s="69"/>
    </row>
    <row r="285" spans="1:4" ht="12.75" x14ac:dyDescent="0.2">
      <c r="A285" s="68"/>
      <c r="B285" s="69"/>
      <c r="C285" s="89"/>
      <c r="D285" s="69"/>
    </row>
    <row r="286" spans="1:4" ht="12.75" x14ac:dyDescent="0.2">
      <c r="A286" s="68"/>
      <c r="B286" s="69"/>
      <c r="C286" s="89"/>
      <c r="D286" s="69"/>
    </row>
    <row r="287" spans="1:4" ht="12.75" x14ac:dyDescent="0.2">
      <c r="A287" s="68"/>
      <c r="B287" s="69"/>
      <c r="C287" s="89"/>
      <c r="D287" s="69"/>
    </row>
    <row r="288" spans="1:4" ht="12.75" x14ac:dyDescent="0.2">
      <c r="A288" s="68"/>
      <c r="B288" s="69"/>
      <c r="C288" s="89"/>
      <c r="D288" s="69"/>
    </row>
    <row r="289" spans="1:4" ht="12.75" x14ac:dyDescent="0.2">
      <c r="A289" s="68"/>
      <c r="B289" s="69"/>
      <c r="C289" s="89"/>
      <c r="D289" s="69"/>
    </row>
    <row r="290" spans="1:4" ht="12.75" x14ac:dyDescent="0.2">
      <c r="A290" s="68"/>
      <c r="B290" s="69"/>
      <c r="C290" s="89"/>
      <c r="D290" s="69"/>
    </row>
    <row r="291" spans="1:4" ht="12.75" x14ac:dyDescent="0.2">
      <c r="A291" s="68"/>
      <c r="B291" s="69"/>
      <c r="C291" s="89"/>
      <c r="D291" s="69"/>
    </row>
    <row r="292" spans="1:4" ht="12.75" x14ac:dyDescent="0.2">
      <c r="A292" s="68"/>
      <c r="B292" s="69"/>
      <c r="C292" s="89"/>
      <c r="D292" s="69"/>
    </row>
    <row r="293" spans="1:4" ht="12.75" x14ac:dyDescent="0.2">
      <c r="A293" s="68"/>
      <c r="B293" s="69"/>
      <c r="C293" s="89"/>
      <c r="D293" s="69"/>
    </row>
    <row r="294" spans="1:4" ht="12.75" x14ac:dyDescent="0.2">
      <c r="A294" s="68"/>
      <c r="B294" s="69"/>
      <c r="C294" s="89"/>
      <c r="D294" s="69"/>
    </row>
    <row r="295" spans="1:4" ht="12.75" x14ac:dyDescent="0.2">
      <c r="A295" s="68"/>
      <c r="B295" s="69"/>
      <c r="C295" s="89"/>
      <c r="D295" s="69"/>
    </row>
    <row r="296" spans="1:4" ht="12.75" x14ac:dyDescent="0.2">
      <c r="A296" s="68"/>
      <c r="B296" s="69"/>
      <c r="C296" s="89"/>
      <c r="D296" s="69"/>
    </row>
    <row r="297" spans="1:4" ht="12.75" x14ac:dyDescent="0.2">
      <c r="A297" s="68"/>
      <c r="B297" s="69"/>
      <c r="C297" s="89"/>
      <c r="D297" s="69"/>
    </row>
    <row r="298" spans="1:4" ht="12.75" x14ac:dyDescent="0.2">
      <c r="A298" s="68"/>
      <c r="B298" s="69"/>
      <c r="C298" s="89"/>
      <c r="D298" s="69"/>
    </row>
    <row r="299" spans="1:4" ht="12.75" x14ac:dyDescent="0.2">
      <c r="A299" s="68"/>
      <c r="B299" s="69"/>
      <c r="C299" s="89"/>
      <c r="D299" s="69"/>
    </row>
    <row r="300" spans="1:4" ht="12.75" x14ac:dyDescent="0.2">
      <c r="A300" s="68"/>
      <c r="B300" s="69"/>
      <c r="C300" s="89"/>
      <c r="D300" s="69"/>
    </row>
    <row r="301" spans="1:4" ht="12.75" x14ac:dyDescent="0.2">
      <c r="A301" s="68"/>
      <c r="B301" s="69"/>
      <c r="C301" s="89"/>
      <c r="D301" s="69"/>
    </row>
    <row r="302" spans="1:4" ht="12.75" x14ac:dyDescent="0.2">
      <c r="A302" s="68"/>
      <c r="B302" s="69"/>
      <c r="C302" s="89"/>
      <c r="D302" s="69"/>
    </row>
    <row r="303" spans="1:4" ht="12.75" x14ac:dyDescent="0.2">
      <c r="A303" s="68"/>
      <c r="B303" s="69"/>
      <c r="C303" s="89"/>
      <c r="D303" s="69"/>
    </row>
    <row r="304" spans="1:4" ht="12.75" x14ac:dyDescent="0.2">
      <c r="A304" s="68"/>
      <c r="B304" s="69"/>
      <c r="C304" s="89"/>
      <c r="D304" s="69"/>
    </row>
    <row r="305" spans="1:4" ht="12.75" x14ac:dyDescent="0.2">
      <c r="A305" s="68"/>
      <c r="B305" s="69"/>
      <c r="C305" s="89"/>
      <c r="D305" s="69"/>
    </row>
    <row r="306" spans="1:4" ht="12.75" x14ac:dyDescent="0.2">
      <c r="A306" s="68"/>
      <c r="B306" s="69"/>
      <c r="C306" s="89"/>
      <c r="D306" s="69"/>
    </row>
    <row r="307" spans="1:4" ht="12.75" x14ac:dyDescent="0.2">
      <c r="A307" s="68"/>
      <c r="B307" s="69"/>
      <c r="C307" s="89"/>
      <c r="D307" s="69"/>
    </row>
    <row r="308" spans="1:4" ht="12.75" x14ac:dyDescent="0.2">
      <c r="A308" s="68"/>
      <c r="B308" s="69"/>
      <c r="C308" s="89"/>
      <c r="D308" s="69"/>
    </row>
    <row r="309" spans="1:4" ht="12.75" x14ac:dyDescent="0.2">
      <c r="A309" s="68"/>
      <c r="B309" s="69"/>
      <c r="C309" s="89"/>
      <c r="D309" s="69"/>
    </row>
    <row r="310" spans="1:4" ht="12.75" x14ac:dyDescent="0.2">
      <c r="A310" s="68"/>
      <c r="B310" s="69"/>
      <c r="C310" s="89"/>
      <c r="D310" s="69"/>
    </row>
    <row r="311" spans="1:4" ht="12.75" x14ac:dyDescent="0.2">
      <c r="A311" s="68"/>
      <c r="B311" s="69"/>
      <c r="C311" s="89"/>
      <c r="D311" s="69"/>
    </row>
    <row r="312" spans="1:4" ht="12.75" x14ac:dyDescent="0.2">
      <c r="A312" s="68"/>
      <c r="B312" s="69"/>
      <c r="C312" s="89"/>
      <c r="D312" s="69"/>
    </row>
    <row r="313" spans="1:4" ht="12.75" x14ac:dyDescent="0.2">
      <c r="A313" s="68"/>
      <c r="B313" s="69"/>
      <c r="C313" s="89"/>
      <c r="D313" s="69"/>
    </row>
    <row r="314" spans="1:4" ht="12.75" x14ac:dyDescent="0.2">
      <c r="A314" s="68"/>
      <c r="B314" s="69"/>
      <c r="C314" s="89"/>
      <c r="D314" s="69"/>
    </row>
    <row r="315" spans="1:4" ht="12.75" x14ac:dyDescent="0.2">
      <c r="A315" s="68"/>
      <c r="B315" s="69"/>
      <c r="C315" s="89"/>
      <c r="D315" s="69"/>
    </row>
    <row r="316" spans="1:4" ht="12.75" x14ac:dyDescent="0.2">
      <c r="A316" s="68"/>
      <c r="B316" s="69"/>
      <c r="C316" s="89"/>
      <c r="D316" s="69"/>
    </row>
    <row r="317" spans="1:4" ht="12.75" x14ac:dyDescent="0.2">
      <c r="A317" s="68"/>
      <c r="B317" s="69"/>
      <c r="C317" s="89"/>
      <c r="D317" s="69"/>
    </row>
    <row r="318" spans="1:4" ht="12.75" x14ac:dyDescent="0.2">
      <c r="A318" s="68"/>
      <c r="B318" s="69"/>
      <c r="C318" s="89"/>
      <c r="D318" s="69"/>
    </row>
    <row r="319" spans="1:4" ht="12.75" x14ac:dyDescent="0.2">
      <c r="A319" s="68"/>
      <c r="B319" s="69"/>
      <c r="C319" s="89"/>
      <c r="D319" s="69"/>
    </row>
    <row r="320" spans="1:4" ht="12.75" x14ac:dyDescent="0.2">
      <c r="A320" s="68"/>
      <c r="B320" s="69"/>
      <c r="C320" s="89"/>
      <c r="D320" s="69"/>
    </row>
    <row r="321" spans="1:4" ht="12.75" x14ac:dyDescent="0.2">
      <c r="A321" s="68"/>
      <c r="B321" s="69"/>
      <c r="C321" s="89"/>
      <c r="D321" s="69"/>
    </row>
    <row r="322" spans="1:4" ht="12.75" x14ac:dyDescent="0.2">
      <c r="A322" s="68"/>
      <c r="B322" s="69"/>
      <c r="C322" s="89"/>
      <c r="D322" s="69"/>
    </row>
    <row r="323" spans="1:4" ht="12.75" x14ac:dyDescent="0.2">
      <c r="A323" s="68"/>
      <c r="B323" s="69"/>
      <c r="C323" s="89"/>
      <c r="D323" s="69"/>
    </row>
    <row r="324" spans="1:4" ht="12.75" x14ac:dyDescent="0.2">
      <c r="A324" s="68"/>
      <c r="B324" s="69"/>
      <c r="C324" s="89"/>
      <c r="D324" s="69"/>
    </row>
    <row r="325" spans="1:4" ht="12.75" x14ac:dyDescent="0.2">
      <c r="A325" s="68"/>
      <c r="B325" s="69"/>
      <c r="C325" s="89"/>
      <c r="D325" s="69"/>
    </row>
    <row r="326" spans="1:4" ht="12.75" x14ac:dyDescent="0.2">
      <c r="A326" s="68"/>
      <c r="B326" s="69"/>
      <c r="C326" s="89"/>
      <c r="D326" s="69"/>
    </row>
    <row r="327" spans="1:4" ht="12.75" x14ac:dyDescent="0.2">
      <c r="A327" s="68"/>
      <c r="B327" s="69"/>
      <c r="C327" s="89"/>
      <c r="D327" s="69"/>
    </row>
    <row r="328" spans="1:4" ht="12.75" x14ac:dyDescent="0.2">
      <c r="A328" s="68"/>
      <c r="B328" s="69"/>
      <c r="C328" s="89"/>
      <c r="D328" s="69"/>
    </row>
    <row r="329" spans="1:4" ht="12.75" x14ac:dyDescent="0.2">
      <c r="A329" s="68"/>
      <c r="B329" s="69"/>
      <c r="C329" s="89"/>
      <c r="D329" s="69"/>
    </row>
    <row r="330" spans="1:4" ht="12.75" x14ac:dyDescent="0.2">
      <c r="A330" s="68"/>
      <c r="B330" s="69"/>
      <c r="C330" s="89"/>
      <c r="D330" s="69"/>
    </row>
    <row r="331" spans="1:4" ht="12.75" x14ac:dyDescent="0.2">
      <c r="A331" s="68"/>
      <c r="B331" s="69"/>
      <c r="C331" s="89"/>
      <c r="D331" s="69"/>
    </row>
    <row r="332" spans="1:4" ht="12.75" x14ac:dyDescent="0.2">
      <c r="A332" s="68"/>
      <c r="B332" s="69"/>
      <c r="C332" s="89"/>
      <c r="D332" s="69"/>
    </row>
    <row r="333" spans="1:4" ht="12.75" x14ac:dyDescent="0.2">
      <c r="A333" s="68"/>
      <c r="B333" s="69"/>
      <c r="C333" s="89"/>
      <c r="D333" s="69"/>
    </row>
    <row r="334" spans="1:4" ht="12.75" x14ac:dyDescent="0.2">
      <c r="A334" s="68"/>
      <c r="B334" s="69"/>
      <c r="C334" s="89"/>
      <c r="D334" s="69"/>
    </row>
    <row r="335" spans="1:4" ht="12.75" x14ac:dyDescent="0.2">
      <c r="A335" s="68"/>
      <c r="B335" s="69"/>
      <c r="C335" s="89"/>
      <c r="D335" s="69"/>
    </row>
    <row r="336" spans="1:4" ht="12.75" x14ac:dyDescent="0.2">
      <c r="A336" s="68"/>
      <c r="B336" s="69"/>
      <c r="C336" s="89"/>
      <c r="D336" s="69"/>
    </row>
    <row r="337" spans="1:4" ht="12.75" x14ac:dyDescent="0.2">
      <c r="A337" s="68"/>
      <c r="B337" s="69"/>
      <c r="C337" s="89"/>
      <c r="D337" s="69"/>
    </row>
    <row r="338" spans="1:4" ht="12.75" x14ac:dyDescent="0.2">
      <c r="A338" s="68"/>
      <c r="B338" s="69"/>
      <c r="C338" s="89"/>
      <c r="D338" s="69"/>
    </row>
    <row r="339" spans="1:4" ht="12.75" x14ac:dyDescent="0.2">
      <c r="A339" s="68"/>
      <c r="B339" s="69"/>
      <c r="C339" s="89"/>
      <c r="D339" s="69"/>
    </row>
    <row r="340" spans="1:4" ht="12.75" x14ac:dyDescent="0.2">
      <c r="A340" s="68"/>
      <c r="B340" s="69"/>
      <c r="C340" s="89"/>
      <c r="D340" s="69"/>
    </row>
    <row r="341" spans="1:4" ht="12.75" x14ac:dyDescent="0.2">
      <c r="A341" s="68"/>
      <c r="B341" s="69"/>
      <c r="C341" s="89"/>
      <c r="D341" s="69"/>
    </row>
    <row r="342" spans="1:4" ht="12.75" x14ac:dyDescent="0.2">
      <c r="A342" s="68"/>
      <c r="B342" s="69"/>
      <c r="C342" s="89"/>
      <c r="D342" s="69"/>
    </row>
    <row r="343" spans="1:4" ht="12.75" x14ac:dyDescent="0.2">
      <c r="A343" s="68"/>
      <c r="B343" s="69"/>
      <c r="C343" s="89"/>
      <c r="D343" s="69"/>
    </row>
    <row r="344" spans="1:4" ht="12.75" x14ac:dyDescent="0.2">
      <c r="A344" s="68"/>
      <c r="B344" s="69"/>
      <c r="C344" s="89"/>
      <c r="D344" s="69"/>
    </row>
    <row r="345" spans="1:4" ht="12.75" x14ac:dyDescent="0.2">
      <c r="A345" s="68"/>
      <c r="B345" s="69"/>
      <c r="C345" s="89"/>
      <c r="D345" s="69"/>
    </row>
    <row r="346" spans="1:4" ht="12.75" x14ac:dyDescent="0.2">
      <c r="A346" s="68"/>
      <c r="B346" s="69"/>
      <c r="C346" s="89"/>
      <c r="D346" s="69"/>
    </row>
    <row r="347" spans="1:4" ht="12.75" x14ac:dyDescent="0.2">
      <c r="A347" s="68"/>
      <c r="B347" s="69"/>
      <c r="C347" s="89"/>
      <c r="D347" s="69"/>
    </row>
    <row r="348" spans="1:4" ht="12.75" x14ac:dyDescent="0.2">
      <c r="A348" s="68"/>
      <c r="B348" s="69"/>
      <c r="C348" s="89"/>
      <c r="D348" s="69"/>
    </row>
    <row r="349" spans="1:4" ht="12.75" x14ac:dyDescent="0.2">
      <c r="A349" s="68"/>
      <c r="B349" s="69"/>
      <c r="C349" s="89"/>
      <c r="D349" s="69"/>
    </row>
    <row r="350" spans="1:4" ht="12.75" x14ac:dyDescent="0.2">
      <c r="A350" s="68"/>
      <c r="B350" s="69"/>
      <c r="C350" s="89"/>
      <c r="D350" s="69"/>
    </row>
    <row r="351" spans="1:4" ht="12.75" x14ac:dyDescent="0.2">
      <c r="A351" s="68"/>
      <c r="B351" s="69"/>
      <c r="C351" s="89"/>
      <c r="D351" s="69"/>
    </row>
    <row r="352" spans="1:4" ht="12.75" x14ac:dyDescent="0.2">
      <c r="A352" s="68"/>
      <c r="B352" s="69"/>
      <c r="C352" s="89"/>
      <c r="D352" s="69"/>
    </row>
    <row r="353" spans="1:4" ht="12.75" x14ac:dyDescent="0.2">
      <c r="A353" s="68"/>
      <c r="B353" s="69"/>
      <c r="C353" s="89"/>
      <c r="D353" s="69"/>
    </row>
    <row r="354" spans="1:4" ht="12.75" x14ac:dyDescent="0.2">
      <c r="A354" s="68"/>
      <c r="B354" s="69"/>
      <c r="C354" s="89"/>
      <c r="D354" s="69"/>
    </row>
    <row r="355" spans="1:4" ht="12.75" x14ac:dyDescent="0.2">
      <c r="A355" s="68"/>
      <c r="B355" s="69"/>
      <c r="C355" s="89"/>
      <c r="D355" s="69"/>
    </row>
    <row r="356" spans="1:4" ht="12.75" x14ac:dyDescent="0.2">
      <c r="A356" s="68"/>
      <c r="B356" s="69"/>
      <c r="C356" s="89"/>
      <c r="D356" s="69"/>
    </row>
    <row r="357" spans="1:4" ht="12.75" x14ac:dyDescent="0.2">
      <c r="A357" s="68"/>
      <c r="B357" s="69"/>
      <c r="C357" s="89"/>
      <c r="D357" s="69"/>
    </row>
    <row r="358" spans="1:4" ht="12.75" x14ac:dyDescent="0.2">
      <c r="A358" s="68"/>
      <c r="B358" s="69"/>
      <c r="C358" s="89"/>
      <c r="D358" s="69"/>
    </row>
    <row r="359" spans="1:4" ht="12.75" x14ac:dyDescent="0.2">
      <c r="A359" s="68"/>
      <c r="B359" s="69"/>
      <c r="C359" s="89"/>
      <c r="D359" s="69"/>
    </row>
    <row r="360" spans="1:4" ht="12.75" x14ac:dyDescent="0.2">
      <c r="A360" s="68"/>
      <c r="B360" s="69"/>
      <c r="C360" s="89"/>
      <c r="D360" s="69"/>
    </row>
    <row r="361" spans="1:4" ht="12.75" x14ac:dyDescent="0.2">
      <c r="A361" s="68"/>
      <c r="B361" s="69"/>
      <c r="C361" s="89"/>
      <c r="D361" s="69"/>
    </row>
    <row r="362" spans="1:4" ht="12.75" x14ac:dyDescent="0.2">
      <c r="A362" s="68"/>
      <c r="B362" s="69"/>
      <c r="C362" s="89"/>
      <c r="D362" s="69"/>
    </row>
    <row r="363" spans="1:4" ht="12.75" x14ac:dyDescent="0.2">
      <c r="A363" s="68"/>
      <c r="B363" s="69"/>
      <c r="C363" s="89"/>
      <c r="D363" s="69"/>
    </row>
    <row r="364" spans="1:4" ht="12.75" x14ac:dyDescent="0.2">
      <c r="A364" s="68"/>
      <c r="B364" s="69"/>
      <c r="C364" s="89"/>
      <c r="D364" s="69"/>
    </row>
    <row r="365" spans="1:4" ht="12.75" x14ac:dyDescent="0.2">
      <c r="A365" s="68"/>
      <c r="B365" s="69"/>
      <c r="C365" s="89"/>
      <c r="D365" s="69"/>
    </row>
    <row r="366" spans="1:4" ht="12.75" x14ac:dyDescent="0.2">
      <c r="A366" s="68"/>
      <c r="B366" s="69"/>
      <c r="C366" s="89"/>
      <c r="D366" s="69"/>
    </row>
    <row r="367" spans="1:4" ht="12.75" x14ac:dyDescent="0.2">
      <c r="A367" s="68"/>
      <c r="B367" s="69"/>
      <c r="C367" s="89"/>
      <c r="D367" s="69"/>
    </row>
    <row r="368" spans="1:4" ht="12.75" x14ac:dyDescent="0.2">
      <c r="A368" s="68"/>
      <c r="B368" s="69"/>
      <c r="C368" s="89"/>
      <c r="D368" s="69"/>
    </row>
    <row r="369" spans="1:4" ht="12.75" x14ac:dyDescent="0.2">
      <c r="A369" s="68"/>
      <c r="B369" s="69"/>
      <c r="C369" s="89"/>
      <c r="D369" s="69"/>
    </row>
    <row r="370" spans="1:4" ht="12.75" x14ac:dyDescent="0.2">
      <c r="A370" s="68"/>
      <c r="B370" s="69"/>
      <c r="C370" s="89"/>
      <c r="D370" s="69"/>
    </row>
    <row r="371" spans="1:4" ht="12.75" x14ac:dyDescent="0.2">
      <c r="A371" s="68"/>
      <c r="B371" s="69"/>
      <c r="C371" s="89"/>
      <c r="D371" s="69"/>
    </row>
    <row r="372" spans="1:4" ht="12.75" x14ac:dyDescent="0.2">
      <c r="A372" s="68"/>
      <c r="B372" s="69"/>
      <c r="C372" s="89"/>
      <c r="D372" s="69"/>
    </row>
    <row r="373" spans="1:4" ht="12.75" x14ac:dyDescent="0.2">
      <c r="A373" s="68"/>
      <c r="B373" s="69"/>
      <c r="C373" s="89"/>
      <c r="D373" s="69"/>
    </row>
    <row r="374" spans="1:4" ht="12.75" x14ac:dyDescent="0.2">
      <c r="A374" s="68"/>
      <c r="B374" s="69"/>
      <c r="C374" s="89"/>
      <c r="D374" s="69"/>
    </row>
    <row r="375" spans="1:4" ht="12.75" x14ac:dyDescent="0.2">
      <c r="A375" s="68"/>
      <c r="B375" s="69"/>
      <c r="C375" s="89"/>
      <c r="D375" s="69"/>
    </row>
    <row r="376" spans="1:4" ht="12.75" x14ac:dyDescent="0.2">
      <c r="A376" s="68"/>
      <c r="B376" s="69"/>
      <c r="C376" s="89"/>
      <c r="D376" s="69"/>
    </row>
    <row r="377" spans="1:4" ht="12.75" x14ac:dyDescent="0.2">
      <c r="A377" s="68"/>
      <c r="B377" s="69"/>
      <c r="C377" s="89"/>
      <c r="D377" s="69"/>
    </row>
    <row r="378" spans="1:4" ht="12.75" x14ac:dyDescent="0.2">
      <c r="A378" s="68"/>
      <c r="B378" s="69"/>
      <c r="C378" s="89"/>
      <c r="D378" s="69"/>
    </row>
    <row r="379" spans="1:4" ht="12.75" x14ac:dyDescent="0.2">
      <c r="A379" s="68"/>
      <c r="B379" s="69"/>
      <c r="C379" s="89"/>
      <c r="D379" s="69"/>
    </row>
    <row r="380" spans="1:4" ht="12.75" x14ac:dyDescent="0.2">
      <c r="A380" s="68"/>
      <c r="B380" s="69"/>
      <c r="C380" s="89"/>
      <c r="D380" s="69"/>
    </row>
    <row r="381" spans="1:4" ht="12.75" x14ac:dyDescent="0.2">
      <c r="A381" s="68"/>
      <c r="B381" s="69"/>
      <c r="C381" s="89"/>
      <c r="D381" s="69"/>
    </row>
    <row r="382" spans="1:4" ht="12.75" x14ac:dyDescent="0.2">
      <c r="A382" s="68"/>
      <c r="B382" s="69"/>
      <c r="C382" s="89"/>
      <c r="D382" s="69"/>
    </row>
    <row r="383" spans="1:4" ht="12.75" x14ac:dyDescent="0.2">
      <c r="A383" s="68"/>
      <c r="B383" s="69"/>
      <c r="C383" s="89"/>
      <c r="D383" s="69"/>
    </row>
    <row r="384" spans="1:4" ht="12.75" x14ac:dyDescent="0.2">
      <c r="A384" s="68"/>
      <c r="B384" s="69"/>
      <c r="C384" s="89"/>
      <c r="D384" s="69"/>
    </row>
    <row r="385" spans="1:4" ht="12.75" x14ac:dyDescent="0.2">
      <c r="A385" s="68"/>
      <c r="B385" s="69"/>
      <c r="C385" s="89"/>
      <c r="D385" s="69"/>
    </row>
    <row r="386" spans="1:4" ht="12.75" x14ac:dyDescent="0.2">
      <c r="A386" s="68"/>
      <c r="B386" s="69"/>
      <c r="C386" s="89"/>
      <c r="D386" s="69"/>
    </row>
    <row r="387" spans="1:4" ht="12.75" x14ac:dyDescent="0.2">
      <c r="A387" s="68"/>
      <c r="B387" s="69"/>
      <c r="C387" s="89"/>
      <c r="D387" s="69"/>
    </row>
    <row r="388" spans="1:4" ht="12.75" x14ac:dyDescent="0.2">
      <c r="A388" s="68"/>
      <c r="B388" s="69"/>
      <c r="C388" s="89"/>
      <c r="D388" s="69"/>
    </row>
    <row r="389" spans="1:4" ht="12.75" x14ac:dyDescent="0.2">
      <c r="A389" s="68"/>
      <c r="B389" s="69"/>
      <c r="C389" s="89"/>
      <c r="D389" s="69"/>
    </row>
    <row r="390" spans="1:4" ht="12.75" x14ac:dyDescent="0.2">
      <c r="A390" s="68"/>
      <c r="B390" s="69"/>
      <c r="C390" s="89"/>
      <c r="D390" s="69"/>
    </row>
    <row r="391" spans="1:4" ht="12.75" x14ac:dyDescent="0.2">
      <c r="A391" s="68"/>
      <c r="B391" s="69"/>
      <c r="C391" s="89"/>
      <c r="D391" s="69"/>
    </row>
    <row r="392" spans="1:4" ht="12.75" x14ac:dyDescent="0.2">
      <c r="A392" s="68"/>
      <c r="B392" s="69"/>
      <c r="C392" s="89"/>
      <c r="D392" s="69"/>
    </row>
    <row r="393" spans="1:4" ht="12.75" x14ac:dyDescent="0.2">
      <c r="A393" s="68"/>
      <c r="B393" s="69"/>
      <c r="C393" s="89"/>
      <c r="D393" s="69"/>
    </row>
    <row r="394" spans="1:4" ht="12.75" x14ac:dyDescent="0.2">
      <c r="A394" s="68"/>
      <c r="B394" s="69"/>
      <c r="C394" s="89"/>
      <c r="D394" s="69"/>
    </row>
    <row r="395" spans="1:4" ht="12.75" x14ac:dyDescent="0.2">
      <c r="A395" s="68"/>
      <c r="B395" s="69"/>
      <c r="C395" s="89"/>
      <c r="D395" s="69"/>
    </row>
    <row r="396" spans="1:4" ht="12.75" x14ac:dyDescent="0.2">
      <c r="A396" s="68"/>
      <c r="B396" s="69"/>
      <c r="C396" s="89"/>
      <c r="D396" s="69"/>
    </row>
    <row r="397" spans="1:4" ht="12.75" x14ac:dyDescent="0.2">
      <c r="A397" s="68"/>
      <c r="B397" s="69"/>
      <c r="C397" s="89"/>
      <c r="D397" s="69"/>
    </row>
    <row r="398" spans="1:4" ht="12.75" x14ac:dyDescent="0.2">
      <c r="A398" s="68"/>
      <c r="B398" s="69"/>
      <c r="C398" s="89"/>
      <c r="D398" s="69"/>
    </row>
    <row r="399" spans="1:4" ht="12.75" x14ac:dyDescent="0.2">
      <c r="A399" s="68"/>
      <c r="B399" s="69"/>
      <c r="C399" s="89"/>
      <c r="D399" s="69"/>
    </row>
    <row r="400" spans="1:4" ht="12.75" x14ac:dyDescent="0.2">
      <c r="A400" s="68"/>
      <c r="B400" s="69"/>
      <c r="C400" s="89"/>
      <c r="D400" s="69"/>
    </row>
    <row r="401" spans="1:4" ht="12.75" x14ac:dyDescent="0.2">
      <c r="A401" s="68"/>
      <c r="B401" s="69"/>
      <c r="C401" s="89"/>
      <c r="D401" s="69"/>
    </row>
    <row r="402" spans="1:4" ht="12.75" x14ac:dyDescent="0.2">
      <c r="A402" s="68"/>
      <c r="B402" s="69"/>
      <c r="C402" s="89"/>
      <c r="D402" s="69"/>
    </row>
    <row r="403" spans="1:4" ht="12.75" x14ac:dyDescent="0.2">
      <c r="A403" s="68"/>
      <c r="B403" s="69"/>
      <c r="C403" s="89"/>
      <c r="D403" s="69"/>
    </row>
    <row r="404" spans="1:4" ht="12.75" x14ac:dyDescent="0.2">
      <c r="A404" s="68"/>
      <c r="B404" s="69"/>
      <c r="C404" s="89"/>
      <c r="D404" s="69"/>
    </row>
    <row r="405" spans="1:4" ht="12.75" x14ac:dyDescent="0.2">
      <c r="A405" s="68"/>
      <c r="B405" s="69"/>
      <c r="C405" s="89"/>
      <c r="D405" s="69"/>
    </row>
    <row r="406" spans="1:4" ht="12.75" x14ac:dyDescent="0.2">
      <c r="A406" s="68"/>
      <c r="B406" s="69"/>
      <c r="C406" s="89"/>
      <c r="D406" s="69"/>
    </row>
    <row r="407" spans="1:4" ht="12.75" x14ac:dyDescent="0.2">
      <c r="A407" s="68"/>
      <c r="B407" s="69"/>
      <c r="C407" s="89"/>
      <c r="D407" s="69"/>
    </row>
    <row r="408" spans="1:4" ht="12.75" x14ac:dyDescent="0.2">
      <c r="A408" s="68"/>
      <c r="B408" s="69"/>
      <c r="C408" s="89"/>
      <c r="D408" s="69"/>
    </row>
    <row r="409" spans="1:4" ht="12.75" x14ac:dyDescent="0.2">
      <c r="A409" s="68"/>
      <c r="B409" s="69"/>
      <c r="C409" s="89"/>
      <c r="D409" s="69"/>
    </row>
    <row r="410" spans="1:4" ht="12.75" x14ac:dyDescent="0.2">
      <c r="A410" s="68"/>
      <c r="B410" s="69"/>
      <c r="C410" s="89"/>
      <c r="D410" s="69"/>
    </row>
    <row r="411" spans="1:4" ht="12.75" x14ac:dyDescent="0.2">
      <c r="A411" s="68"/>
      <c r="B411" s="69"/>
      <c r="C411" s="89"/>
      <c r="D411" s="69"/>
    </row>
    <row r="412" spans="1:4" ht="12.75" x14ac:dyDescent="0.2">
      <c r="A412" s="68"/>
      <c r="B412" s="69"/>
      <c r="C412" s="89"/>
      <c r="D412" s="69"/>
    </row>
    <row r="413" spans="1:4" ht="12.75" x14ac:dyDescent="0.2">
      <c r="A413" s="68"/>
      <c r="B413" s="69"/>
      <c r="C413" s="89"/>
      <c r="D413" s="69"/>
    </row>
    <row r="414" spans="1:4" ht="12.75" x14ac:dyDescent="0.2">
      <c r="A414" s="68"/>
      <c r="B414" s="69"/>
      <c r="C414" s="89"/>
      <c r="D414" s="69"/>
    </row>
    <row r="415" spans="1:4" ht="12.75" x14ac:dyDescent="0.2">
      <c r="A415" s="68"/>
      <c r="B415" s="69"/>
      <c r="C415" s="89"/>
      <c r="D415" s="69"/>
    </row>
    <row r="416" spans="1:4" ht="12.75" x14ac:dyDescent="0.2">
      <c r="A416" s="68"/>
      <c r="B416" s="69"/>
      <c r="C416" s="89"/>
      <c r="D416" s="69"/>
    </row>
    <row r="417" spans="1:4" ht="12.75" x14ac:dyDescent="0.2">
      <c r="A417" s="68"/>
      <c r="B417" s="69"/>
      <c r="C417" s="89"/>
      <c r="D417" s="69"/>
    </row>
    <row r="418" spans="1:4" ht="12.75" x14ac:dyDescent="0.2">
      <c r="A418" s="68"/>
      <c r="B418" s="69"/>
      <c r="C418" s="89"/>
      <c r="D418" s="69"/>
    </row>
    <row r="419" spans="1:4" ht="12.75" x14ac:dyDescent="0.2">
      <c r="A419" s="68"/>
      <c r="B419" s="69"/>
      <c r="C419" s="89"/>
      <c r="D419" s="69"/>
    </row>
    <row r="420" spans="1:4" ht="12.75" x14ac:dyDescent="0.2">
      <c r="A420" s="68"/>
      <c r="B420" s="69"/>
      <c r="C420" s="89"/>
      <c r="D420" s="69"/>
    </row>
    <row r="421" spans="1:4" ht="12.75" x14ac:dyDescent="0.2">
      <c r="A421" s="68"/>
      <c r="B421" s="69"/>
      <c r="C421" s="89"/>
      <c r="D421" s="69"/>
    </row>
    <row r="422" spans="1:4" ht="12.75" x14ac:dyDescent="0.2">
      <c r="A422" s="68"/>
      <c r="B422" s="69"/>
      <c r="C422" s="89"/>
      <c r="D422" s="69"/>
    </row>
    <row r="423" spans="1:4" ht="12.75" x14ac:dyDescent="0.2">
      <c r="A423" s="68"/>
      <c r="B423" s="69"/>
      <c r="C423" s="89"/>
      <c r="D423" s="69"/>
    </row>
    <row r="424" spans="1:4" ht="12.75" x14ac:dyDescent="0.2">
      <c r="A424" s="68"/>
      <c r="B424" s="69"/>
      <c r="C424" s="89"/>
      <c r="D424" s="69"/>
    </row>
    <row r="425" spans="1:4" ht="12.75" x14ac:dyDescent="0.2">
      <c r="A425" s="68"/>
      <c r="B425" s="69"/>
      <c r="C425" s="89"/>
      <c r="D425" s="69"/>
    </row>
    <row r="426" spans="1:4" ht="12.75" x14ac:dyDescent="0.2">
      <c r="A426" s="68"/>
      <c r="B426" s="69"/>
      <c r="C426" s="89"/>
      <c r="D426" s="69"/>
    </row>
    <row r="427" spans="1:4" ht="12.75" x14ac:dyDescent="0.2">
      <c r="A427" s="68"/>
      <c r="B427" s="69"/>
      <c r="C427" s="89"/>
      <c r="D427" s="69"/>
    </row>
    <row r="428" spans="1:4" ht="12.75" x14ac:dyDescent="0.2">
      <c r="A428" s="68"/>
      <c r="B428" s="69"/>
      <c r="C428" s="89"/>
      <c r="D428" s="69"/>
    </row>
    <row r="429" spans="1:4" ht="12.75" x14ac:dyDescent="0.2">
      <c r="A429" s="68"/>
      <c r="B429" s="69"/>
      <c r="C429" s="89"/>
      <c r="D429" s="69"/>
    </row>
    <row r="430" spans="1:4" ht="12.75" x14ac:dyDescent="0.2">
      <c r="A430" s="68"/>
      <c r="B430" s="69"/>
      <c r="C430" s="89"/>
      <c r="D430" s="69"/>
    </row>
    <row r="431" spans="1:4" ht="12.75" x14ac:dyDescent="0.2">
      <c r="A431" s="68"/>
      <c r="B431" s="69"/>
      <c r="C431" s="89"/>
      <c r="D431" s="69"/>
    </row>
    <row r="432" spans="1:4" ht="12.75" x14ac:dyDescent="0.2">
      <c r="A432" s="68"/>
      <c r="B432" s="69"/>
      <c r="C432" s="89"/>
      <c r="D432" s="69"/>
    </row>
    <row r="433" spans="1:4" ht="12.75" x14ac:dyDescent="0.2">
      <c r="A433" s="68"/>
      <c r="B433" s="69"/>
      <c r="C433" s="89"/>
      <c r="D433" s="69"/>
    </row>
    <row r="434" spans="1:4" ht="12.75" x14ac:dyDescent="0.2">
      <c r="A434" s="68"/>
      <c r="B434" s="69"/>
      <c r="C434" s="89"/>
      <c r="D434" s="69"/>
    </row>
    <row r="435" spans="1:4" ht="12.75" x14ac:dyDescent="0.2">
      <c r="A435" s="68"/>
      <c r="B435" s="69"/>
      <c r="C435" s="89"/>
      <c r="D435" s="69"/>
    </row>
    <row r="436" spans="1:4" ht="12.75" x14ac:dyDescent="0.2">
      <c r="A436" s="68"/>
      <c r="B436" s="69"/>
      <c r="C436" s="89"/>
      <c r="D436" s="69"/>
    </row>
    <row r="437" spans="1:4" ht="12.75" x14ac:dyDescent="0.2">
      <c r="A437" s="68"/>
      <c r="B437" s="69"/>
      <c r="C437" s="89"/>
      <c r="D437" s="69"/>
    </row>
    <row r="438" spans="1:4" ht="12.75" x14ac:dyDescent="0.2">
      <c r="A438" s="68"/>
      <c r="B438" s="69"/>
      <c r="C438" s="89"/>
      <c r="D438" s="69"/>
    </row>
    <row r="439" spans="1:4" ht="12.75" x14ac:dyDescent="0.2">
      <c r="A439" s="68"/>
      <c r="B439" s="69"/>
      <c r="C439" s="89"/>
      <c r="D439" s="69"/>
    </row>
    <row r="440" spans="1:4" ht="12.75" x14ac:dyDescent="0.2">
      <c r="A440" s="68"/>
      <c r="B440" s="69"/>
      <c r="C440" s="89"/>
      <c r="D440" s="69"/>
    </row>
    <row r="441" spans="1:4" ht="12.75" x14ac:dyDescent="0.2">
      <c r="A441" s="68"/>
      <c r="B441" s="69"/>
      <c r="C441" s="89"/>
      <c r="D441" s="69"/>
    </row>
    <row r="442" spans="1:4" ht="12.75" x14ac:dyDescent="0.2">
      <c r="A442" s="68"/>
      <c r="B442" s="69"/>
      <c r="C442" s="89"/>
      <c r="D442" s="69"/>
    </row>
    <row r="443" spans="1:4" ht="12.75" x14ac:dyDescent="0.2">
      <c r="A443" s="68"/>
      <c r="B443" s="69"/>
      <c r="C443" s="89"/>
      <c r="D443" s="69"/>
    </row>
    <row r="444" spans="1:4" ht="12.75" x14ac:dyDescent="0.2">
      <c r="A444" s="68"/>
      <c r="B444" s="69"/>
      <c r="C444" s="89"/>
      <c r="D444" s="69"/>
    </row>
    <row r="445" spans="1:4" ht="12.75" x14ac:dyDescent="0.2">
      <c r="A445" s="68"/>
      <c r="B445" s="69"/>
      <c r="C445" s="89"/>
      <c r="D445" s="69"/>
    </row>
    <row r="446" spans="1:4" ht="12.75" x14ac:dyDescent="0.2">
      <c r="A446" s="68"/>
      <c r="B446" s="69"/>
      <c r="C446" s="89"/>
      <c r="D446" s="69"/>
    </row>
    <row r="447" spans="1:4" ht="12.75" x14ac:dyDescent="0.2">
      <c r="A447" s="68"/>
      <c r="B447" s="69"/>
      <c r="C447" s="89"/>
      <c r="D447" s="69"/>
    </row>
    <row r="448" spans="1:4" ht="12.75" x14ac:dyDescent="0.2">
      <c r="A448" s="68"/>
      <c r="B448" s="69"/>
      <c r="C448" s="89"/>
      <c r="D448" s="69"/>
    </row>
    <row r="449" spans="1:4" ht="12.75" x14ac:dyDescent="0.2">
      <c r="A449" s="68"/>
      <c r="B449" s="69"/>
      <c r="C449" s="89"/>
      <c r="D449" s="69"/>
    </row>
    <row r="450" spans="1:4" ht="12.75" x14ac:dyDescent="0.2">
      <c r="A450" s="68"/>
      <c r="B450" s="69"/>
      <c r="C450" s="89"/>
      <c r="D450" s="69"/>
    </row>
    <row r="451" spans="1:4" ht="12.75" x14ac:dyDescent="0.2">
      <c r="A451" s="68"/>
      <c r="B451" s="69"/>
      <c r="C451" s="89"/>
      <c r="D451" s="69"/>
    </row>
    <row r="452" spans="1:4" ht="12.75" x14ac:dyDescent="0.2">
      <c r="A452" s="68"/>
      <c r="B452" s="69"/>
      <c r="C452" s="89"/>
      <c r="D452" s="69"/>
    </row>
    <row r="453" spans="1:4" ht="12.75" x14ac:dyDescent="0.2">
      <c r="A453" s="68"/>
      <c r="B453" s="69"/>
      <c r="C453" s="89"/>
      <c r="D453" s="69"/>
    </row>
    <row r="454" spans="1:4" ht="12.75" x14ac:dyDescent="0.2">
      <c r="A454" s="68"/>
      <c r="B454" s="69"/>
      <c r="C454" s="89"/>
      <c r="D454" s="69"/>
    </row>
    <row r="455" spans="1:4" ht="12.75" x14ac:dyDescent="0.2">
      <c r="A455" s="68"/>
      <c r="B455" s="69"/>
      <c r="C455" s="89"/>
      <c r="D455" s="69"/>
    </row>
    <row r="456" spans="1:4" ht="12.75" x14ac:dyDescent="0.2">
      <c r="A456" s="68"/>
      <c r="B456" s="69"/>
      <c r="C456" s="89"/>
      <c r="D456" s="69"/>
    </row>
    <row r="457" spans="1:4" ht="12.75" x14ac:dyDescent="0.2">
      <c r="A457" s="68"/>
      <c r="B457" s="69"/>
      <c r="C457" s="89"/>
      <c r="D457" s="69"/>
    </row>
    <row r="458" spans="1:4" ht="12.75" x14ac:dyDescent="0.2">
      <c r="A458" s="68"/>
      <c r="B458" s="69"/>
      <c r="C458" s="89"/>
      <c r="D458" s="69"/>
    </row>
    <row r="459" spans="1:4" ht="12.75" x14ac:dyDescent="0.2">
      <c r="A459" s="68"/>
      <c r="B459" s="69"/>
      <c r="C459" s="89"/>
      <c r="D459" s="69"/>
    </row>
    <row r="460" spans="1:4" ht="12.75" x14ac:dyDescent="0.2">
      <c r="A460" s="68"/>
      <c r="B460" s="69"/>
      <c r="C460" s="89"/>
      <c r="D460" s="69"/>
    </row>
    <row r="461" spans="1:4" ht="12.75" x14ac:dyDescent="0.2">
      <c r="A461" s="68"/>
      <c r="B461" s="69"/>
      <c r="C461" s="89"/>
      <c r="D461" s="69"/>
    </row>
    <row r="462" spans="1:4" ht="12.75" x14ac:dyDescent="0.2">
      <c r="A462" s="68"/>
      <c r="B462" s="69"/>
      <c r="C462" s="89"/>
      <c r="D462" s="69"/>
    </row>
    <row r="463" spans="1:4" ht="12.75" x14ac:dyDescent="0.2">
      <c r="A463" s="68"/>
      <c r="B463" s="69"/>
      <c r="C463" s="89"/>
      <c r="D463" s="69"/>
    </row>
    <row r="464" spans="1:4" ht="12.75" x14ac:dyDescent="0.2">
      <c r="A464" s="68"/>
      <c r="B464" s="69"/>
      <c r="C464" s="89"/>
      <c r="D464" s="69"/>
    </row>
    <row r="465" spans="1:4" ht="12.75" x14ac:dyDescent="0.2">
      <c r="A465" s="68"/>
      <c r="B465" s="69"/>
      <c r="C465" s="89"/>
      <c r="D465" s="69"/>
    </row>
    <row r="466" spans="1:4" ht="12.75" x14ac:dyDescent="0.2">
      <c r="A466" s="68"/>
      <c r="B466" s="69"/>
      <c r="C466" s="89"/>
      <c r="D466" s="69"/>
    </row>
    <row r="467" spans="1:4" ht="12.75" x14ac:dyDescent="0.2">
      <c r="A467" s="68"/>
      <c r="B467" s="69"/>
      <c r="C467" s="89"/>
      <c r="D467" s="69"/>
    </row>
    <row r="468" spans="1:4" ht="12.75" x14ac:dyDescent="0.2">
      <c r="A468" s="68"/>
      <c r="B468" s="69"/>
      <c r="C468" s="89"/>
      <c r="D468" s="69"/>
    </row>
    <row r="469" spans="1:4" ht="12.75" x14ac:dyDescent="0.2">
      <c r="A469" s="68"/>
      <c r="B469" s="69"/>
      <c r="C469" s="89"/>
      <c r="D469" s="69"/>
    </row>
    <row r="470" spans="1:4" ht="12.75" x14ac:dyDescent="0.2">
      <c r="A470" s="68"/>
      <c r="B470" s="69"/>
      <c r="C470" s="89"/>
      <c r="D470" s="69"/>
    </row>
    <row r="471" spans="1:4" ht="12.75" x14ac:dyDescent="0.2">
      <c r="A471" s="68"/>
      <c r="B471" s="69"/>
      <c r="C471" s="89"/>
      <c r="D471" s="69"/>
    </row>
    <row r="472" spans="1:4" ht="12.75" x14ac:dyDescent="0.2">
      <c r="A472" s="68"/>
      <c r="B472" s="69"/>
      <c r="C472" s="89"/>
      <c r="D472" s="69"/>
    </row>
    <row r="473" spans="1:4" ht="12.75" x14ac:dyDescent="0.2">
      <c r="A473" s="68"/>
      <c r="B473" s="69"/>
      <c r="C473" s="89"/>
      <c r="D473" s="69"/>
    </row>
    <row r="474" spans="1:4" ht="12.75" x14ac:dyDescent="0.2">
      <c r="A474" s="68"/>
      <c r="B474" s="69"/>
      <c r="C474" s="89"/>
      <c r="D474" s="69"/>
    </row>
    <row r="475" spans="1:4" ht="12.75" x14ac:dyDescent="0.2">
      <c r="A475" s="68"/>
      <c r="B475" s="69"/>
      <c r="C475" s="89"/>
      <c r="D475" s="69"/>
    </row>
    <row r="476" spans="1:4" ht="12.75" x14ac:dyDescent="0.2">
      <c r="A476" s="68"/>
      <c r="B476" s="69"/>
      <c r="C476" s="89"/>
      <c r="D476" s="69"/>
    </row>
    <row r="477" spans="1:4" ht="12.75" x14ac:dyDescent="0.2">
      <c r="A477" s="68"/>
      <c r="B477" s="69"/>
      <c r="C477" s="89"/>
      <c r="D477" s="69"/>
    </row>
    <row r="478" spans="1:4" ht="12.75" x14ac:dyDescent="0.2">
      <c r="A478" s="68"/>
      <c r="B478" s="69"/>
      <c r="C478" s="89"/>
      <c r="D478" s="69"/>
    </row>
    <row r="479" spans="1:4" ht="12.75" x14ac:dyDescent="0.2">
      <c r="A479" s="68"/>
      <c r="B479" s="69"/>
      <c r="C479" s="89"/>
      <c r="D479" s="69"/>
    </row>
    <row r="480" spans="1:4" ht="12.75" x14ac:dyDescent="0.2">
      <c r="A480" s="68"/>
      <c r="B480" s="69"/>
      <c r="C480" s="89"/>
      <c r="D480" s="69"/>
    </row>
    <row r="481" spans="1:4" ht="12.75" x14ac:dyDescent="0.2">
      <c r="A481" s="68"/>
      <c r="B481" s="69"/>
      <c r="C481" s="89"/>
      <c r="D481" s="69"/>
    </row>
    <row r="482" spans="1:4" ht="12.75" x14ac:dyDescent="0.2">
      <c r="A482" s="68"/>
      <c r="B482" s="69"/>
      <c r="C482" s="89"/>
      <c r="D482" s="69"/>
    </row>
    <row r="483" spans="1:4" ht="12.75" x14ac:dyDescent="0.2">
      <c r="A483" s="68"/>
      <c r="B483" s="69"/>
      <c r="C483" s="89"/>
      <c r="D483" s="69"/>
    </row>
    <row r="484" spans="1:4" ht="12.75" x14ac:dyDescent="0.2">
      <c r="A484" s="68"/>
      <c r="B484" s="69"/>
      <c r="C484" s="89"/>
      <c r="D484" s="69"/>
    </row>
    <row r="485" spans="1:4" ht="12.75" x14ac:dyDescent="0.2">
      <c r="A485" s="68"/>
      <c r="B485" s="69"/>
      <c r="C485" s="89"/>
      <c r="D485" s="69"/>
    </row>
    <row r="486" spans="1:4" ht="12.75" x14ac:dyDescent="0.2">
      <c r="A486" s="68"/>
      <c r="B486" s="69"/>
      <c r="C486" s="89"/>
      <c r="D486" s="69"/>
    </row>
    <row r="487" spans="1:4" ht="12.75" x14ac:dyDescent="0.2">
      <c r="A487" s="68"/>
      <c r="B487" s="69"/>
      <c r="C487" s="89"/>
      <c r="D487" s="69"/>
    </row>
    <row r="488" spans="1:4" ht="12.75" x14ac:dyDescent="0.2">
      <c r="A488" s="68"/>
      <c r="B488" s="69"/>
      <c r="C488" s="89"/>
      <c r="D488" s="69"/>
    </row>
    <row r="489" spans="1:4" ht="12.75" x14ac:dyDescent="0.2">
      <c r="A489" s="68"/>
      <c r="B489" s="69"/>
      <c r="C489" s="89"/>
      <c r="D489" s="69"/>
    </row>
    <row r="490" spans="1:4" ht="12.75" x14ac:dyDescent="0.2">
      <c r="A490" s="68"/>
      <c r="B490" s="69"/>
      <c r="C490" s="89"/>
      <c r="D490" s="69"/>
    </row>
    <row r="491" spans="1:4" ht="12.75" x14ac:dyDescent="0.2">
      <c r="A491" s="68"/>
      <c r="B491" s="69"/>
      <c r="C491" s="89"/>
      <c r="D491" s="69"/>
    </row>
    <row r="492" spans="1:4" ht="12.75" x14ac:dyDescent="0.2">
      <c r="A492" s="68"/>
      <c r="B492" s="69"/>
      <c r="C492" s="89"/>
      <c r="D492" s="69"/>
    </row>
    <row r="493" spans="1:4" ht="12.75" x14ac:dyDescent="0.2">
      <c r="A493" s="68"/>
      <c r="B493" s="69"/>
      <c r="C493" s="89"/>
      <c r="D493" s="69"/>
    </row>
    <row r="494" spans="1:4" ht="12.75" x14ac:dyDescent="0.2">
      <c r="A494" s="68"/>
      <c r="B494" s="69"/>
      <c r="C494" s="89"/>
      <c r="D494" s="69"/>
    </row>
    <row r="495" spans="1:4" ht="12.75" x14ac:dyDescent="0.2">
      <c r="A495" s="68"/>
      <c r="B495" s="69"/>
      <c r="C495" s="89"/>
      <c r="D495" s="69"/>
    </row>
    <row r="496" spans="1:4" ht="12.75" x14ac:dyDescent="0.2">
      <c r="A496" s="68"/>
      <c r="B496" s="69"/>
      <c r="C496" s="89"/>
      <c r="D496" s="69"/>
    </row>
    <row r="497" spans="1:4" ht="12.75" x14ac:dyDescent="0.2">
      <c r="A497" s="68"/>
      <c r="B497" s="69"/>
      <c r="C497" s="89"/>
      <c r="D497" s="69"/>
    </row>
    <row r="498" spans="1:4" ht="12.75" x14ac:dyDescent="0.2">
      <c r="A498" s="68"/>
      <c r="B498" s="69"/>
      <c r="C498" s="89"/>
      <c r="D498" s="69"/>
    </row>
    <row r="499" spans="1:4" ht="12.75" x14ac:dyDescent="0.2">
      <c r="A499" s="68"/>
      <c r="B499" s="69"/>
      <c r="C499" s="89"/>
      <c r="D499" s="69"/>
    </row>
    <row r="500" spans="1:4" ht="12.75" x14ac:dyDescent="0.2">
      <c r="A500" s="68"/>
      <c r="B500" s="69"/>
      <c r="C500" s="89"/>
      <c r="D500" s="69"/>
    </row>
    <row r="501" spans="1:4" ht="12.75" x14ac:dyDescent="0.2">
      <c r="A501" s="68"/>
      <c r="B501" s="69"/>
      <c r="C501" s="89"/>
      <c r="D501" s="69"/>
    </row>
    <row r="502" spans="1:4" ht="12.75" x14ac:dyDescent="0.2">
      <c r="A502" s="68"/>
      <c r="B502" s="69"/>
      <c r="C502" s="89"/>
      <c r="D502" s="69"/>
    </row>
    <row r="503" spans="1:4" ht="12.75" x14ac:dyDescent="0.2">
      <c r="A503" s="68"/>
      <c r="B503" s="69"/>
      <c r="C503" s="89"/>
      <c r="D503" s="69"/>
    </row>
    <row r="504" spans="1:4" ht="12.75" x14ac:dyDescent="0.2">
      <c r="A504" s="68"/>
      <c r="B504" s="69"/>
      <c r="C504" s="89"/>
      <c r="D504" s="69"/>
    </row>
    <row r="505" spans="1:4" ht="12.75" x14ac:dyDescent="0.2">
      <c r="A505" s="68"/>
      <c r="B505" s="69"/>
      <c r="C505" s="89"/>
      <c r="D505" s="69"/>
    </row>
    <row r="506" spans="1:4" ht="12.75" x14ac:dyDescent="0.2">
      <c r="A506" s="68"/>
      <c r="B506" s="69"/>
      <c r="C506" s="89"/>
      <c r="D506" s="69"/>
    </row>
    <row r="507" spans="1:4" ht="12.75" x14ac:dyDescent="0.2">
      <c r="A507" s="68"/>
      <c r="B507" s="69"/>
      <c r="C507" s="89"/>
      <c r="D507" s="69"/>
    </row>
    <row r="508" spans="1:4" ht="12.75" x14ac:dyDescent="0.2">
      <c r="A508" s="68"/>
      <c r="B508" s="69"/>
      <c r="C508" s="89"/>
      <c r="D508" s="69"/>
    </row>
    <row r="509" spans="1:4" ht="12.75" x14ac:dyDescent="0.2">
      <c r="A509" s="68"/>
      <c r="B509" s="69"/>
      <c r="C509" s="89"/>
      <c r="D509" s="69"/>
    </row>
    <row r="510" spans="1:4" ht="12.75" x14ac:dyDescent="0.2">
      <c r="A510" s="68"/>
      <c r="B510" s="69"/>
      <c r="C510" s="89"/>
      <c r="D510" s="69"/>
    </row>
    <row r="511" spans="1:4" ht="12.75" x14ac:dyDescent="0.2">
      <c r="A511" s="68"/>
      <c r="B511" s="69"/>
      <c r="C511" s="89"/>
      <c r="D511" s="69"/>
    </row>
    <row r="512" spans="1:4" ht="12.75" x14ac:dyDescent="0.2">
      <c r="A512" s="68"/>
      <c r="B512" s="69"/>
      <c r="C512" s="89"/>
      <c r="D512" s="69"/>
    </row>
    <row r="513" spans="1:4" ht="12.75" x14ac:dyDescent="0.2">
      <c r="A513" s="68"/>
      <c r="B513" s="69"/>
      <c r="C513" s="89"/>
      <c r="D513" s="69"/>
    </row>
    <row r="514" spans="1:4" ht="12.75" x14ac:dyDescent="0.2">
      <c r="A514" s="68"/>
      <c r="B514" s="69"/>
      <c r="C514" s="89"/>
      <c r="D514" s="69"/>
    </row>
    <row r="515" spans="1:4" ht="12.75" x14ac:dyDescent="0.2">
      <c r="A515" s="68"/>
      <c r="B515" s="69"/>
      <c r="C515" s="89"/>
      <c r="D515" s="69"/>
    </row>
    <row r="516" spans="1:4" ht="12.75" x14ac:dyDescent="0.2">
      <c r="A516" s="68"/>
      <c r="B516" s="69"/>
      <c r="C516" s="89"/>
      <c r="D516" s="69"/>
    </row>
    <row r="517" spans="1:4" ht="12.75" x14ac:dyDescent="0.2">
      <c r="A517" s="68"/>
      <c r="B517" s="69"/>
      <c r="C517" s="89"/>
      <c r="D517" s="69"/>
    </row>
    <row r="518" spans="1:4" ht="12.75" x14ac:dyDescent="0.2">
      <c r="A518" s="68"/>
      <c r="B518" s="69"/>
      <c r="C518" s="89"/>
      <c r="D518" s="69"/>
    </row>
    <row r="519" spans="1:4" ht="12.75" x14ac:dyDescent="0.2">
      <c r="A519" s="68"/>
      <c r="B519" s="69"/>
      <c r="C519" s="89"/>
      <c r="D519" s="69"/>
    </row>
    <row r="520" spans="1:4" ht="12.75" x14ac:dyDescent="0.2">
      <c r="A520" s="68"/>
      <c r="B520" s="69"/>
      <c r="C520" s="89"/>
      <c r="D520" s="69"/>
    </row>
    <row r="521" spans="1:4" ht="12.75" x14ac:dyDescent="0.2">
      <c r="A521" s="68"/>
      <c r="B521" s="69"/>
      <c r="C521" s="89"/>
      <c r="D521" s="69"/>
    </row>
    <row r="522" spans="1:4" ht="12.75" x14ac:dyDescent="0.2">
      <c r="A522" s="68"/>
      <c r="B522" s="69"/>
      <c r="C522" s="89"/>
      <c r="D522" s="69"/>
    </row>
    <row r="523" spans="1:4" ht="12.75" x14ac:dyDescent="0.2">
      <c r="A523" s="68"/>
      <c r="B523" s="69"/>
      <c r="C523" s="89"/>
      <c r="D523" s="69"/>
    </row>
    <row r="524" spans="1:4" ht="12.75" x14ac:dyDescent="0.2">
      <c r="A524" s="68"/>
      <c r="B524" s="69"/>
      <c r="C524" s="89"/>
      <c r="D524" s="69"/>
    </row>
    <row r="525" spans="1:4" ht="12.75" x14ac:dyDescent="0.2">
      <c r="A525" s="68"/>
      <c r="B525" s="69"/>
      <c r="C525" s="89"/>
      <c r="D525" s="69"/>
    </row>
    <row r="526" spans="1:4" ht="12.75" x14ac:dyDescent="0.2">
      <c r="A526" s="68"/>
      <c r="B526" s="69"/>
      <c r="C526" s="89"/>
      <c r="D526" s="69"/>
    </row>
    <row r="527" spans="1:4" ht="12.75" x14ac:dyDescent="0.2">
      <c r="A527" s="68"/>
      <c r="B527" s="69"/>
      <c r="C527" s="89"/>
      <c r="D527" s="69"/>
    </row>
    <row r="528" spans="1:4" ht="12.75" x14ac:dyDescent="0.2">
      <c r="A528" s="68"/>
      <c r="B528" s="69"/>
      <c r="C528" s="89"/>
      <c r="D528" s="69"/>
    </row>
    <row r="529" spans="1:4" ht="12.75" x14ac:dyDescent="0.2">
      <c r="A529" s="68"/>
      <c r="B529" s="69"/>
      <c r="C529" s="89"/>
      <c r="D529" s="69"/>
    </row>
    <row r="530" spans="1:4" ht="12.75" x14ac:dyDescent="0.2">
      <c r="A530" s="68"/>
      <c r="B530" s="69"/>
      <c r="C530" s="89"/>
      <c r="D530" s="69"/>
    </row>
    <row r="531" spans="1:4" ht="12.75" x14ac:dyDescent="0.2">
      <c r="A531" s="68"/>
      <c r="B531" s="69"/>
      <c r="C531" s="89"/>
      <c r="D531" s="69"/>
    </row>
    <row r="532" spans="1:4" ht="12.75" x14ac:dyDescent="0.2">
      <c r="A532" s="68"/>
      <c r="B532" s="69"/>
      <c r="C532" s="89"/>
      <c r="D532" s="69"/>
    </row>
    <row r="533" spans="1:4" ht="12.75" x14ac:dyDescent="0.2">
      <c r="A533" s="68"/>
      <c r="B533" s="69"/>
      <c r="C533" s="89"/>
      <c r="D533" s="69"/>
    </row>
    <row r="534" spans="1:4" ht="12.75" x14ac:dyDescent="0.2">
      <c r="A534" s="68"/>
      <c r="B534" s="69"/>
      <c r="C534" s="89"/>
      <c r="D534" s="69"/>
    </row>
    <row r="535" spans="1:4" ht="12.75" x14ac:dyDescent="0.2">
      <c r="A535" s="68"/>
      <c r="B535" s="69"/>
      <c r="C535" s="89"/>
      <c r="D535" s="69"/>
    </row>
    <row r="536" spans="1:4" ht="12.75" x14ac:dyDescent="0.2">
      <c r="A536" s="68"/>
      <c r="B536" s="69"/>
      <c r="C536" s="89"/>
      <c r="D536" s="69"/>
    </row>
    <row r="537" spans="1:4" ht="12.75" x14ac:dyDescent="0.2">
      <c r="A537" s="68"/>
      <c r="B537" s="69"/>
      <c r="C537" s="89"/>
      <c r="D537" s="69"/>
    </row>
    <row r="538" spans="1:4" ht="12.75" x14ac:dyDescent="0.2">
      <c r="A538" s="68"/>
      <c r="B538" s="69"/>
      <c r="C538" s="89"/>
      <c r="D538" s="69"/>
    </row>
    <row r="539" spans="1:4" ht="12.75" x14ac:dyDescent="0.2">
      <c r="A539" s="68"/>
      <c r="B539" s="69"/>
      <c r="C539" s="89"/>
      <c r="D539" s="69"/>
    </row>
    <row r="540" spans="1:4" ht="12.75" x14ac:dyDescent="0.2">
      <c r="A540" s="68"/>
      <c r="B540" s="69"/>
      <c r="C540" s="89"/>
      <c r="D540" s="69"/>
    </row>
    <row r="541" spans="1:4" ht="12.75" x14ac:dyDescent="0.2">
      <c r="A541" s="68"/>
      <c r="B541" s="69"/>
      <c r="C541" s="89"/>
      <c r="D541" s="69"/>
    </row>
    <row r="542" spans="1:4" ht="12.75" x14ac:dyDescent="0.2">
      <c r="A542" s="68"/>
      <c r="B542" s="69"/>
      <c r="C542" s="89"/>
      <c r="D542" s="69"/>
    </row>
    <row r="543" spans="1:4" ht="12.75" x14ac:dyDescent="0.2">
      <c r="A543" s="68"/>
      <c r="B543" s="69"/>
      <c r="C543" s="89"/>
      <c r="D543" s="69"/>
    </row>
    <row r="544" spans="1:4" ht="12.75" x14ac:dyDescent="0.2">
      <c r="A544" s="68"/>
      <c r="B544" s="69"/>
      <c r="C544" s="89"/>
      <c r="D544" s="69"/>
    </row>
    <row r="545" spans="1:4" ht="12.75" x14ac:dyDescent="0.2">
      <c r="A545" s="68"/>
      <c r="B545" s="69"/>
      <c r="C545" s="89"/>
      <c r="D545" s="69"/>
    </row>
    <row r="546" spans="1:4" ht="12.75" x14ac:dyDescent="0.2">
      <c r="A546" s="68"/>
      <c r="B546" s="69"/>
      <c r="C546" s="89"/>
      <c r="D546" s="69"/>
    </row>
    <row r="547" spans="1:4" ht="12.75" x14ac:dyDescent="0.2">
      <c r="A547" s="68"/>
      <c r="B547" s="69"/>
      <c r="C547" s="89"/>
      <c r="D547" s="69"/>
    </row>
    <row r="548" spans="1:4" ht="12.75" x14ac:dyDescent="0.2">
      <c r="A548" s="68"/>
      <c r="B548" s="69"/>
      <c r="C548" s="89"/>
      <c r="D548" s="69"/>
    </row>
    <row r="549" spans="1:4" ht="12.75" x14ac:dyDescent="0.2">
      <c r="A549" s="68"/>
      <c r="B549" s="69"/>
      <c r="C549" s="89"/>
      <c r="D549" s="69"/>
    </row>
    <row r="550" spans="1:4" ht="12.75" x14ac:dyDescent="0.2">
      <c r="A550" s="68"/>
      <c r="B550" s="69"/>
      <c r="C550" s="89"/>
      <c r="D550" s="69"/>
    </row>
    <row r="551" spans="1:4" ht="12.75" x14ac:dyDescent="0.2">
      <c r="A551" s="68"/>
      <c r="B551" s="69"/>
      <c r="C551" s="89"/>
      <c r="D551" s="69"/>
    </row>
    <row r="552" spans="1:4" ht="12.75" x14ac:dyDescent="0.2">
      <c r="A552" s="68"/>
      <c r="B552" s="69"/>
      <c r="C552" s="89"/>
      <c r="D552" s="69"/>
    </row>
    <row r="553" spans="1:4" ht="12.75" x14ac:dyDescent="0.2">
      <c r="A553" s="68"/>
      <c r="B553" s="69"/>
      <c r="C553" s="89"/>
      <c r="D553" s="69"/>
    </row>
    <row r="554" spans="1:4" ht="12.75" x14ac:dyDescent="0.2">
      <c r="A554" s="68"/>
      <c r="B554" s="69"/>
      <c r="C554" s="89"/>
      <c r="D554" s="69"/>
    </row>
    <row r="555" spans="1:4" ht="12.75" x14ac:dyDescent="0.2">
      <c r="A555" s="68"/>
      <c r="B555" s="69"/>
      <c r="C555" s="89"/>
      <c r="D555" s="69"/>
    </row>
    <row r="556" spans="1:4" ht="12.75" x14ac:dyDescent="0.2">
      <c r="A556" s="68"/>
      <c r="B556" s="69"/>
      <c r="C556" s="89"/>
      <c r="D556" s="69"/>
    </row>
    <row r="557" spans="1:4" ht="12.75" x14ac:dyDescent="0.2">
      <c r="A557" s="68"/>
      <c r="B557" s="69"/>
      <c r="C557" s="89"/>
      <c r="D557" s="69"/>
    </row>
    <row r="558" spans="1:4" ht="12.75" x14ac:dyDescent="0.2">
      <c r="A558" s="68"/>
      <c r="B558" s="69"/>
      <c r="C558" s="89"/>
      <c r="D558" s="69"/>
    </row>
    <row r="559" spans="1:4" ht="12.75" x14ac:dyDescent="0.2">
      <c r="A559" s="68"/>
      <c r="B559" s="69"/>
      <c r="C559" s="89"/>
      <c r="D559" s="69"/>
    </row>
    <row r="560" spans="1:4" ht="12.75" x14ac:dyDescent="0.2">
      <c r="A560" s="68"/>
      <c r="B560" s="69"/>
      <c r="C560" s="89"/>
      <c r="D560" s="69"/>
    </row>
    <row r="561" spans="1:4" ht="12.75" x14ac:dyDescent="0.2">
      <c r="A561" s="68"/>
      <c r="B561" s="69"/>
      <c r="C561" s="89"/>
      <c r="D561" s="69"/>
    </row>
    <row r="562" spans="1:4" ht="12.75" x14ac:dyDescent="0.2">
      <c r="A562" s="68"/>
      <c r="B562" s="69"/>
      <c r="C562" s="89"/>
      <c r="D562" s="69"/>
    </row>
    <row r="563" spans="1:4" ht="12.75" x14ac:dyDescent="0.2">
      <c r="A563" s="68"/>
      <c r="B563" s="69"/>
      <c r="C563" s="89"/>
      <c r="D563" s="69"/>
    </row>
    <row r="564" spans="1:4" ht="12.75" x14ac:dyDescent="0.2">
      <c r="A564" s="68"/>
      <c r="B564" s="69"/>
      <c r="C564" s="89"/>
      <c r="D564" s="69"/>
    </row>
    <row r="565" spans="1:4" ht="12.75" x14ac:dyDescent="0.2">
      <c r="A565" s="68"/>
      <c r="B565" s="69"/>
      <c r="C565" s="89"/>
      <c r="D565" s="69"/>
    </row>
    <row r="566" spans="1:4" ht="12.75" x14ac:dyDescent="0.2">
      <c r="A566" s="68"/>
      <c r="B566" s="69"/>
      <c r="C566" s="89"/>
      <c r="D566" s="69"/>
    </row>
    <row r="567" spans="1:4" ht="12.75" x14ac:dyDescent="0.2">
      <c r="A567" s="68"/>
      <c r="B567" s="69"/>
      <c r="C567" s="89"/>
      <c r="D567" s="69"/>
    </row>
    <row r="568" spans="1:4" ht="12.75" x14ac:dyDescent="0.2">
      <c r="A568" s="68"/>
      <c r="B568" s="69"/>
      <c r="C568" s="89"/>
      <c r="D568" s="69"/>
    </row>
    <row r="569" spans="1:4" ht="12.75" x14ac:dyDescent="0.2">
      <c r="A569" s="68"/>
      <c r="B569" s="69"/>
      <c r="C569" s="89"/>
      <c r="D569" s="69"/>
    </row>
    <row r="570" spans="1:4" ht="12.75" x14ac:dyDescent="0.2">
      <c r="A570" s="68"/>
      <c r="B570" s="69"/>
      <c r="C570" s="89"/>
      <c r="D570" s="69"/>
    </row>
    <row r="571" spans="1:4" ht="12.75" x14ac:dyDescent="0.2">
      <c r="A571" s="68"/>
      <c r="B571" s="69"/>
      <c r="C571" s="89"/>
      <c r="D571" s="69"/>
    </row>
    <row r="572" spans="1:4" ht="12.75" x14ac:dyDescent="0.2">
      <c r="A572" s="68"/>
      <c r="B572" s="69"/>
      <c r="C572" s="89"/>
      <c r="D572" s="69"/>
    </row>
    <row r="573" spans="1:4" ht="12.75" x14ac:dyDescent="0.2">
      <c r="A573" s="68"/>
      <c r="B573" s="69"/>
      <c r="C573" s="89"/>
      <c r="D573" s="69"/>
    </row>
    <row r="574" spans="1:4" ht="12.75" x14ac:dyDescent="0.2">
      <c r="A574" s="68"/>
      <c r="B574" s="69"/>
      <c r="C574" s="89"/>
      <c r="D574" s="69"/>
    </row>
    <row r="575" spans="1:4" ht="12.75" x14ac:dyDescent="0.2">
      <c r="A575" s="68"/>
      <c r="B575" s="69"/>
      <c r="C575" s="89"/>
      <c r="D575" s="69"/>
    </row>
    <row r="576" spans="1:4" ht="12.75" x14ac:dyDescent="0.2">
      <c r="A576" s="68"/>
      <c r="B576" s="69"/>
      <c r="C576" s="89"/>
      <c r="D576" s="69"/>
    </row>
    <row r="577" spans="1:4" ht="12.75" x14ac:dyDescent="0.2">
      <c r="A577" s="68"/>
      <c r="B577" s="69"/>
      <c r="C577" s="89"/>
      <c r="D577" s="69"/>
    </row>
    <row r="578" spans="1:4" ht="12.75" x14ac:dyDescent="0.2">
      <c r="A578" s="68"/>
      <c r="B578" s="69"/>
      <c r="C578" s="89"/>
      <c r="D578" s="69"/>
    </row>
    <row r="579" spans="1:4" ht="12.75" x14ac:dyDescent="0.2">
      <c r="A579" s="68"/>
      <c r="B579" s="69"/>
      <c r="C579" s="89"/>
      <c r="D579" s="69"/>
    </row>
    <row r="580" spans="1:4" ht="12.75" x14ac:dyDescent="0.2">
      <c r="A580" s="68"/>
      <c r="B580" s="69"/>
      <c r="C580" s="89"/>
      <c r="D580" s="69"/>
    </row>
    <row r="581" spans="1:4" ht="12.75" x14ac:dyDescent="0.2">
      <c r="A581" s="68"/>
      <c r="B581" s="69"/>
      <c r="C581" s="89"/>
      <c r="D581" s="69"/>
    </row>
    <row r="582" spans="1:4" ht="12.75" x14ac:dyDescent="0.2">
      <c r="A582" s="68"/>
      <c r="B582" s="69"/>
      <c r="C582" s="89"/>
      <c r="D582" s="69"/>
    </row>
    <row r="583" spans="1:4" ht="12.75" x14ac:dyDescent="0.2">
      <c r="A583" s="68"/>
      <c r="B583" s="69"/>
      <c r="C583" s="89"/>
      <c r="D583" s="69"/>
    </row>
    <row r="584" spans="1:4" ht="12.75" x14ac:dyDescent="0.2">
      <c r="A584" s="68"/>
      <c r="B584" s="69"/>
      <c r="C584" s="89"/>
      <c r="D584" s="69"/>
    </row>
    <row r="585" spans="1:4" ht="12.75" x14ac:dyDescent="0.2">
      <c r="A585" s="68"/>
      <c r="B585" s="69"/>
      <c r="C585" s="89"/>
      <c r="D585" s="69"/>
    </row>
    <row r="586" spans="1:4" ht="12.75" x14ac:dyDescent="0.2">
      <c r="A586" s="68"/>
      <c r="B586" s="69"/>
      <c r="C586" s="89"/>
      <c r="D586" s="69"/>
    </row>
    <row r="587" spans="1:4" ht="12.75" x14ac:dyDescent="0.2">
      <c r="A587" s="68"/>
      <c r="B587" s="69"/>
      <c r="C587" s="89"/>
      <c r="D587" s="69"/>
    </row>
    <row r="588" spans="1:4" ht="12.75" x14ac:dyDescent="0.2">
      <c r="A588" s="68"/>
      <c r="B588" s="69"/>
      <c r="C588" s="89"/>
      <c r="D588" s="69"/>
    </row>
    <row r="589" spans="1:4" ht="12.75" x14ac:dyDescent="0.2">
      <c r="A589" s="68"/>
      <c r="B589" s="69"/>
      <c r="C589" s="89"/>
      <c r="D589" s="69"/>
    </row>
    <row r="590" spans="1:4" ht="12.75" x14ac:dyDescent="0.2">
      <c r="A590" s="68"/>
      <c r="B590" s="69"/>
      <c r="C590" s="89"/>
      <c r="D590" s="69"/>
    </row>
    <row r="591" spans="1:4" ht="12.75" x14ac:dyDescent="0.2">
      <c r="A591" s="68"/>
      <c r="B591" s="69"/>
      <c r="C591" s="89"/>
      <c r="D591" s="69"/>
    </row>
    <row r="592" spans="1:4" ht="12.75" x14ac:dyDescent="0.2">
      <c r="A592" s="68"/>
      <c r="B592" s="69"/>
      <c r="C592" s="89"/>
      <c r="D592" s="69"/>
    </row>
    <row r="593" spans="1:4" ht="12.75" x14ac:dyDescent="0.2">
      <c r="A593" s="68"/>
      <c r="B593" s="69"/>
      <c r="C593" s="89"/>
      <c r="D593" s="69"/>
    </row>
    <row r="594" spans="1:4" ht="12.75" x14ac:dyDescent="0.2">
      <c r="A594" s="68"/>
      <c r="B594" s="69"/>
      <c r="C594" s="89"/>
      <c r="D594" s="69"/>
    </row>
    <row r="595" spans="1:4" ht="12.75" x14ac:dyDescent="0.2">
      <c r="A595" s="68"/>
      <c r="B595" s="69"/>
      <c r="C595" s="89"/>
      <c r="D595" s="69"/>
    </row>
    <row r="596" spans="1:4" ht="12.75" x14ac:dyDescent="0.2">
      <c r="A596" s="68"/>
      <c r="B596" s="69"/>
      <c r="C596" s="89"/>
      <c r="D596" s="69"/>
    </row>
    <row r="597" spans="1:4" ht="12.75" x14ac:dyDescent="0.2">
      <c r="A597" s="68"/>
      <c r="B597" s="69"/>
      <c r="C597" s="89"/>
      <c r="D597" s="69"/>
    </row>
    <row r="598" spans="1:4" ht="12.75" x14ac:dyDescent="0.2">
      <c r="A598" s="68"/>
      <c r="B598" s="69"/>
      <c r="C598" s="89"/>
      <c r="D598" s="69"/>
    </row>
    <row r="599" spans="1:4" ht="12.75" x14ac:dyDescent="0.2">
      <c r="A599" s="68"/>
      <c r="B599" s="69"/>
      <c r="C599" s="89"/>
      <c r="D599" s="69"/>
    </row>
    <row r="600" spans="1:4" ht="12.75" x14ac:dyDescent="0.2">
      <c r="A600" s="68"/>
      <c r="B600" s="69"/>
      <c r="C600" s="89"/>
      <c r="D600" s="69"/>
    </row>
    <row r="601" spans="1:4" ht="12.75" x14ac:dyDescent="0.2">
      <c r="A601" s="68"/>
      <c r="B601" s="69"/>
      <c r="C601" s="89"/>
      <c r="D601" s="69"/>
    </row>
    <row r="602" spans="1:4" ht="12.75" x14ac:dyDescent="0.2">
      <c r="A602" s="68"/>
      <c r="B602" s="69"/>
      <c r="C602" s="89"/>
      <c r="D602" s="69"/>
    </row>
    <row r="603" spans="1:4" ht="12.75" x14ac:dyDescent="0.2">
      <c r="A603" s="68"/>
      <c r="B603" s="69"/>
      <c r="C603" s="89"/>
      <c r="D603" s="69"/>
    </row>
    <row r="604" spans="1:4" ht="12.75" x14ac:dyDescent="0.2">
      <c r="A604" s="68"/>
      <c r="B604" s="69"/>
      <c r="C604" s="89"/>
      <c r="D604" s="69"/>
    </row>
    <row r="605" spans="1:4" ht="12.75" x14ac:dyDescent="0.2">
      <c r="A605" s="68"/>
      <c r="B605" s="69"/>
      <c r="C605" s="89"/>
      <c r="D605" s="69"/>
    </row>
    <row r="606" spans="1:4" ht="12.75" x14ac:dyDescent="0.2">
      <c r="A606" s="68"/>
      <c r="B606" s="69"/>
      <c r="C606" s="89"/>
      <c r="D606" s="69"/>
    </row>
    <row r="607" spans="1:4" ht="12.75" x14ac:dyDescent="0.2">
      <c r="A607" s="68"/>
      <c r="B607" s="69"/>
      <c r="C607" s="89"/>
      <c r="D607" s="69"/>
    </row>
    <row r="608" spans="1:4" ht="12.75" x14ac:dyDescent="0.2">
      <c r="A608" s="68"/>
      <c r="B608" s="69"/>
      <c r="C608" s="89"/>
      <c r="D608" s="69"/>
    </row>
    <row r="609" spans="1:4" ht="12.75" x14ac:dyDescent="0.2">
      <c r="A609" s="68"/>
      <c r="B609" s="69"/>
      <c r="C609" s="89"/>
      <c r="D609" s="69"/>
    </row>
    <row r="610" spans="1:4" ht="12.75" x14ac:dyDescent="0.2">
      <c r="A610" s="68"/>
      <c r="B610" s="69"/>
      <c r="C610" s="89"/>
      <c r="D610" s="69"/>
    </row>
    <row r="611" spans="1:4" ht="12.75" x14ac:dyDescent="0.2">
      <c r="A611" s="68"/>
      <c r="B611" s="69"/>
      <c r="C611" s="89"/>
      <c r="D611" s="69"/>
    </row>
    <row r="612" spans="1:4" ht="12.75" x14ac:dyDescent="0.2">
      <c r="A612" s="68"/>
      <c r="B612" s="69"/>
      <c r="C612" s="89"/>
      <c r="D612" s="69"/>
    </row>
    <row r="613" spans="1:4" ht="12.75" x14ac:dyDescent="0.2">
      <c r="A613" s="68"/>
      <c r="B613" s="69"/>
      <c r="C613" s="89"/>
      <c r="D613" s="69"/>
    </row>
    <row r="614" spans="1:4" ht="12.75" x14ac:dyDescent="0.2">
      <c r="A614" s="68"/>
      <c r="B614" s="69"/>
      <c r="C614" s="89"/>
      <c r="D614" s="69"/>
    </row>
    <row r="615" spans="1:4" ht="12.75" x14ac:dyDescent="0.2">
      <c r="A615" s="68"/>
      <c r="B615" s="69"/>
      <c r="C615" s="89"/>
      <c r="D615" s="69"/>
    </row>
    <row r="616" spans="1:4" ht="12.75" x14ac:dyDescent="0.2">
      <c r="A616" s="68"/>
      <c r="B616" s="69"/>
      <c r="C616" s="89"/>
      <c r="D616" s="69"/>
    </row>
    <row r="617" spans="1:4" ht="12.75" x14ac:dyDescent="0.2">
      <c r="A617" s="68"/>
      <c r="B617" s="69"/>
      <c r="C617" s="89"/>
      <c r="D617" s="69"/>
    </row>
    <row r="618" spans="1:4" ht="12.75" x14ac:dyDescent="0.2">
      <c r="A618" s="68"/>
      <c r="B618" s="69"/>
      <c r="C618" s="89"/>
      <c r="D618" s="69"/>
    </row>
    <row r="619" spans="1:4" ht="12.75" x14ac:dyDescent="0.2">
      <c r="A619" s="68"/>
      <c r="B619" s="69"/>
      <c r="C619" s="89"/>
      <c r="D619" s="69"/>
    </row>
    <row r="620" spans="1:4" ht="12.75" x14ac:dyDescent="0.2">
      <c r="A620" s="68"/>
      <c r="B620" s="69"/>
      <c r="C620" s="89"/>
      <c r="D620" s="69"/>
    </row>
    <row r="621" spans="1:4" ht="12.75" x14ac:dyDescent="0.2">
      <c r="A621" s="68"/>
      <c r="B621" s="69"/>
      <c r="C621" s="89"/>
      <c r="D621" s="69"/>
    </row>
    <row r="622" spans="1:4" ht="12.75" x14ac:dyDescent="0.2">
      <c r="A622" s="68"/>
      <c r="B622" s="69"/>
      <c r="C622" s="89"/>
      <c r="D622" s="69"/>
    </row>
    <row r="623" spans="1:4" ht="12.75" x14ac:dyDescent="0.2">
      <c r="A623" s="68"/>
      <c r="B623" s="69"/>
      <c r="C623" s="89"/>
      <c r="D623" s="69"/>
    </row>
    <row r="624" spans="1:4" ht="12.75" x14ac:dyDescent="0.2">
      <c r="A624" s="68"/>
      <c r="B624" s="69"/>
      <c r="C624" s="89"/>
      <c r="D624" s="69"/>
    </row>
    <row r="625" spans="1:4" ht="12.75" x14ac:dyDescent="0.2">
      <c r="A625" s="68"/>
      <c r="B625" s="69"/>
      <c r="C625" s="89"/>
      <c r="D625" s="69"/>
    </row>
    <row r="626" spans="1:4" ht="12.75" x14ac:dyDescent="0.2">
      <c r="A626" s="68"/>
      <c r="B626" s="69"/>
      <c r="C626" s="89"/>
      <c r="D626" s="69"/>
    </row>
    <row r="627" spans="1:4" ht="12.75" x14ac:dyDescent="0.2">
      <c r="A627" s="68"/>
      <c r="B627" s="69"/>
      <c r="C627" s="89"/>
      <c r="D627" s="69"/>
    </row>
    <row r="628" spans="1:4" ht="12.75" x14ac:dyDescent="0.2">
      <c r="A628" s="68"/>
      <c r="B628" s="69"/>
      <c r="C628" s="89"/>
      <c r="D628" s="69"/>
    </row>
    <row r="629" spans="1:4" ht="12.75" x14ac:dyDescent="0.2">
      <c r="A629" s="68"/>
      <c r="B629" s="69"/>
      <c r="C629" s="89"/>
      <c r="D629" s="69"/>
    </row>
    <row r="630" spans="1:4" ht="12.75" x14ac:dyDescent="0.2">
      <c r="A630" s="68"/>
      <c r="B630" s="69"/>
      <c r="C630" s="89"/>
      <c r="D630" s="69"/>
    </row>
    <row r="631" spans="1:4" ht="12.75" x14ac:dyDescent="0.2">
      <c r="A631" s="68"/>
      <c r="B631" s="69"/>
      <c r="C631" s="89"/>
      <c r="D631" s="69"/>
    </row>
    <row r="632" spans="1:4" ht="12.75" x14ac:dyDescent="0.2">
      <c r="A632" s="68"/>
      <c r="B632" s="69"/>
      <c r="C632" s="89"/>
      <c r="D632" s="69"/>
    </row>
    <row r="633" spans="1:4" ht="12.75" x14ac:dyDescent="0.2">
      <c r="A633" s="68"/>
      <c r="B633" s="69"/>
      <c r="C633" s="89"/>
      <c r="D633" s="69"/>
    </row>
    <row r="634" spans="1:4" ht="12.75" x14ac:dyDescent="0.2">
      <c r="A634" s="68"/>
      <c r="B634" s="69"/>
      <c r="C634" s="89"/>
      <c r="D634" s="69"/>
    </row>
    <row r="635" spans="1:4" ht="12.75" x14ac:dyDescent="0.2">
      <c r="A635" s="68"/>
      <c r="B635" s="69"/>
      <c r="C635" s="89"/>
      <c r="D635" s="69"/>
    </row>
    <row r="636" spans="1:4" ht="12.75" x14ac:dyDescent="0.2">
      <c r="A636" s="68"/>
      <c r="B636" s="69"/>
      <c r="C636" s="89"/>
      <c r="D636" s="69"/>
    </row>
    <row r="637" spans="1:4" ht="12.75" x14ac:dyDescent="0.2">
      <c r="A637" s="68"/>
      <c r="B637" s="69"/>
      <c r="C637" s="89"/>
      <c r="D637" s="69"/>
    </row>
    <row r="638" spans="1:4" ht="12.75" x14ac:dyDescent="0.2">
      <c r="A638" s="68"/>
      <c r="B638" s="69"/>
      <c r="C638" s="89"/>
      <c r="D638" s="69"/>
    </row>
    <row r="639" spans="1:4" ht="12.75" x14ac:dyDescent="0.2">
      <c r="A639" s="68"/>
      <c r="B639" s="69"/>
      <c r="C639" s="89"/>
      <c r="D639" s="69"/>
    </row>
    <row r="640" spans="1:4" ht="12.75" x14ac:dyDescent="0.2">
      <c r="A640" s="68"/>
      <c r="B640" s="69"/>
      <c r="C640" s="89"/>
      <c r="D640" s="69"/>
    </row>
    <row r="641" spans="1:4" ht="12.75" x14ac:dyDescent="0.2">
      <c r="A641" s="68"/>
      <c r="B641" s="69"/>
      <c r="C641" s="89"/>
      <c r="D641" s="69"/>
    </row>
    <row r="642" spans="1:4" ht="12.75" x14ac:dyDescent="0.2">
      <c r="A642" s="68"/>
      <c r="B642" s="69"/>
      <c r="C642" s="89"/>
      <c r="D642" s="69"/>
    </row>
    <row r="643" spans="1:4" ht="12.75" x14ac:dyDescent="0.2">
      <c r="A643" s="68"/>
      <c r="B643" s="69"/>
      <c r="C643" s="89"/>
      <c r="D643" s="69"/>
    </row>
    <row r="644" spans="1:4" ht="12.75" x14ac:dyDescent="0.2">
      <c r="A644" s="68"/>
      <c r="B644" s="69"/>
      <c r="C644" s="89"/>
      <c r="D644" s="69"/>
    </row>
    <row r="645" spans="1:4" ht="12.75" x14ac:dyDescent="0.2">
      <c r="A645" s="68"/>
      <c r="B645" s="69"/>
      <c r="C645" s="89"/>
      <c r="D645" s="69"/>
    </row>
    <row r="646" spans="1:4" ht="12.75" x14ac:dyDescent="0.2">
      <c r="A646" s="68"/>
      <c r="B646" s="69"/>
      <c r="C646" s="89"/>
      <c r="D646" s="69"/>
    </row>
    <row r="647" spans="1:4" ht="12.75" x14ac:dyDescent="0.2">
      <c r="A647" s="68"/>
      <c r="B647" s="69"/>
      <c r="C647" s="89"/>
      <c r="D647" s="69"/>
    </row>
    <row r="648" spans="1:4" ht="12.75" x14ac:dyDescent="0.2">
      <c r="A648" s="68"/>
      <c r="B648" s="69"/>
      <c r="C648" s="89"/>
      <c r="D648" s="69"/>
    </row>
    <row r="649" spans="1:4" ht="12.75" x14ac:dyDescent="0.2">
      <c r="A649" s="68"/>
      <c r="B649" s="69"/>
      <c r="C649" s="89"/>
      <c r="D649" s="69"/>
    </row>
    <row r="650" spans="1:4" ht="12.75" x14ac:dyDescent="0.2">
      <c r="A650" s="68"/>
      <c r="B650" s="69"/>
      <c r="C650" s="89"/>
      <c r="D650" s="69"/>
    </row>
    <row r="651" spans="1:4" ht="12.75" x14ac:dyDescent="0.2">
      <c r="A651" s="68"/>
      <c r="B651" s="69"/>
      <c r="C651" s="89"/>
      <c r="D651" s="69"/>
    </row>
    <row r="652" spans="1:4" ht="12.75" x14ac:dyDescent="0.2">
      <c r="A652" s="68"/>
      <c r="B652" s="69"/>
      <c r="C652" s="89"/>
      <c r="D652" s="69"/>
    </row>
    <row r="653" spans="1:4" ht="12.75" x14ac:dyDescent="0.2">
      <c r="A653" s="68"/>
      <c r="B653" s="69"/>
      <c r="C653" s="89"/>
      <c r="D653" s="69"/>
    </row>
    <row r="654" spans="1:4" ht="12.75" x14ac:dyDescent="0.2">
      <c r="A654" s="68"/>
      <c r="B654" s="69"/>
      <c r="C654" s="89"/>
      <c r="D654" s="69"/>
    </row>
    <row r="655" spans="1:4" ht="12.75" x14ac:dyDescent="0.2">
      <c r="A655" s="68"/>
      <c r="B655" s="69"/>
      <c r="C655" s="89"/>
      <c r="D655" s="69"/>
    </row>
    <row r="656" spans="1:4" ht="12.75" x14ac:dyDescent="0.2">
      <c r="A656" s="68"/>
      <c r="B656" s="69"/>
      <c r="C656" s="89"/>
      <c r="D656" s="69"/>
    </row>
    <row r="657" spans="1:4" ht="12.75" x14ac:dyDescent="0.2">
      <c r="A657" s="68"/>
      <c r="B657" s="69"/>
      <c r="C657" s="89"/>
      <c r="D657" s="69"/>
    </row>
    <row r="658" spans="1:4" ht="12.75" x14ac:dyDescent="0.2">
      <c r="A658" s="68"/>
      <c r="B658" s="69"/>
      <c r="C658" s="89"/>
      <c r="D658" s="69"/>
    </row>
    <row r="659" spans="1:4" ht="12.75" x14ac:dyDescent="0.2">
      <c r="A659" s="68"/>
      <c r="B659" s="69"/>
      <c r="C659" s="89"/>
      <c r="D659" s="69"/>
    </row>
    <row r="660" spans="1:4" ht="12.75" x14ac:dyDescent="0.2">
      <c r="A660" s="68"/>
      <c r="B660" s="69"/>
      <c r="C660" s="89"/>
      <c r="D660" s="69"/>
    </row>
    <row r="661" spans="1:4" ht="12.75" x14ac:dyDescent="0.2">
      <c r="A661" s="68"/>
      <c r="B661" s="69"/>
      <c r="C661" s="89"/>
      <c r="D661" s="69"/>
    </row>
    <row r="662" spans="1:4" ht="12.75" x14ac:dyDescent="0.2">
      <c r="A662" s="68"/>
      <c r="B662" s="69"/>
      <c r="C662" s="89"/>
      <c r="D662" s="69"/>
    </row>
    <row r="663" spans="1:4" ht="12.75" x14ac:dyDescent="0.2">
      <c r="A663" s="68"/>
      <c r="B663" s="69"/>
      <c r="C663" s="89"/>
      <c r="D663" s="69"/>
    </row>
    <row r="664" spans="1:4" ht="12.75" x14ac:dyDescent="0.2">
      <c r="A664" s="68"/>
      <c r="B664" s="69"/>
      <c r="C664" s="89"/>
      <c r="D664" s="69"/>
    </row>
    <row r="665" spans="1:4" ht="12.75" x14ac:dyDescent="0.2">
      <c r="A665" s="68"/>
      <c r="B665" s="69"/>
      <c r="C665" s="89"/>
      <c r="D665" s="69"/>
    </row>
    <row r="666" spans="1:4" ht="12.75" x14ac:dyDescent="0.2">
      <c r="A666" s="68"/>
      <c r="B666" s="69"/>
      <c r="C666" s="89"/>
      <c r="D666" s="69"/>
    </row>
    <row r="667" spans="1:4" ht="12.75" x14ac:dyDescent="0.2">
      <c r="A667" s="68"/>
      <c r="B667" s="69"/>
      <c r="C667" s="89"/>
      <c r="D667" s="69"/>
    </row>
    <row r="668" spans="1:4" ht="12.75" x14ac:dyDescent="0.2">
      <c r="A668" s="68"/>
      <c r="B668" s="69"/>
      <c r="C668" s="89"/>
      <c r="D668" s="69"/>
    </row>
    <row r="669" spans="1:4" ht="12.75" x14ac:dyDescent="0.2">
      <c r="A669" s="68"/>
      <c r="B669" s="69"/>
      <c r="C669" s="89"/>
      <c r="D669" s="69"/>
    </row>
    <row r="670" spans="1:4" ht="12.75" x14ac:dyDescent="0.2">
      <c r="A670" s="68"/>
      <c r="B670" s="69"/>
      <c r="C670" s="89"/>
      <c r="D670" s="69"/>
    </row>
    <row r="671" spans="1:4" ht="12.75" x14ac:dyDescent="0.2">
      <c r="A671" s="68"/>
      <c r="B671" s="69"/>
      <c r="C671" s="89"/>
      <c r="D671" s="69"/>
    </row>
    <row r="672" spans="1:4" ht="12.75" x14ac:dyDescent="0.2">
      <c r="A672" s="68"/>
      <c r="B672" s="69"/>
      <c r="C672" s="89"/>
      <c r="D672" s="69"/>
    </row>
    <row r="673" spans="1:4" ht="12.75" x14ac:dyDescent="0.2">
      <c r="A673" s="68"/>
      <c r="B673" s="69"/>
      <c r="C673" s="89"/>
      <c r="D673" s="69"/>
    </row>
    <row r="674" spans="1:4" ht="12.75" x14ac:dyDescent="0.2">
      <c r="A674" s="68"/>
      <c r="B674" s="69"/>
      <c r="C674" s="89"/>
      <c r="D674" s="69"/>
    </row>
    <row r="675" spans="1:4" ht="12.75" x14ac:dyDescent="0.2">
      <c r="A675" s="68"/>
      <c r="B675" s="69"/>
      <c r="C675" s="89"/>
      <c r="D675" s="69"/>
    </row>
    <row r="676" spans="1:4" ht="12.75" x14ac:dyDescent="0.2">
      <c r="A676" s="68"/>
      <c r="B676" s="69"/>
      <c r="C676" s="89"/>
      <c r="D676" s="69"/>
    </row>
    <row r="677" spans="1:4" ht="12.75" x14ac:dyDescent="0.2">
      <c r="A677" s="68"/>
      <c r="B677" s="69"/>
      <c r="C677" s="89"/>
      <c r="D677" s="69"/>
    </row>
    <row r="678" spans="1:4" ht="12.75" x14ac:dyDescent="0.2">
      <c r="A678" s="68"/>
      <c r="B678" s="69"/>
      <c r="C678" s="89"/>
      <c r="D678" s="69"/>
    </row>
    <row r="679" spans="1:4" ht="12.75" x14ac:dyDescent="0.2">
      <c r="A679" s="68"/>
      <c r="B679" s="69"/>
      <c r="C679" s="89"/>
      <c r="D679" s="69"/>
    </row>
    <row r="680" spans="1:4" ht="12.75" x14ac:dyDescent="0.2">
      <c r="A680" s="68"/>
      <c r="B680" s="69"/>
      <c r="C680" s="89"/>
      <c r="D680" s="69"/>
    </row>
    <row r="681" spans="1:4" ht="12.75" x14ac:dyDescent="0.2">
      <c r="A681" s="68"/>
      <c r="B681" s="69"/>
      <c r="C681" s="89"/>
      <c r="D681" s="69"/>
    </row>
    <row r="682" spans="1:4" ht="12.75" x14ac:dyDescent="0.2">
      <c r="A682" s="68"/>
      <c r="B682" s="69"/>
      <c r="C682" s="89"/>
      <c r="D682" s="69"/>
    </row>
    <row r="683" spans="1:4" ht="12.75" x14ac:dyDescent="0.2">
      <c r="A683" s="68"/>
      <c r="B683" s="69"/>
      <c r="C683" s="89"/>
      <c r="D683" s="69"/>
    </row>
    <row r="684" spans="1:4" ht="12.75" x14ac:dyDescent="0.2">
      <c r="A684" s="68"/>
      <c r="B684" s="69"/>
      <c r="C684" s="89"/>
      <c r="D684" s="69"/>
    </row>
    <row r="685" spans="1:4" ht="12.75" x14ac:dyDescent="0.2">
      <c r="A685" s="68"/>
      <c r="B685" s="69"/>
      <c r="C685" s="89"/>
      <c r="D685" s="69"/>
    </row>
    <row r="686" spans="1:4" ht="12.75" x14ac:dyDescent="0.2">
      <c r="A686" s="68"/>
      <c r="B686" s="69"/>
      <c r="C686" s="89"/>
      <c r="D686" s="69"/>
    </row>
    <row r="687" spans="1:4" ht="12.75" x14ac:dyDescent="0.2">
      <c r="A687" s="68"/>
      <c r="B687" s="69"/>
      <c r="C687" s="89"/>
      <c r="D687" s="69"/>
    </row>
    <row r="688" spans="1:4" ht="12.75" x14ac:dyDescent="0.2">
      <c r="A688" s="68"/>
      <c r="B688" s="69"/>
      <c r="C688" s="89"/>
      <c r="D688" s="69"/>
    </row>
    <row r="689" spans="1:4" ht="12.75" x14ac:dyDescent="0.2">
      <c r="A689" s="68"/>
      <c r="B689" s="69"/>
      <c r="C689" s="89"/>
      <c r="D689" s="69"/>
    </row>
    <row r="690" spans="1:4" ht="12.75" x14ac:dyDescent="0.2">
      <c r="A690" s="68"/>
      <c r="B690" s="69"/>
      <c r="C690" s="89"/>
      <c r="D690" s="69"/>
    </row>
    <row r="691" spans="1:4" ht="12.75" x14ac:dyDescent="0.2">
      <c r="A691" s="68"/>
      <c r="B691" s="69"/>
      <c r="C691" s="89"/>
      <c r="D691" s="69"/>
    </row>
    <row r="692" spans="1:4" ht="12.75" x14ac:dyDescent="0.2">
      <c r="A692" s="68"/>
      <c r="B692" s="69"/>
      <c r="C692" s="89"/>
      <c r="D692" s="69"/>
    </row>
    <row r="693" spans="1:4" ht="12.75" x14ac:dyDescent="0.2">
      <c r="A693" s="68"/>
      <c r="B693" s="69"/>
      <c r="C693" s="89"/>
      <c r="D693" s="69"/>
    </row>
    <row r="694" spans="1:4" ht="12.75" x14ac:dyDescent="0.2">
      <c r="A694" s="68"/>
      <c r="B694" s="69"/>
      <c r="C694" s="89"/>
      <c r="D694" s="69"/>
    </row>
    <row r="695" spans="1:4" ht="12.75" x14ac:dyDescent="0.2">
      <c r="A695" s="68"/>
      <c r="B695" s="69"/>
      <c r="C695" s="89"/>
      <c r="D695" s="69"/>
    </row>
    <row r="696" spans="1:4" ht="12.75" x14ac:dyDescent="0.2">
      <c r="A696" s="68"/>
      <c r="B696" s="69"/>
      <c r="C696" s="89"/>
      <c r="D696" s="69"/>
    </row>
    <row r="697" spans="1:4" ht="12.75" x14ac:dyDescent="0.2">
      <c r="A697" s="68"/>
      <c r="B697" s="69"/>
      <c r="C697" s="89"/>
      <c r="D697" s="69"/>
    </row>
    <row r="698" spans="1:4" ht="12.75" x14ac:dyDescent="0.2">
      <c r="A698" s="68"/>
      <c r="B698" s="69"/>
      <c r="C698" s="89"/>
      <c r="D698" s="69"/>
    </row>
    <row r="699" spans="1:4" ht="12.75" x14ac:dyDescent="0.2">
      <c r="A699" s="68"/>
      <c r="B699" s="69"/>
      <c r="C699" s="89"/>
      <c r="D699" s="69"/>
    </row>
    <row r="700" spans="1:4" ht="12.75" x14ac:dyDescent="0.2">
      <c r="A700" s="68"/>
      <c r="B700" s="69"/>
      <c r="C700" s="89"/>
      <c r="D700" s="69"/>
    </row>
    <row r="701" spans="1:4" ht="12.75" x14ac:dyDescent="0.2">
      <c r="A701" s="68"/>
      <c r="B701" s="69"/>
      <c r="C701" s="89"/>
      <c r="D701" s="69"/>
    </row>
    <row r="702" spans="1:4" ht="12.75" x14ac:dyDescent="0.2">
      <c r="A702" s="68"/>
      <c r="B702" s="69"/>
      <c r="C702" s="89"/>
      <c r="D702" s="69"/>
    </row>
    <row r="703" spans="1:4" ht="12.75" x14ac:dyDescent="0.2">
      <c r="A703" s="68"/>
      <c r="B703" s="69"/>
      <c r="C703" s="89"/>
      <c r="D703" s="69"/>
    </row>
    <row r="704" spans="1:4" ht="12.75" x14ac:dyDescent="0.2">
      <c r="A704" s="68"/>
      <c r="B704" s="69"/>
      <c r="C704" s="89"/>
      <c r="D704" s="69"/>
    </row>
    <row r="705" spans="1:4" ht="12.75" x14ac:dyDescent="0.2">
      <c r="A705" s="68"/>
      <c r="B705" s="69"/>
      <c r="C705" s="89"/>
      <c r="D705" s="69"/>
    </row>
    <row r="706" spans="1:4" ht="12.75" x14ac:dyDescent="0.2">
      <c r="A706" s="68"/>
      <c r="B706" s="69"/>
      <c r="C706" s="89"/>
      <c r="D706" s="69"/>
    </row>
    <row r="707" spans="1:4" ht="12.75" x14ac:dyDescent="0.2">
      <c r="A707" s="68"/>
      <c r="B707" s="69"/>
      <c r="C707" s="89"/>
      <c r="D707" s="69"/>
    </row>
    <row r="708" spans="1:4" ht="12.75" x14ac:dyDescent="0.2">
      <c r="A708" s="68"/>
      <c r="B708" s="69"/>
      <c r="C708" s="89"/>
      <c r="D708" s="69"/>
    </row>
    <row r="709" spans="1:4" ht="12.75" x14ac:dyDescent="0.2">
      <c r="A709" s="68"/>
      <c r="B709" s="69"/>
      <c r="C709" s="89"/>
      <c r="D709" s="69"/>
    </row>
    <row r="710" spans="1:4" ht="12.75" x14ac:dyDescent="0.2">
      <c r="A710" s="68"/>
      <c r="B710" s="69"/>
      <c r="C710" s="89"/>
      <c r="D710" s="69"/>
    </row>
    <row r="711" spans="1:4" ht="12.75" x14ac:dyDescent="0.2">
      <c r="A711" s="68"/>
      <c r="B711" s="69"/>
      <c r="C711" s="89"/>
      <c r="D711" s="69"/>
    </row>
    <row r="712" spans="1:4" ht="12.75" x14ac:dyDescent="0.2">
      <c r="A712" s="68"/>
      <c r="B712" s="69"/>
      <c r="C712" s="89"/>
      <c r="D712" s="69"/>
    </row>
    <row r="713" spans="1:4" ht="12.75" x14ac:dyDescent="0.2">
      <c r="A713" s="68"/>
      <c r="B713" s="69"/>
      <c r="C713" s="89"/>
      <c r="D713" s="69"/>
    </row>
    <row r="714" spans="1:4" ht="12.75" x14ac:dyDescent="0.2">
      <c r="A714" s="68"/>
      <c r="B714" s="69"/>
      <c r="C714" s="89"/>
      <c r="D714" s="69"/>
    </row>
    <row r="715" spans="1:4" ht="12.75" x14ac:dyDescent="0.2">
      <c r="A715" s="68"/>
      <c r="B715" s="69"/>
      <c r="C715" s="89"/>
      <c r="D715" s="69"/>
    </row>
    <row r="716" spans="1:4" ht="12.75" x14ac:dyDescent="0.2">
      <c r="A716" s="68"/>
      <c r="B716" s="69"/>
      <c r="C716" s="89"/>
      <c r="D716" s="69"/>
    </row>
    <row r="717" spans="1:4" ht="12.75" x14ac:dyDescent="0.2">
      <c r="A717" s="68"/>
      <c r="B717" s="69"/>
      <c r="C717" s="89"/>
      <c r="D717" s="69"/>
    </row>
    <row r="718" spans="1:4" ht="12.75" x14ac:dyDescent="0.2">
      <c r="A718" s="68"/>
      <c r="B718" s="69"/>
      <c r="C718" s="89"/>
      <c r="D718" s="69"/>
    </row>
    <row r="719" spans="1:4" ht="12.75" x14ac:dyDescent="0.2">
      <c r="A719" s="68"/>
      <c r="B719" s="69"/>
      <c r="C719" s="89"/>
      <c r="D719" s="69"/>
    </row>
    <row r="720" spans="1:4" ht="12.75" x14ac:dyDescent="0.2">
      <c r="A720" s="68"/>
      <c r="B720" s="69"/>
      <c r="C720" s="89"/>
      <c r="D720" s="69"/>
    </row>
    <row r="721" spans="1:4" ht="12.75" x14ac:dyDescent="0.2">
      <c r="A721" s="68"/>
      <c r="B721" s="69"/>
      <c r="C721" s="89"/>
      <c r="D721" s="69"/>
    </row>
    <row r="722" spans="1:4" ht="12.75" x14ac:dyDescent="0.2">
      <c r="A722" s="68"/>
      <c r="B722" s="69"/>
      <c r="C722" s="89"/>
      <c r="D722" s="69"/>
    </row>
    <row r="723" spans="1:4" ht="12.75" x14ac:dyDescent="0.2">
      <c r="A723" s="68"/>
      <c r="B723" s="69"/>
      <c r="C723" s="89"/>
      <c r="D723" s="69"/>
    </row>
    <row r="724" spans="1:4" ht="12.75" x14ac:dyDescent="0.2">
      <c r="A724" s="68"/>
      <c r="B724" s="69"/>
      <c r="C724" s="89"/>
      <c r="D724" s="69"/>
    </row>
    <row r="725" spans="1:4" ht="12.75" x14ac:dyDescent="0.2">
      <c r="A725" s="68"/>
      <c r="B725" s="69"/>
      <c r="C725" s="89"/>
      <c r="D725" s="69"/>
    </row>
    <row r="726" spans="1:4" ht="12.75" x14ac:dyDescent="0.2">
      <c r="A726" s="68"/>
      <c r="B726" s="69"/>
      <c r="C726" s="89"/>
      <c r="D726" s="69"/>
    </row>
    <row r="727" spans="1:4" ht="12.75" x14ac:dyDescent="0.2">
      <c r="A727" s="68"/>
      <c r="B727" s="69"/>
      <c r="C727" s="89"/>
      <c r="D727" s="69"/>
    </row>
    <row r="728" spans="1:4" ht="12.75" x14ac:dyDescent="0.2">
      <c r="A728" s="68"/>
      <c r="B728" s="69"/>
      <c r="C728" s="89"/>
      <c r="D728" s="69"/>
    </row>
    <row r="729" spans="1:4" ht="12.75" x14ac:dyDescent="0.2">
      <c r="A729" s="68"/>
      <c r="B729" s="69"/>
      <c r="C729" s="89"/>
      <c r="D729" s="69"/>
    </row>
    <row r="730" spans="1:4" ht="12.75" x14ac:dyDescent="0.2">
      <c r="A730" s="68"/>
      <c r="B730" s="69"/>
      <c r="C730" s="89"/>
      <c r="D730" s="69"/>
    </row>
    <row r="731" spans="1:4" ht="12.75" x14ac:dyDescent="0.2">
      <c r="A731" s="68"/>
      <c r="B731" s="69"/>
      <c r="C731" s="89"/>
      <c r="D731" s="69"/>
    </row>
    <row r="732" spans="1:4" ht="12.75" x14ac:dyDescent="0.2">
      <c r="A732" s="68"/>
      <c r="B732" s="69"/>
      <c r="C732" s="89"/>
      <c r="D732" s="69"/>
    </row>
    <row r="733" spans="1:4" ht="12.75" x14ac:dyDescent="0.2">
      <c r="A733" s="68"/>
      <c r="B733" s="69"/>
      <c r="C733" s="89"/>
      <c r="D733" s="69"/>
    </row>
    <row r="734" spans="1:4" ht="12.75" x14ac:dyDescent="0.2">
      <c r="A734" s="68"/>
      <c r="B734" s="69"/>
      <c r="C734" s="89"/>
      <c r="D734" s="69"/>
    </row>
    <row r="735" spans="1:4" ht="12.75" x14ac:dyDescent="0.2">
      <c r="A735" s="68"/>
      <c r="B735" s="69"/>
      <c r="C735" s="89"/>
      <c r="D735" s="69"/>
    </row>
    <row r="736" spans="1:4" ht="12.75" x14ac:dyDescent="0.2">
      <c r="A736" s="68"/>
      <c r="B736" s="69"/>
      <c r="C736" s="89"/>
      <c r="D736" s="69"/>
    </row>
    <row r="737" spans="1:4" ht="12.75" x14ac:dyDescent="0.2">
      <c r="A737" s="68"/>
      <c r="B737" s="69"/>
      <c r="C737" s="89"/>
      <c r="D737" s="69"/>
    </row>
    <row r="738" spans="1:4" ht="12.75" x14ac:dyDescent="0.2">
      <c r="A738" s="68"/>
      <c r="B738" s="69"/>
      <c r="C738" s="89"/>
      <c r="D738" s="69"/>
    </row>
    <row r="739" spans="1:4" ht="12.75" x14ac:dyDescent="0.2">
      <c r="A739" s="68"/>
      <c r="B739" s="69"/>
      <c r="C739" s="89"/>
      <c r="D739" s="69"/>
    </row>
    <row r="740" spans="1:4" ht="12.75" x14ac:dyDescent="0.2">
      <c r="A740" s="68"/>
      <c r="B740" s="69"/>
      <c r="C740" s="89"/>
      <c r="D740" s="69"/>
    </row>
    <row r="741" spans="1:4" ht="12.75" x14ac:dyDescent="0.2">
      <c r="A741" s="68"/>
      <c r="B741" s="69"/>
      <c r="C741" s="89"/>
      <c r="D741" s="69"/>
    </row>
    <row r="742" spans="1:4" ht="12.75" x14ac:dyDescent="0.2">
      <c r="A742" s="68"/>
      <c r="B742" s="69"/>
      <c r="C742" s="89"/>
      <c r="D742" s="69"/>
    </row>
    <row r="743" spans="1:4" ht="12.75" x14ac:dyDescent="0.2">
      <c r="A743" s="68"/>
      <c r="B743" s="69"/>
      <c r="C743" s="89"/>
      <c r="D743" s="69"/>
    </row>
    <row r="744" spans="1:4" ht="12.75" x14ac:dyDescent="0.2">
      <c r="A744" s="68"/>
      <c r="B744" s="69"/>
      <c r="C744" s="89"/>
      <c r="D744" s="69"/>
    </row>
    <row r="745" spans="1:4" ht="12.75" x14ac:dyDescent="0.2">
      <c r="A745" s="68"/>
      <c r="B745" s="69"/>
      <c r="C745" s="89"/>
      <c r="D745" s="69"/>
    </row>
    <row r="746" spans="1:4" ht="12.75" x14ac:dyDescent="0.2">
      <c r="A746" s="68"/>
      <c r="B746" s="69"/>
      <c r="C746" s="89"/>
      <c r="D746" s="69"/>
    </row>
    <row r="747" spans="1:4" ht="12.75" x14ac:dyDescent="0.2">
      <c r="A747" s="68"/>
      <c r="B747" s="69"/>
      <c r="C747" s="89"/>
      <c r="D747" s="69"/>
    </row>
    <row r="748" spans="1:4" ht="12.75" x14ac:dyDescent="0.2">
      <c r="A748" s="68"/>
      <c r="B748" s="69"/>
      <c r="C748" s="89"/>
      <c r="D748" s="69"/>
    </row>
    <row r="749" spans="1:4" ht="12.75" x14ac:dyDescent="0.2">
      <c r="A749" s="68"/>
      <c r="B749" s="69"/>
      <c r="C749" s="89"/>
      <c r="D749" s="69"/>
    </row>
    <row r="750" spans="1:4" ht="12.75" x14ac:dyDescent="0.2">
      <c r="A750" s="68"/>
      <c r="B750" s="69"/>
      <c r="C750" s="89"/>
      <c r="D750" s="69"/>
    </row>
    <row r="751" spans="1:4" ht="12.75" x14ac:dyDescent="0.2">
      <c r="A751" s="68"/>
      <c r="B751" s="69"/>
      <c r="C751" s="89"/>
      <c r="D751" s="69"/>
    </row>
    <row r="752" spans="1:4" ht="12.75" x14ac:dyDescent="0.2">
      <c r="A752" s="68"/>
      <c r="B752" s="69"/>
      <c r="C752" s="89"/>
      <c r="D752" s="69"/>
    </row>
    <row r="753" spans="1:4" ht="12.75" x14ac:dyDescent="0.2">
      <c r="A753" s="68"/>
      <c r="B753" s="69"/>
      <c r="C753" s="89"/>
      <c r="D753" s="69"/>
    </row>
    <row r="754" spans="1:4" ht="12.75" x14ac:dyDescent="0.2">
      <c r="A754" s="68"/>
      <c r="B754" s="69"/>
      <c r="C754" s="89"/>
      <c r="D754" s="69"/>
    </row>
    <row r="755" spans="1:4" ht="12.75" x14ac:dyDescent="0.2">
      <c r="A755" s="68"/>
      <c r="B755" s="69"/>
      <c r="C755" s="89"/>
      <c r="D755" s="69"/>
    </row>
    <row r="756" spans="1:4" ht="12.75" x14ac:dyDescent="0.2">
      <c r="A756" s="68"/>
      <c r="B756" s="69"/>
      <c r="C756" s="89"/>
      <c r="D756" s="69"/>
    </row>
    <row r="757" spans="1:4" ht="12.75" x14ac:dyDescent="0.2">
      <c r="A757" s="68"/>
      <c r="B757" s="69"/>
      <c r="C757" s="89"/>
      <c r="D757" s="69"/>
    </row>
    <row r="758" spans="1:4" ht="12.75" x14ac:dyDescent="0.2">
      <c r="A758" s="68"/>
      <c r="B758" s="69"/>
      <c r="C758" s="89"/>
      <c r="D758" s="69"/>
    </row>
    <row r="759" spans="1:4" ht="12.75" x14ac:dyDescent="0.2">
      <c r="A759" s="68"/>
      <c r="B759" s="69"/>
      <c r="C759" s="89"/>
      <c r="D759" s="69"/>
    </row>
    <row r="760" spans="1:4" ht="12.75" x14ac:dyDescent="0.2">
      <c r="A760" s="68"/>
      <c r="B760" s="69"/>
      <c r="C760" s="89"/>
      <c r="D760" s="69"/>
    </row>
    <row r="761" spans="1:4" ht="12.75" x14ac:dyDescent="0.2">
      <c r="A761" s="68"/>
      <c r="B761" s="69"/>
      <c r="C761" s="89"/>
      <c r="D761" s="69"/>
    </row>
    <row r="762" spans="1:4" ht="12.75" x14ac:dyDescent="0.2">
      <c r="A762" s="68"/>
      <c r="B762" s="69"/>
      <c r="C762" s="89"/>
      <c r="D762" s="69"/>
    </row>
    <row r="763" spans="1:4" ht="12.75" x14ac:dyDescent="0.2">
      <c r="A763" s="68"/>
      <c r="B763" s="69"/>
      <c r="C763" s="89"/>
      <c r="D763" s="69"/>
    </row>
    <row r="764" spans="1:4" ht="12.75" x14ac:dyDescent="0.2">
      <c r="A764" s="68"/>
      <c r="B764" s="69"/>
      <c r="C764" s="89"/>
      <c r="D764" s="69"/>
    </row>
    <row r="765" spans="1:4" ht="12.75" x14ac:dyDescent="0.2">
      <c r="A765" s="68"/>
      <c r="B765" s="69"/>
      <c r="C765" s="89"/>
      <c r="D765" s="69"/>
    </row>
    <row r="766" spans="1:4" ht="12.75" x14ac:dyDescent="0.2">
      <c r="A766" s="68"/>
      <c r="B766" s="69"/>
      <c r="C766" s="89"/>
      <c r="D766" s="69"/>
    </row>
    <row r="767" spans="1:4" ht="12.75" x14ac:dyDescent="0.2">
      <c r="A767" s="68"/>
      <c r="B767" s="69"/>
      <c r="C767" s="89"/>
      <c r="D767" s="69"/>
    </row>
    <row r="768" spans="1:4" ht="12.75" x14ac:dyDescent="0.2">
      <c r="A768" s="68"/>
      <c r="B768" s="69"/>
      <c r="C768" s="89"/>
      <c r="D768" s="69"/>
    </row>
    <row r="769" spans="1:4" ht="12.75" x14ac:dyDescent="0.2">
      <c r="A769" s="68"/>
      <c r="B769" s="69"/>
      <c r="C769" s="89"/>
      <c r="D769" s="69"/>
    </row>
    <row r="770" spans="1:4" ht="12.75" x14ac:dyDescent="0.2">
      <c r="A770" s="68"/>
      <c r="B770" s="69"/>
      <c r="C770" s="89"/>
      <c r="D770" s="69"/>
    </row>
    <row r="771" spans="1:4" ht="12.75" x14ac:dyDescent="0.2">
      <c r="A771" s="68"/>
      <c r="B771" s="69"/>
      <c r="C771" s="89"/>
      <c r="D771" s="69"/>
    </row>
    <row r="772" spans="1:4" ht="12.75" x14ac:dyDescent="0.2">
      <c r="A772" s="68"/>
      <c r="B772" s="69"/>
      <c r="C772" s="89"/>
      <c r="D772" s="69"/>
    </row>
    <row r="773" spans="1:4" ht="12.75" x14ac:dyDescent="0.2">
      <c r="A773" s="68"/>
      <c r="B773" s="69"/>
      <c r="C773" s="89"/>
      <c r="D773" s="69"/>
    </row>
    <row r="774" spans="1:4" ht="12.75" x14ac:dyDescent="0.2">
      <c r="A774" s="68"/>
      <c r="B774" s="69"/>
      <c r="C774" s="89"/>
      <c r="D774" s="69"/>
    </row>
    <row r="775" spans="1:4" ht="12.75" x14ac:dyDescent="0.2">
      <c r="A775" s="68"/>
      <c r="B775" s="69"/>
      <c r="C775" s="89"/>
      <c r="D775" s="69"/>
    </row>
    <row r="776" spans="1:4" ht="12.75" x14ac:dyDescent="0.2">
      <c r="A776" s="68"/>
      <c r="B776" s="69"/>
      <c r="C776" s="89"/>
      <c r="D776" s="69"/>
    </row>
    <row r="777" spans="1:4" ht="12.75" x14ac:dyDescent="0.2">
      <c r="A777" s="68"/>
      <c r="B777" s="69"/>
      <c r="C777" s="89"/>
      <c r="D777" s="69"/>
    </row>
    <row r="778" spans="1:4" ht="12.75" x14ac:dyDescent="0.2">
      <c r="A778" s="68"/>
      <c r="B778" s="69"/>
      <c r="C778" s="89"/>
      <c r="D778" s="69"/>
    </row>
    <row r="779" spans="1:4" ht="12.75" x14ac:dyDescent="0.2">
      <c r="A779" s="68"/>
      <c r="B779" s="69"/>
      <c r="C779" s="89"/>
      <c r="D779" s="69"/>
    </row>
    <row r="780" spans="1:4" ht="12.75" x14ac:dyDescent="0.2">
      <c r="A780" s="68"/>
      <c r="B780" s="69"/>
      <c r="C780" s="89"/>
      <c r="D780" s="69"/>
    </row>
    <row r="781" spans="1:4" ht="12.75" x14ac:dyDescent="0.2">
      <c r="A781" s="68"/>
      <c r="B781" s="69"/>
      <c r="C781" s="89"/>
      <c r="D781" s="69"/>
    </row>
    <row r="782" spans="1:4" ht="12.75" x14ac:dyDescent="0.2">
      <c r="A782" s="68"/>
      <c r="B782" s="69"/>
      <c r="C782" s="89"/>
      <c r="D782" s="69"/>
    </row>
    <row r="783" spans="1:4" ht="12.75" x14ac:dyDescent="0.2">
      <c r="A783" s="68"/>
      <c r="B783" s="69"/>
      <c r="C783" s="89"/>
      <c r="D783" s="69"/>
    </row>
    <row r="784" spans="1:4" ht="12.75" x14ac:dyDescent="0.2">
      <c r="A784" s="68"/>
      <c r="B784" s="69"/>
      <c r="C784" s="89"/>
      <c r="D784" s="69"/>
    </row>
    <row r="785" spans="1:4" ht="12.75" x14ac:dyDescent="0.2">
      <c r="A785" s="68"/>
      <c r="B785" s="69"/>
      <c r="C785" s="89"/>
      <c r="D785" s="69"/>
    </row>
    <row r="786" spans="1:4" ht="12.75" x14ac:dyDescent="0.2">
      <c r="A786" s="68"/>
      <c r="B786" s="69"/>
      <c r="C786" s="89"/>
      <c r="D786" s="69"/>
    </row>
    <row r="787" spans="1:4" ht="12.75" x14ac:dyDescent="0.2">
      <c r="A787" s="68"/>
      <c r="B787" s="69"/>
      <c r="C787" s="89"/>
      <c r="D787" s="69"/>
    </row>
    <row r="788" spans="1:4" ht="12.75" x14ac:dyDescent="0.2">
      <c r="A788" s="68"/>
      <c r="B788" s="69"/>
      <c r="C788" s="89"/>
      <c r="D788" s="69"/>
    </row>
    <row r="789" spans="1:4" ht="12.75" x14ac:dyDescent="0.2">
      <c r="A789" s="68"/>
      <c r="B789" s="69"/>
      <c r="C789" s="89"/>
      <c r="D789" s="69"/>
    </row>
    <row r="790" spans="1:4" ht="12.75" x14ac:dyDescent="0.2">
      <c r="A790" s="68"/>
      <c r="B790" s="69"/>
      <c r="C790" s="89"/>
      <c r="D790" s="69"/>
    </row>
    <row r="791" spans="1:4" ht="12.75" x14ac:dyDescent="0.2">
      <c r="A791" s="68"/>
      <c r="B791" s="69"/>
      <c r="C791" s="89"/>
      <c r="D791" s="69"/>
    </row>
    <row r="792" spans="1:4" ht="12.75" x14ac:dyDescent="0.2">
      <c r="A792" s="68"/>
      <c r="B792" s="69"/>
      <c r="C792" s="89"/>
      <c r="D792" s="69"/>
    </row>
    <row r="793" spans="1:4" ht="12.75" x14ac:dyDescent="0.2">
      <c r="A793" s="68"/>
      <c r="B793" s="69"/>
      <c r="C793" s="89"/>
      <c r="D793" s="69"/>
    </row>
    <row r="794" spans="1:4" ht="12.75" x14ac:dyDescent="0.2">
      <c r="A794" s="68"/>
      <c r="B794" s="69"/>
      <c r="C794" s="89"/>
      <c r="D794" s="69"/>
    </row>
    <row r="795" spans="1:4" ht="12.75" x14ac:dyDescent="0.2">
      <c r="A795" s="68"/>
      <c r="B795" s="69"/>
      <c r="C795" s="89"/>
      <c r="D795" s="69"/>
    </row>
    <row r="796" spans="1:4" ht="12.75" x14ac:dyDescent="0.2">
      <c r="A796" s="68"/>
      <c r="B796" s="69"/>
      <c r="C796" s="89"/>
      <c r="D796" s="69"/>
    </row>
    <row r="797" spans="1:4" ht="12.75" x14ac:dyDescent="0.2">
      <c r="A797" s="68"/>
      <c r="B797" s="69"/>
      <c r="C797" s="89"/>
      <c r="D797" s="69"/>
    </row>
    <row r="798" spans="1:4" ht="12.75" x14ac:dyDescent="0.2">
      <c r="A798" s="68"/>
      <c r="B798" s="69"/>
      <c r="C798" s="89"/>
      <c r="D798" s="69"/>
    </row>
    <row r="799" spans="1:4" ht="12.75" x14ac:dyDescent="0.2">
      <c r="A799" s="68"/>
      <c r="B799" s="69"/>
      <c r="C799" s="89"/>
      <c r="D799" s="69"/>
    </row>
    <row r="800" spans="1:4" ht="12.75" x14ac:dyDescent="0.2">
      <c r="A800" s="68"/>
      <c r="B800" s="69"/>
      <c r="C800" s="89"/>
      <c r="D800" s="69"/>
    </row>
    <row r="801" spans="1:4" ht="12.75" x14ac:dyDescent="0.2">
      <c r="A801" s="68"/>
      <c r="B801" s="69"/>
      <c r="C801" s="89"/>
      <c r="D801" s="69"/>
    </row>
    <row r="802" spans="1:4" ht="12.75" x14ac:dyDescent="0.2">
      <c r="A802" s="68"/>
      <c r="B802" s="69"/>
      <c r="C802" s="89"/>
      <c r="D802" s="69"/>
    </row>
    <row r="803" spans="1:4" ht="12.75" x14ac:dyDescent="0.2">
      <c r="A803" s="68"/>
      <c r="B803" s="69"/>
      <c r="C803" s="89"/>
      <c r="D803" s="69"/>
    </row>
    <row r="804" spans="1:4" ht="12.75" x14ac:dyDescent="0.2">
      <c r="A804" s="68"/>
      <c r="B804" s="69"/>
      <c r="C804" s="89"/>
      <c r="D804" s="69"/>
    </row>
    <row r="805" spans="1:4" ht="12.75" x14ac:dyDescent="0.2">
      <c r="A805" s="68"/>
      <c r="B805" s="69"/>
      <c r="C805" s="89"/>
      <c r="D805" s="69"/>
    </row>
    <row r="806" spans="1:4" ht="12.75" x14ac:dyDescent="0.2">
      <c r="A806" s="68"/>
      <c r="B806" s="69"/>
      <c r="C806" s="89"/>
      <c r="D806" s="69"/>
    </row>
    <row r="807" spans="1:4" ht="12.75" x14ac:dyDescent="0.2">
      <c r="A807" s="68"/>
      <c r="B807" s="69"/>
      <c r="C807" s="89"/>
      <c r="D807" s="69"/>
    </row>
    <row r="808" spans="1:4" ht="12.75" x14ac:dyDescent="0.2">
      <c r="A808" s="68"/>
      <c r="B808" s="69"/>
      <c r="C808" s="89"/>
      <c r="D808" s="69"/>
    </row>
    <row r="809" spans="1:4" ht="12.75" x14ac:dyDescent="0.2">
      <c r="A809" s="68"/>
      <c r="B809" s="69"/>
      <c r="C809" s="89"/>
      <c r="D809" s="69"/>
    </row>
    <row r="810" spans="1:4" ht="12.75" x14ac:dyDescent="0.2">
      <c r="A810" s="68"/>
      <c r="B810" s="69"/>
      <c r="C810" s="89"/>
      <c r="D810" s="69"/>
    </row>
    <row r="811" spans="1:4" ht="12.75" x14ac:dyDescent="0.2">
      <c r="A811" s="68"/>
      <c r="B811" s="69"/>
      <c r="C811" s="89"/>
      <c r="D811" s="69"/>
    </row>
    <row r="812" spans="1:4" ht="12.75" x14ac:dyDescent="0.2">
      <c r="A812" s="68"/>
      <c r="B812" s="69"/>
      <c r="C812" s="89"/>
      <c r="D812" s="69"/>
    </row>
    <row r="813" spans="1:4" ht="12.75" x14ac:dyDescent="0.2">
      <c r="A813" s="68"/>
      <c r="B813" s="69"/>
      <c r="C813" s="89"/>
      <c r="D813" s="69"/>
    </row>
    <row r="814" spans="1:4" ht="12.75" x14ac:dyDescent="0.2">
      <c r="A814" s="68"/>
      <c r="B814" s="69"/>
      <c r="C814" s="89"/>
      <c r="D814" s="69"/>
    </row>
    <row r="815" spans="1:4" ht="12.75" x14ac:dyDescent="0.2">
      <c r="A815" s="68"/>
      <c r="B815" s="69"/>
      <c r="C815" s="89"/>
      <c r="D815" s="69"/>
    </row>
    <row r="816" spans="1:4" ht="12.75" x14ac:dyDescent="0.2">
      <c r="A816" s="68"/>
      <c r="B816" s="69"/>
      <c r="C816" s="89"/>
      <c r="D816" s="69"/>
    </row>
    <row r="817" spans="1:4" ht="12.75" x14ac:dyDescent="0.2">
      <c r="A817" s="68"/>
      <c r="B817" s="69"/>
      <c r="C817" s="89"/>
      <c r="D817" s="69"/>
    </row>
    <row r="818" spans="1:4" ht="12.75" x14ac:dyDescent="0.2">
      <c r="A818" s="68"/>
      <c r="B818" s="69"/>
      <c r="C818" s="89"/>
      <c r="D818" s="69"/>
    </row>
    <row r="819" spans="1:4" ht="12.75" x14ac:dyDescent="0.2">
      <c r="A819" s="68"/>
      <c r="B819" s="69"/>
      <c r="C819" s="89"/>
      <c r="D819" s="69"/>
    </row>
    <row r="820" spans="1:4" ht="12.75" x14ac:dyDescent="0.2">
      <c r="A820" s="68"/>
      <c r="B820" s="69"/>
      <c r="C820" s="89"/>
      <c r="D820" s="69"/>
    </row>
    <row r="821" spans="1:4" ht="12.75" x14ac:dyDescent="0.2">
      <c r="A821" s="68"/>
      <c r="B821" s="69"/>
      <c r="C821" s="89"/>
      <c r="D821" s="69"/>
    </row>
    <row r="822" spans="1:4" ht="12.75" x14ac:dyDescent="0.2">
      <c r="A822" s="68"/>
      <c r="B822" s="69"/>
      <c r="C822" s="89"/>
      <c r="D822" s="69"/>
    </row>
    <row r="823" spans="1:4" ht="12.75" x14ac:dyDescent="0.2">
      <c r="A823" s="68"/>
      <c r="B823" s="69"/>
      <c r="C823" s="89"/>
      <c r="D823" s="69"/>
    </row>
    <row r="824" spans="1:4" ht="12.75" x14ac:dyDescent="0.2">
      <c r="A824" s="68"/>
      <c r="B824" s="69"/>
      <c r="C824" s="89"/>
      <c r="D824" s="69"/>
    </row>
    <row r="825" spans="1:4" ht="12.75" x14ac:dyDescent="0.2">
      <c r="A825" s="68"/>
      <c r="B825" s="69"/>
      <c r="C825" s="89"/>
      <c r="D825" s="69"/>
    </row>
    <row r="826" spans="1:4" ht="12.75" x14ac:dyDescent="0.2">
      <c r="A826" s="68"/>
      <c r="B826" s="69"/>
      <c r="C826" s="89"/>
      <c r="D826" s="69"/>
    </row>
    <row r="827" spans="1:4" ht="12.75" x14ac:dyDescent="0.2">
      <c r="A827" s="68"/>
      <c r="B827" s="69"/>
      <c r="C827" s="89"/>
      <c r="D827" s="69"/>
    </row>
    <row r="828" spans="1:4" ht="12.75" x14ac:dyDescent="0.2">
      <c r="A828" s="68"/>
      <c r="B828" s="69"/>
      <c r="C828" s="89"/>
      <c r="D828" s="69"/>
    </row>
    <row r="829" spans="1:4" ht="12.75" x14ac:dyDescent="0.2">
      <c r="A829" s="68"/>
      <c r="B829" s="69"/>
      <c r="C829" s="89"/>
      <c r="D829" s="69"/>
    </row>
    <row r="830" spans="1:4" ht="12.75" x14ac:dyDescent="0.2">
      <c r="A830" s="68"/>
      <c r="B830" s="69"/>
      <c r="C830" s="89"/>
      <c r="D830" s="69"/>
    </row>
    <row r="831" spans="1:4" ht="12.75" x14ac:dyDescent="0.2">
      <c r="A831" s="68"/>
      <c r="B831" s="69"/>
      <c r="C831" s="89"/>
      <c r="D831" s="69"/>
    </row>
    <row r="832" spans="1:4" ht="12.75" x14ac:dyDescent="0.2">
      <c r="A832" s="68"/>
      <c r="B832" s="69"/>
      <c r="C832" s="89"/>
      <c r="D832" s="69"/>
    </row>
    <row r="833" spans="1:4" ht="12.75" x14ac:dyDescent="0.2">
      <c r="A833" s="68"/>
      <c r="B833" s="69"/>
      <c r="C833" s="89"/>
      <c r="D833" s="69"/>
    </row>
    <row r="834" spans="1:4" ht="12.75" x14ac:dyDescent="0.2">
      <c r="A834" s="68"/>
      <c r="B834" s="69"/>
      <c r="C834" s="89"/>
      <c r="D834" s="69"/>
    </row>
    <row r="835" spans="1:4" ht="12.75" x14ac:dyDescent="0.2">
      <c r="A835" s="68"/>
      <c r="B835" s="69"/>
      <c r="C835" s="89"/>
      <c r="D835" s="69"/>
    </row>
    <row r="836" spans="1:4" ht="12.75" x14ac:dyDescent="0.2">
      <c r="A836" s="68"/>
      <c r="B836" s="69"/>
      <c r="C836" s="89"/>
      <c r="D836" s="69"/>
    </row>
    <row r="837" spans="1:4" ht="12.75" x14ac:dyDescent="0.2">
      <c r="A837" s="68"/>
      <c r="B837" s="69"/>
      <c r="C837" s="89"/>
      <c r="D837" s="69"/>
    </row>
    <row r="838" spans="1:4" ht="12.75" x14ac:dyDescent="0.2">
      <c r="A838" s="68"/>
      <c r="B838" s="69"/>
      <c r="C838" s="89"/>
      <c r="D838" s="69"/>
    </row>
    <row r="839" spans="1:4" ht="12.75" x14ac:dyDescent="0.2">
      <c r="A839" s="68"/>
      <c r="B839" s="69"/>
      <c r="C839" s="89"/>
      <c r="D839" s="69"/>
    </row>
    <row r="840" spans="1:4" ht="12.75" x14ac:dyDescent="0.2">
      <c r="A840" s="68"/>
      <c r="B840" s="69"/>
      <c r="C840" s="89"/>
      <c r="D840" s="69"/>
    </row>
    <row r="841" spans="1:4" ht="12.75" x14ac:dyDescent="0.2">
      <c r="A841" s="68"/>
      <c r="B841" s="69"/>
      <c r="C841" s="89"/>
      <c r="D841" s="69"/>
    </row>
    <row r="842" spans="1:4" ht="12.75" x14ac:dyDescent="0.2">
      <c r="A842" s="68"/>
      <c r="B842" s="69"/>
      <c r="C842" s="89"/>
      <c r="D842" s="69"/>
    </row>
    <row r="843" spans="1:4" ht="12.75" x14ac:dyDescent="0.2">
      <c r="A843" s="68"/>
      <c r="B843" s="69"/>
      <c r="C843" s="89"/>
      <c r="D843" s="69"/>
    </row>
    <row r="844" spans="1:4" ht="12.75" x14ac:dyDescent="0.2">
      <c r="A844" s="68"/>
      <c r="B844" s="69"/>
      <c r="C844" s="89"/>
      <c r="D844" s="69"/>
    </row>
    <row r="845" spans="1:4" ht="12.75" x14ac:dyDescent="0.2">
      <c r="A845" s="68"/>
      <c r="B845" s="69"/>
      <c r="C845" s="89"/>
      <c r="D845" s="69"/>
    </row>
    <row r="846" spans="1:4" ht="12.75" x14ac:dyDescent="0.2">
      <c r="A846" s="68"/>
      <c r="B846" s="69"/>
      <c r="C846" s="89"/>
      <c r="D846" s="69"/>
    </row>
    <row r="847" spans="1:4" ht="12.75" x14ac:dyDescent="0.2">
      <c r="A847" s="68"/>
      <c r="B847" s="69"/>
      <c r="C847" s="89"/>
      <c r="D847" s="69"/>
    </row>
    <row r="848" spans="1:4" ht="12.75" x14ac:dyDescent="0.2">
      <c r="A848" s="68"/>
      <c r="B848" s="69"/>
      <c r="C848" s="89"/>
      <c r="D848" s="69"/>
    </row>
    <row r="849" spans="1:4" ht="12.75" x14ac:dyDescent="0.2">
      <c r="A849" s="68"/>
      <c r="B849" s="69"/>
      <c r="C849" s="89"/>
      <c r="D849" s="69"/>
    </row>
    <row r="850" spans="1:4" ht="12.75" x14ac:dyDescent="0.2">
      <c r="A850" s="68"/>
      <c r="B850" s="69"/>
      <c r="C850" s="89"/>
      <c r="D850" s="69"/>
    </row>
    <row r="851" spans="1:4" ht="12.75" x14ac:dyDescent="0.2">
      <c r="A851" s="68"/>
      <c r="B851" s="69"/>
      <c r="C851" s="89"/>
      <c r="D851" s="69"/>
    </row>
    <row r="852" spans="1:4" ht="12.75" x14ac:dyDescent="0.2">
      <c r="A852" s="68"/>
      <c r="B852" s="69"/>
      <c r="C852" s="89"/>
      <c r="D852" s="69"/>
    </row>
    <row r="853" spans="1:4" ht="12.75" x14ac:dyDescent="0.2">
      <c r="A853" s="68"/>
      <c r="B853" s="69"/>
      <c r="C853" s="89"/>
      <c r="D853" s="69"/>
    </row>
    <row r="854" spans="1:4" ht="12.75" x14ac:dyDescent="0.2">
      <c r="A854" s="68"/>
      <c r="B854" s="69"/>
      <c r="C854" s="89"/>
      <c r="D854" s="69"/>
    </row>
    <row r="855" spans="1:4" ht="12.75" x14ac:dyDescent="0.2">
      <c r="A855" s="68"/>
      <c r="B855" s="69"/>
      <c r="C855" s="89"/>
      <c r="D855" s="69"/>
    </row>
    <row r="856" spans="1:4" ht="12.75" x14ac:dyDescent="0.2">
      <c r="A856" s="68"/>
      <c r="B856" s="69"/>
      <c r="C856" s="89"/>
      <c r="D856" s="69"/>
    </row>
    <row r="857" spans="1:4" ht="12.75" x14ac:dyDescent="0.2">
      <c r="A857" s="68"/>
      <c r="B857" s="69"/>
      <c r="C857" s="89"/>
      <c r="D857" s="69"/>
    </row>
    <row r="858" spans="1:4" ht="12.75" x14ac:dyDescent="0.2">
      <c r="A858" s="68"/>
      <c r="B858" s="69"/>
      <c r="C858" s="89"/>
      <c r="D858" s="69"/>
    </row>
    <row r="859" spans="1:4" ht="12.75" x14ac:dyDescent="0.2">
      <c r="A859" s="68"/>
      <c r="B859" s="69"/>
      <c r="C859" s="89"/>
      <c r="D859" s="69"/>
    </row>
    <row r="860" spans="1:4" ht="12.75" x14ac:dyDescent="0.2">
      <c r="A860" s="68"/>
      <c r="B860" s="69"/>
      <c r="C860" s="89"/>
      <c r="D860" s="69"/>
    </row>
    <row r="861" spans="1:4" ht="12.75" x14ac:dyDescent="0.2">
      <c r="A861" s="68"/>
      <c r="B861" s="69"/>
      <c r="C861" s="89"/>
      <c r="D861" s="69"/>
    </row>
    <row r="862" spans="1:4" ht="12.75" x14ac:dyDescent="0.2">
      <c r="A862" s="68"/>
      <c r="B862" s="69"/>
      <c r="C862" s="89"/>
      <c r="D862" s="69"/>
    </row>
    <row r="863" spans="1:4" ht="12.75" x14ac:dyDescent="0.2">
      <c r="A863" s="68"/>
      <c r="B863" s="69"/>
      <c r="C863" s="89"/>
      <c r="D863" s="69"/>
    </row>
    <row r="864" spans="1:4" ht="12.75" x14ac:dyDescent="0.2">
      <c r="A864" s="68"/>
      <c r="B864" s="69"/>
      <c r="C864" s="89"/>
      <c r="D864" s="69"/>
    </row>
    <row r="865" spans="1:4" ht="12.75" x14ac:dyDescent="0.2">
      <c r="A865" s="68"/>
      <c r="B865" s="69"/>
      <c r="C865" s="89"/>
      <c r="D865" s="69"/>
    </row>
    <row r="866" spans="1:4" ht="12.75" x14ac:dyDescent="0.2">
      <c r="A866" s="68"/>
      <c r="B866" s="69"/>
      <c r="C866" s="89"/>
      <c r="D866" s="69"/>
    </row>
    <row r="867" spans="1:4" ht="12.75" x14ac:dyDescent="0.2">
      <c r="A867" s="68"/>
      <c r="B867" s="69"/>
      <c r="C867" s="89"/>
      <c r="D867" s="69"/>
    </row>
    <row r="868" spans="1:4" ht="12.75" x14ac:dyDescent="0.2">
      <c r="A868" s="68"/>
      <c r="B868" s="69"/>
      <c r="C868" s="89"/>
      <c r="D868" s="69"/>
    </row>
    <row r="869" spans="1:4" ht="12.75" x14ac:dyDescent="0.2">
      <c r="A869" s="68"/>
      <c r="B869" s="69"/>
      <c r="C869" s="89"/>
      <c r="D869" s="69"/>
    </row>
    <row r="870" spans="1:4" ht="12.75" x14ac:dyDescent="0.2">
      <c r="A870" s="68"/>
      <c r="B870" s="69"/>
      <c r="C870" s="89"/>
      <c r="D870" s="69"/>
    </row>
    <row r="871" spans="1:4" ht="12.75" x14ac:dyDescent="0.2">
      <c r="A871" s="68"/>
      <c r="B871" s="69"/>
      <c r="C871" s="89"/>
      <c r="D871" s="69"/>
    </row>
    <row r="872" spans="1:4" ht="12.75" x14ac:dyDescent="0.2">
      <c r="A872" s="68"/>
      <c r="B872" s="69"/>
      <c r="C872" s="89"/>
      <c r="D872" s="69"/>
    </row>
    <row r="873" spans="1:4" ht="12.75" x14ac:dyDescent="0.2">
      <c r="A873" s="68"/>
      <c r="B873" s="69"/>
      <c r="C873" s="89"/>
      <c r="D873" s="69"/>
    </row>
    <row r="874" spans="1:4" ht="12.75" x14ac:dyDescent="0.2">
      <c r="A874" s="68"/>
      <c r="B874" s="69"/>
      <c r="C874" s="89"/>
      <c r="D874" s="69"/>
    </row>
    <row r="875" spans="1:4" ht="12.75" x14ac:dyDescent="0.2">
      <c r="A875" s="68"/>
      <c r="B875" s="69"/>
      <c r="C875" s="89"/>
      <c r="D875" s="69"/>
    </row>
    <row r="876" spans="1:4" ht="12.75" x14ac:dyDescent="0.2">
      <c r="A876" s="68"/>
      <c r="B876" s="69"/>
      <c r="C876" s="89"/>
      <c r="D876" s="69"/>
    </row>
    <row r="877" spans="1:4" ht="12.75" x14ac:dyDescent="0.2">
      <c r="A877" s="68"/>
      <c r="B877" s="69"/>
      <c r="C877" s="89"/>
      <c r="D877" s="69"/>
    </row>
    <row r="878" spans="1:4" ht="12.75" x14ac:dyDescent="0.2">
      <c r="A878" s="68"/>
      <c r="B878" s="69"/>
      <c r="C878" s="89"/>
      <c r="D878" s="69"/>
    </row>
    <row r="879" spans="1:4" ht="12.75" x14ac:dyDescent="0.2">
      <c r="A879" s="68"/>
      <c r="B879" s="69"/>
      <c r="C879" s="89"/>
      <c r="D879" s="69"/>
    </row>
    <row r="880" spans="1:4" ht="12.75" x14ac:dyDescent="0.2">
      <c r="A880" s="68"/>
      <c r="B880" s="69"/>
      <c r="C880" s="89"/>
      <c r="D880" s="69"/>
    </row>
    <row r="881" spans="1:4" ht="12.75" x14ac:dyDescent="0.2">
      <c r="A881" s="68"/>
      <c r="B881" s="69"/>
      <c r="C881" s="89"/>
      <c r="D881" s="69"/>
    </row>
    <row r="882" spans="1:4" ht="12.75" x14ac:dyDescent="0.2">
      <c r="A882" s="68"/>
      <c r="B882" s="69"/>
      <c r="C882" s="89"/>
      <c r="D882" s="69"/>
    </row>
    <row r="883" spans="1:4" ht="12.75" x14ac:dyDescent="0.2">
      <c r="A883" s="68"/>
      <c r="B883" s="69"/>
      <c r="C883" s="89"/>
      <c r="D883" s="69"/>
    </row>
    <row r="884" spans="1:4" ht="12.75" x14ac:dyDescent="0.2">
      <c r="A884" s="68"/>
      <c r="B884" s="69"/>
      <c r="C884" s="89"/>
      <c r="D884" s="69"/>
    </row>
    <row r="885" spans="1:4" ht="12.75" x14ac:dyDescent="0.2">
      <c r="A885" s="68"/>
      <c r="B885" s="69"/>
      <c r="C885" s="89"/>
      <c r="D885" s="69"/>
    </row>
    <row r="886" spans="1:4" ht="12.75" x14ac:dyDescent="0.2">
      <c r="A886" s="68"/>
      <c r="B886" s="69"/>
      <c r="C886" s="89"/>
      <c r="D886" s="69"/>
    </row>
    <row r="887" spans="1:4" ht="12.75" x14ac:dyDescent="0.2">
      <c r="A887" s="68"/>
      <c r="B887" s="69"/>
      <c r="C887" s="89"/>
      <c r="D887" s="69"/>
    </row>
    <row r="888" spans="1:4" ht="12.75" x14ac:dyDescent="0.2">
      <c r="A888" s="68"/>
      <c r="B888" s="69"/>
      <c r="C888" s="89"/>
      <c r="D888" s="69"/>
    </row>
    <row r="889" spans="1:4" ht="12.75" x14ac:dyDescent="0.2">
      <c r="A889" s="68"/>
      <c r="B889" s="69"/>
      <c r="C889" s="89"/>
      <c r="D889" s="69"/>
    </row>
    <row r="890" spans="1:4" ht="12.75" x14ac:dyDescent="0.2">
      <c r="A890" s="68"/>
      <c r="B890" s="69"/>
      <c r="C890" s="89"/>
      <c r="D890" s="69"/>
    </row>
    <row r="891" spans="1:4" ht="12.75" x14ac:dyDescent="0.2">
      <c r="A891" s="68"/>
      <c r="B891" s="69"/>
      <c r="C891" s="89"/>
      <c r="D891" s="69"/>
    </row>
    <row r="892" spans="1:4" ht="12.75" x14ac:dyDescent="0.2">
      <c r="A892" s="68"/>
      <c r="B892" s="69"/>
      <c r="C892" s="89"/>
      <c r="D892" s="69"/>
    </row>
    <row r="893" spans="1:4" ht="12.75" x14ac:dyDescent="0.2">
      <c r="A893" s="68"/>
      <c r="B893" s="69"/>
      <c r="C893" s="89"/>
      <c r="D893" s="69"/>
    </row>
    <row r="894" spans="1:4" ht="12.75" x14ac:dyDescent="0.2">
      <c r="A894" s="68"/>
      <c r="B894" s="69"/>
      <c r="C894" s="89"/>
      <c r="D894" s="69"/>
    </row>
    <row r="895" spans="1:4" ht="12.75" x14ac:dyDescent="0.2">
      <c r="A895" s="68"/>
      <c r="B895" s="69"/>
      <c r="C895" s="89"/>
      <c r="D895" s="69"/>
    </row>
    <row r="896" spans="1:4" ht="12.75" x14ac:dyDescent="0.2">
      <c r="A896" s="68"/>
      <c r="B896" s="69"/>
      <c r="C896" s="89"/>
      <c r="D896" s="69"/>
    </row>
    <row r="897" spans="1:4" ht="12.75" x14ac:dyDescent="0.2">
      <c r="A897" s="68"/>
      <c r="B897" s="69"/>
      <c r="C897" s="89"/>
      <c r="D897" s="69"/>
    </row>
    <row r="898" spans="1:4" ht="12.75" x14ac:dyDescent="0.2">
      <c r="A898" s="68"/>
      <c r="B898" s="69"/>
      <c r="C898" s="89"/>
      <c r="D898" s="69"/>
    </row>
    <row r="899" spans="1:4" ht="12.75" x14ac:dyDescent="0.2">
      <c r="A899" s="68"/>
      <c r="B899" s="69"/>
      <c r="C899" s="89"/>
      <c r="D899" s="69"/>
    </row>
    <row r="900" spans="1:4" ht="12.75" x14ac:dyDescent="0.2">
      <c r="A900" s="68"/>
      <c r="B900" s="69"/>
      <c r="C900" s="89"/>
      <c r="D900" s="69"/>
    </row>
    <row r="901" spans="1:4" ht="12.75" x14ac:dyDescent="0.2">
      <c r="A901" s="68"/>
      <c r="B901" s="69"/>
      <c r="C901" s="89"/>
      <c r="D901" s="69"/>
    </row>
    <row r="902" spans="1:4" ht="12.75" x14ac:dyDescent="0.2">
      <c r="A902" s="68"/>
      <c r="B902" s="69"/>
      <c r="C902" s="89"/>
      <c r="D902" s="69"/>
    </row>
    <row r="903" spans="1:4" ht="12.75" x14ac:dyDescent="0.2">
      <c r="A903" s="68"/>
      <c r="B903" s="69"/>
      <c r="C903" s="89"/>
      <c r="D903" s="69"/>
    </row>
    <row r="904" spans="1:4" ht="12.75" x14ac:dyDescent="0.2">
      <c r="A904" s="68"/>
      <c r="B904" s="69"/>
      <c r="C904" s="89"/>
      <c r="D904" s="69"/>
    </row>
    <row r="905" spans="1:4" ht="12.75" x14ac:dyDescent="0.2">
      <c r="A905" s="68"/>
      <c r="B905" s="69"/>
      <c r="C905" s="89"/>
      <c r="D905" s="69"/>
    </row>
    <row r="906" spans="1:4" ht="12.75" x14ac:dyDescent="0.2">
      <c r="A906" s="68"/>
      <c r="B906" s="69"/>
      <c r="C906" s="89"/>
      <c r="D906" s="69"/>
    </row>
    <row r="907" spans="1:4" ht="12.75" x14ac:dyDescent="0.2">
      <c r="A907" s="68"/>
      <c r="B907" s="69"/>
      <c r="C907" s="89"/>
      <c r="D907" s="69"/>
    </row>
    <row r="908" spans="1:4" ht="12.75" x14ac:dyDescent="0.2">
      <c r="A908" s="68"/>
      <c r="B908" s="69"/>
      <c r="C908" s="89"/>
      <c r="D908" s="69"/>
    </row>
    <row r="909" spans="1:4" ht="12.75" x14ac:dyDescent="0.2">
      <c r="A909" s="68"/>
      <c r="B909" s="69"/>
      <c r="C909" s="89"/>
      <c r="D909" s="69"/>
    </row>
    <row r="910" spans="1:4" ht="12.75" x14ac:dyDescent="0.2">
      <c r="A910" s="68"/>
      <c r="B910" s="69"/>
      <c r="C910" s="89"/>
      <c r="D910" s="69"/>
    </row>
    <row r="911" spans="1:4" ht="12.75" x14ac:dyDescent="0.2">
      <c r="A911" s="68"/>
      <c r="B911" s="69"/>
      <c r="C911" s="89"/>
      <c r="D911" s="69"/>
    </row>
    <row r="912" spans="1:4" ht="12.75" x14ac:dyDescent="0.2">
      <c r="A912" s="68"/>
      <c r="B912" s="69"/>
      <c r="C912" s="89"/>
      <c r="D912" s="69"/>
    </row>
    <row r="913" spans="1:4" ht="12.75" x14ac:dyDescent="0.2">
      <c r="A913" s="68"/>
      <c r="B913" s="69"/>
      <c r="C913" s="89"/>
      <c r="D913" s="69"/>
    </row>
    <row r="914" spans="1:4" ht="12.75" x14ac:dyDescent="0.2">
      <c r="A914" s="68"/>
      <c r="B914" s="69"/>
      <c r="C914" s="89"/>
      <c r="D914" s="69"/>
    </row>
    <row r="915" spans="1:4" ht="12.75" x14ac:dyDescent="0.2">
      <c r="A915" s="68"/>
      <c r="B915" s="69"/>
      <c r="C915" s="89"/>
      <c r="D915" s="69"/>
    </row>
    <row r="916" spans="1:4" ht="12.75" x14ac:dyDescent="0.2">
      <c r="A916" s="68"/>
      <c r="B916" s="69"/>
      <c r="C916" s="89"/>
      <c r="D916" s="69"/>
    </row>
    <row r="917" spans="1:4" ht="12.75" x14ac:dyDescent="0.2">
      <c r="A917" s="68"/>
      <c r="B917" s="69"/>
      <c r="C917" s="89"/>
      <c r="D917" s="69"/>
    </row>
    <row r="918" spans="1:4" ht="12.75" x14ac:dyDescent="0.2">
      <c r="A918" s="68"/>
      <c r="B918" s="69"/>
      <c r="C918" s="89"/>
      <c r="D918" s="69"/>
    </row>
    <row r="919" spans="1:4" ht="12.75" x14ac:dyDescent="0.2">
      <c r="A919" s="68"/>
      <c r="B919" s="69"/>
      <c r="C919" s="89"/>
      <c r="D919" s="69"/>
    </row>
    <row r="920" spans="1:4" ht="12.75" x14ac:dyDescent="0.2">
      <c r="A920" s="68"/>
      <c r="B920" s="69"/>
      <c r="C920" s="89"/>
      <c r="D920" s="69"/>
    </row>
    <row r="921" spans="1:4" ht="12.75" x14ac:dyDescent="0.2">
      <c r="A921" s="68"/>
      <c r="B921" s="69"/>
      <c r="C921" s="89"/>
      <c r="D921" s="69"/>
    </row>
    <row r="922" spans="1:4" ht="12.75" x14ac:dyDescent="0.2">
      <c r="A922" s="68"/>
      <c r="B922" s="69"/>
      <c r="C922" s="89"/>
      <c r="D922" s="69"/>
    </row>
    <row r="923" spans="1:4" ht="12.75" x14ac:dyDescent="0.2">
      <c r="A923" s="68"/>
      <c r="B923" s="69"/>
      <c r="C923" s="89"/>
      <c r="D923" s="69"/>
    </row>
    <row r="924" spans="1:4" ht="12.75" x14ac:dyDescent="0.2">
      <c r="A924" s="68"/>
      <c r="B924" s="69"/>
      <c r="C924" s="89"/>
      <c r="D924" s="69"/>
    </row>
    <row r="925" spans="1:4" ht="12.75" x14ac:dyDescent="0.2">
      <c r="A925" s="68"/>
      <c r="B925" s="69"/>
      <c r="C925" s="89"/>
      <c r="D925" s="69"/>
    </row>
    <row r="926" spans="1:4" ht="12.75" x14ac:dyDescent="0.2">
      <c r="A926" s="68"/>
      <c r="B926" s="69"/>
      <c r="C926" s="89"/>
      <c r="D926" s="69"/>
    </row>
    <row r="927" spans="1:4" ht="12.75" x14ac:dyDescent="0.2">
      <c r="A927" s="68"/>
      <c r="B927" s="69"/>
      <c r="C927" s="89"/>
      <c r="D927" s="69"/>
    </row>
    <row r="928" spans="1:4" ht="12.75" x14ac:dyDescent="0.2">
      <c r="A928" s="68"/>
      <c r="B928" s="69"/>
      <c r="C928" s="89"/>
      <c r="D928" s="69"/>
    </row>
    <row r="929" spans="1:4" ht="12.75" x14ac:dyDescent="0.2">
      <c r="A929" s="68"/>
      <c r="B929" s="69"/>
      <c r="C929" s="89"/>
      <c r="D929" s="69"/>
    </row>
    <row r="930" spans="1:4" ht="12.75" x14ac:dyDescent="0.2">
      <c r="A930" s="68"/>
      <c r="B930" s="69"/>
      <c r="C930" s="89"/>
      <c r="D930" s="69"/>
    </row>
    <row r="931" spans="1:4" ht="12.75" x14ac:dyDescent="0.2">
      <c r="A931" s="68"/>
      <c r="B931" s="69"/>
      <c r="C931" s="89"/>
      <c r="D931" s="69"/>
    </row>
    <row r="932" spans="1:4" ht="12.75" x14ac:dyDescent="0.2">
      <c r="A932" s="68"/>
      <c r="B932" s="69"/>
      <c r="C932" s="89"/>
      <c r="D932" s="69"/>
    </row>
    <row r="933" spans="1:4" ht="12.75" x14ac:dyDescent="0.2">
      <c r="A933" s="68"/>
      <c r="B933" s="69"/>
      <c r="C933" s="89"/>
      <c r="D933" s="69"/>
    </row>
    <row r="934" spans="1:4" ht="12.75" x14ac:dyDescent="0.2">
      <c r="A934" s="68"/>
      <c r="B934" s="69"/>
      <c r="C934" s="89"/>
      <c r="D934" s="69"/>
    </row>
    <row r="935" spans="1:4" ht="12.75" x14ac:dyDescent="0.2">
      <c r="A935" s="68"/>
      <c r="B935" s="69"/>
      <c r="C935" s="89"/>
      <c r="D935" s="69"/>
    </row>
    <row r="936" spans="1:4" ht="12.75" x14ac:dyDescent="0.2">
      <c r="A936" s="68"/>
      <c r="B936" s="69"/>
      <c r="C936" s="89"/>
      <c r="D936" s="69"/>
    </row>
    <row r="937" spans="1:4" ht="12.75" x14ac:dyDescent="0.2">
      <c r="A937" s="68"/>
      <c r="B937" s="69"/>
      <c r="C937" s="89"/>
      <c r="D937" s="69"/>
    </row>
    <row r="938" spans="1:4" ht="12.75" x14ac:dyDescent="0.2">
      <c r="A938" s="68"/>
      <c r="B938" s="69"/>
      <c r="C938" s="89"/>
      <c r="D938" s="69"/>
    </row>
    <row r="939" spans="1:4" ht="12.75" x14ac:dyDescent="0.2">
      <c r="A939" s="68"/>
      <c r="B939" s="69"/>
      <c r="C939" s="89"/>
      <c r="D939" s="69"/>
    </row>
    <row r="940" spans="1:4" ht="12.75" x14ac:dyDescent="0.2">
      <c r="A940" s="68"/>
      <c r="B940" s="69"/>
      <c r="C940" s="89"/>
      <c r="D940" s="69"/>
    </row>
    <row r="941" spans="1:4" ht="12.75" x14ac:dyDescent="0.2">
      <c r="A941" s="68"/>
      <c r="B941" s="69"/>
      <c r="C941" s="89"/>
      <c r="D941" s="69"/>
    </row>
    <row r="942" spans="1:4" ht="12.75" x14ac:dyDescent="0.2">
      <c r="A942" s="68"/>
      <c r="B942" s="69"/>
      <c r="C942" s="89"/>
      <c r="D942" s="69"/>
    </row>
    <row r="943" spans="1:4" ht="12.75" x14ac:dyDescent="0.2">
      <c r="A943" s="68"/>
      <c r="B943" s="69"/>
      <c r="C943" s="89"/>
      <c r="D943" s="69"/>
    </row>
    <row r="944" spans="1:4" ht="12.75" x14ac:dyDescent="0.2">
      <c r="A944" s="68"/>
      <c r="B944" s="69"/>
      <c r="C944" s="89"/>
      <c r="D944" s="69"/>
    </row>
    <row r="945" spans="1:4" ht="12.75" x14ac:dyDescent="0.2">
      <c r="A945" s="68"/>
      <c r="B945" s="69"/>
      <c r="C945" s="89"/>
      <c r="D945" s="69"/>
    </row>
    <row r="946" spans="1:4" ht="12.75" x14ac:dyDescent="0.2">
      <c r="A946" s="68"/>
      <c r="B946" s="69"/>
      <c r="C946" s="89"/>
      <c r="D946" s="69"/>
    </row>
    <row r="947" spans="1:4" ht="12.75" x14ac:dyDescent="0.2">
      <c r="A947" s="68"/>
      <c r="B947" s="69"/>
      <c r="C947" s="89"/>
      <c r="D947" s="69"/>
    </row>
    <row r="948" spans="1:4" ht="12.75" x14ac:dyDescent="0.2">
      <c r="A948" s="68"/>
      <c r="B948" s="69"/>
      <c r="C948" s="89"/>
      <c r="D948" s="69"/>
    </row>
    <row r="949" spans="1:4" ht="12.75" x14ac:dyDescent="0.2">
      <c r="A949" s="68"/>
      <c r="B949" s="69"/>
      <c r="C949" s="89"/>
      <c r="D949" s="69"/>
    </row>
    <row r="950" spans="1:4" ht="12.75" x14ac:dyDescent="0.2">
      <c r="A950" s="68"/>
      <c r="B950" s="69"/>
      <c r="C950" s="89"/>
      <c r="D950" s="69"/>
    </row>
    <row r="951" spans="1:4" ht="12.75" x14ac:dyDescent="0.2">
      <c r="A951" s="68"/>
      <c r="B951" s="69"/>
      <c r="C951" s="89"/>
      <c r="D951" s="69"/>
    </row>
    <row r="952" spans="1:4" ht="12.75" x14ac:dyDescent="0.2">
      <c r="A952" s="68"/>
      <c r="B952" s="69"/>
      <c r="C952" s="89"/>
      <c r="D952" s="69"/>
    </row>
    <row r="953" spans="1:4" ht="12.75" x14ac:dyDescent="0.2">
      <c r="A953" s="68"/>
      <c r="B953" s="69"/>
      <c r="C953" s="89"/>
      <c r="D953" s="69"/>
    </row>
    <row r="954" spans="1:4" ht="12.75" x14ac:dyDescent="0.2">
      <c r="A954" s="68"/>
      <c r="B954" s="69"/>
      <c r="C954" s="89"/>
      <c r="D954" s="69"/>
    </row>
    <row r="955" spans="1:4" ht="12.75" x14ac:dyDescent="0.2">
      <c r="A955" s="68"/>
      <c r="B955" s="69"/>
      <c r="C955" s="89"/>
      <c r="D955" s="69"/>
    </row>
    <row r="956" spans="1:4" ht="12.75" x14ac:dyDescent="0.2">
      <c r="A956" s="68"/>
      <c r="B956" s="69"/>
      <c r="C956" s="89"/>
      <c r="D956" s="69"/>
    </row>
    <row r="957" spans="1:4" ht="12.75" x14ac:dyDescent="0.2">
      <c r="A957" s="68"/>
      <c r="B957" s="69"/>
      <c r="C957" s="89"/>
      <c r="D957" s="69"/>
    </row>
    <row r="958" spans="1:4" ht="12.75" x14ac:dyDescent="0.2">
      <c r="A958" s="68"/>
      <c r="B958" s="69"/>
      <c r="C958" s="89"/>
      <c r="D958" s="69"/>
    </row>
    <row r="959" spans="1:4" ht="12.75" x14ac:dyDescent="0.2">
      <c r="A959" s="68"/>
      <c r="B959" s="69"/>
      <c r="C959" s="89"/>
      <c r="D959" s="69"/>
    </row>
    <row r="960" spans="1:4" ht="12.75" x14ac:dyDescent="0.2">
      <c r="A960" s="68"/>
      <c r="B960" s="69"/>
      <c r="C960" s="89"/>
      <c r="D960" s="69"/>
    </row>
    <row r="961" spans="1:4" ht="12.75" x14ac:dyDescent="0.2">
      <c r="A961" s="68"/>
      <c r="B961" s="69"/>
      <c r="C961" s="89"/>
      <c r="D961" s="69"/>
    </row>
    <row r="962" spans="1:4" ht="12.75" x14ac:dyDescent="0.2">
      <c r="A962" s="68"/>
      <c r="B962" s="69"/>
      <c r="C962" s="89"/>
      <c r="D962" s="69"/>
    </row>
    <row r="963" spans="1:4" ht="12.75" x14ac:dyDescent="0.2">
      <c r="A963" s="68"/>
      <c r="B963" s="69"/>
      <c r="C963" s="89"/>
      <c r="D963" s="69"/>
    </row>
    <row r="964" spans="1:4" ht="12.75" x14ac:dyDescent="0.2">
      <c r="A964" s="68"/>
      <c r="B964" s="69"/>
      <c r="C964" s="89"/>
      <c r="D964" s="69"/>
    </row>
    <row r="965" spans="1:4" ht="12.75" x14ac:dyDescent="0.2">
      <c r="A965" s="68"/>
      <c r="B965" s="69"/>
      <c r="C965" s="89"/>
      <c r="D965" s="69"/>
    </row>
    <row r="966" spans="1:4" ht="12.75" x14ac:dyDescent="0.2">
      <c r="A966" s="68"/>
      <c r="B966" s="69"/>
      <c r="C966" s="89"/>
      <c r="D966" s="69"/>
    </row>
    <row r="967" spans="1:4" ht="12.75" x14ac:dyDescent="0.2">
      <c r="A967" s="68"/>
      <c r="B967" s="69"/>
      <c r="C967" s="89"/>
      <c r="D967" s="69"/>
    </row>
    <row r="968" spans="1:4" ht="12.75" x14ac:dyDescent="0.2">
      <c r="A968" s="68"/>
      <c r="B968" s="69"/>
      <c r="C968" s="89"/>
      <c r="D968" s="69"/>
    </row>
    <row r="969" spans="1:4" ht="12.75" x14ac:dyDescent="0.2">
      <c r="A969" s="68"/>
      <c r="B969" s="69"/>
      <c r="C969" s="89"/>
      <c r="D969" s="69"/>
    </row>
    <row r="970" spans="1:4" ht="12.75" x14ac:dyDescent="0.2">
      <c r="A970" s="68"/>
      <c r="B970" s="69"/>
      <c r="C970" s="89"/>
      <c r="D970" s="69"/>
    </row>
    <row r="971" spans="1:4" ht="12.75" x14ac:dyDescent="0.2">
      <c r="A971" s="68"/>
      <c r="B971" s="69"/>
      <c r="C971" s="89"/>
      <c r="D971" s="69"/>
    </row>
    <row r="972" spans="1:4" ht="12.75" x14ac:dyDescent="0.2">
      <c r="A972" s="68"/>
      <c r="B972" s="69"/>
      <c r="C972" s="89"/>
      <c r="D972" s="69"/>
    </row>
    <row r="973" spans="1:4" ht="12.75" x14ac:dyDescent="0.2">
      <c r="A973" s="68"/>
      <c r="B973" s="69"/>
      <c r="C973" s="89"/>
      <c r="D973" s="69"/>
    </row>
    <row r="974" spans="1:4" ht="12.75" x14ac:dyDescent="0.2">
      <c r="A974" s="68"/>
      <c r="B974" s="69"/>
      <c r="C974" s="89"/>
      <c r="D974" s="69"/>
    </row>
  </sheetData>
  <mergeCells count="18">
    <mergeCell ref="A127:D127"/>
    <mergeCell ref="A28:D28"/>
    <mergeCell ref="A54:D54"/>
    <mergeCell ref="A59:D59"/>
    <mergeCell ref="A66:D66"/>
    <mergeCell ref="A71:D71"/>
    <mergeCell ref="A80:D80"/>
    <mergeCell ref="A95:D95"/>
    <mergeCell ref="A24:A26"/>
    <mergeCell ref="C24:C27"/>
    <mergeCell ref="A103:D103"/>
    <mergeCell ref="A105:A106"/>
    <mergeCell ref="A107:A108"/>
    <mergeCell ref="A1:D2"/>
    <mergeCell ref="A3:D3"/>
    <mergeCell ref="A5:D5"/>
    <mergeCell ref="A6:D6"/>
    <mergeCell ref="A7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81"/>
  <sheetViews>
    <sheetView workbookViewId="0">
      <pane ySplit="3" topLeftCell="A4" activePane="bottomLeft" state="frozen"/>
      <selection pane="bottomLeft" activeCell="B5" sqref="B5:B11"/>
    </sheetView>
  </sheetViews>
  <sheetFormatPr defaultColWidth="12.5703125" defaultRowHeight="15.75" customHeight="1" x14ac:dyDescent="0.2"/>
  <cols>
    <col min="2" max="2" width="37.42578125" customWidth="1"/>
    <col min="3" max="3" width="15" customWidth="1"/>
    <col min="4" max="4" width="15.85546875" customWidth="1"/>
  </cols>
  <sheetData>
    <row r="1" spans="1:4" ht="26.25" x14ac:dyDescent="0.2">
      <c r="A1" s="177" t="s">
        <v>392</v>
      </c>
      <c r="B1" s="178"/>
      <c r="C1" s="179"/>
      <c r="D1" s="90">
        <v>46175</v>
      </c>
    </row>
    <row r="2" spans="1:4" ht="18" x14ac:dyDescent="0.2">
      <c r="A2" s="180" t="s">
        <v>393</v>
      </c>
      <c r="B2" s="181"/>
      <c r="C2" s="181"/>
      <c r="D2" s="182"/>
    </row>
    <row r="3" spans="1:4" ht="47.25" x14ac:dyDescent="0.2">
      <c r="A3" s="91" t="s">
        <v>54</v>
      </c>
      <c r="B3" s="92" t="s">
        <v>394</v>
      </c>
      <c r="C3" s="93" t="s">
        <v>395</v>
      </c>
      <c r="D3" s="94" t="s">
        <v>56</v>
      </c>
    </row>
    <row r="4" spans="1:4" ht="20.25" x14ac:dyDescent="0.3">
      <c r="A4" s="67"/>
      <c r="B4" s="95" t="s">
        <v>396</v>
      </c>
      <c r="C4" s="96" t="s">
        <v>397</v>
      </c>
      <c r="D4" s="96" t="s">
        <v>90</v>
      </c>
    </row>
    <row r="5" spans="1:4" ht="12.75" x14ac:dyDescent="0.2">
      <c r="A5" s="173" t="e">
        <f ca="1">_xludf.image("https://lh3.google.com/u/0/d/1Fua1AtYmIxNSL9KWi5jkP6BX2WTX7U0W",1)</f>
        <v>#NAME?</v>
      </c>
      <c r="B5" s="174" t="s">
        <v>398</v>
      </c>
      <c r="C5" s="97">
        <v>180</v>
      </c>
      <c r="D5" s="96">
        <v>210000</v>
      </c>
    </row>
    <row r="6" spans="1:4" ht="12.75" x14ac:dyDescent="0.2">
      <c r="A6" s="155"/>
      <c r="B6" s="155"/>
      <c r="C6" s="97">
        <v>260</v>
      </c>
      <c r="D6" s="96">
        <v>230000</v>
      </c>
    </row>
    <row r="7" spans="1:4" ht="12.75" x14ac:dyDescent="0.2">
      <c r="A7" s="155"/>
      <c r="B7" s="155"/>
      <c r="C7" s="97">
        <v>410</v>
      </c>
      <c r="D7" s="96">
        <v>250000</v>
      </c>
    </row>
    <row r="8" spans="1:4" ht="12.75" x14ac:dyDescent="0.2">
      <c r="A8" s="155"/>
      <c r="B8" s="155"/>
      <c r="C8" s="97">
        <v>560</v>
      </c>
      <c r="D8" s="96">
        <v>280000</v>
      </c>
    </row>
    <row r="9" spans="1:4" ht="12.75" x14ac:dyDescent="0.2">
      <c r="A9" s="155"/>
      <c r="B9" s="155"/>
      <c r="C9" s="97">
        <v>860</v>
      </c>
      <c r="D9" s="96">
        <v>330000</v>
      </c>
    </row>
    <row r="10" spans="1:4" ht="12.75" x14ac:dyDescent="0.2">
      <c r="A10" s="155"/>
      <c r="B10" s="155"/>
      <c r="C10" s="97">
        <v>1160</v>
      </c>
      <c r="D10" s="96">
        <v>380000</v>
      </c>
    </row>
    <row r="11" spans="1:4" ht="12.75" x14ac:dyDescent="0.2">
      <c r="A11" s="156"/>
      <c r="B11" s="156"/>
      <c r="C11" s="97">
        <v>3000</v>
      </c>
      <c r="D11" s="96">
        <v>860000</v>
      </c>
    </row>
    <row r="12" spans="1:4" ht="12.75" x14ac:dyDescent="0.2">
      <c r="A12" s="173" t="e">
        <f ca="1">_xludf.image("https://lh3.google.com/u/0/d/16kxVbRvAet3pkMeYN6kSDeSeTsT1yua6",1)</f>
        <v>#NAME?</v>
      </c>
      <c r="B12" s="174" t="s">
        <v>399</v>
      </c>
      <c r="C12" s="97">
        <v>120</v>
      </c>
      <c r="D12" s="96">
        <v>200000</v>
      </c>
    </row>
    <row r="13" spans="1:4" ht="12.75" x14ac:dyDescent="0.2">
      <c r="A13" s="155"/>
      <c r="B13" s="155"/>
      <c r="C13" s="97">
        <v>240</v>
      </c>
      <c r="D13" s="96">
        <v>220000</v>
      </c>
    </row>
    <row r="14" spans="1:4" ht="12.75" x14ac:dyDescent="0.2">
      <c r="A14" s="155"/>
      <c r="B14" s="155"/>
      <c r="C14" s="97">
        <v>360</v>
      </c>
      <c r="D14" s="96">
        <v>240000</v>
      </c>
    </row>
    <row r="15" spans="1:4" ht="12.75" x14ac:dyDescent="0.2">
      <c r="A15" s="155"/>
      <c r="B15" s="155"/>
      <c r="C15" s="97">
        <v>480</v>
      </c>
      <c r="D15" s="96">
        <v>260000</v>
      </c>
    </row>
    <row r="16" spans="1:4" ht="12.75" x14ac:dyDescent="0.2">
      <c r="A16" s="155"/>
      <c r="B16" s="155"/>
      <c r="C16" s="97">
        <v>600</v>
      </c>
      <c r="D16" s="96">
        <v>280000</v>
      </c>
    </row>
    <row r="17" spans="1:4" ht="12.75" x14ac:dyDescent="0.2">
      <c r="A17" s="155"/>
      <c r="B17" s="155"/>
      <c r="C17" s="97">
        <v>3000</v>
      </c>
      <c r="D17" s="96">
        <v>820000</v>
      </c>
    </row>
    <row r="18" spans="1:4" ht="12.75" x14ac:dyDescent="0.2">
      <c r="A18" s="173" t="e">
        <f ca="1">_xludf.image("https://lh3.google.com/u/0/d/1P-mnqYxrkB_TU8i8StR8SB7gOjiSBkFJ",1)</f>
        <v>#NAME?</v>
      </c>
      <c r="B18" s="174" t="s">
        <v>400</v>
      </c>
      <c r="C18" s="97">
        <v>420</v>
      </c>
      <c r="D18" s="96">
        <v>320000</v>
      </c>
    </row>
    <row r="19" spans="1:4" ht="12.75" x14ac:dyDescent="0.2">
      <c r="A19" s="155"/>
      <c r="B19" s="155"/>
      <c r="C19" s="97">
        <v>540</v>
      </c>
      <c r="D19" s="96">
        <v>360000</v>
      </c>
    </row>
    <row r="20" spans="1:4" ht="12.75" x14ac:dyDescent="0.2">
      <c r="A20" s="155"/>
      <c r="B20" s="155"/>
      <c r="C20" s="97">
        <v>900</v>
      </c>
      <c r="D20" s="96">
        <v>470000</v>
      </c>
    </row>
    <row r="21" spans="1:4" ht="12.75" x14ac:dyDescent="0.2">
      <c r="A21" s="155"/>
      <c r="B21" s="155"/>
      <c r="C21" s="97">
        <v>1100</v>
      </c>
      <c r="D21" s="96">
        <v>540000</v>
      </c>
    </row>
    <row r="22" spans="1:4" ht="12.75" x14ac:dyDescent="0.2">
      <c r="A22" s="155"/>
      <c r="B22" s="155"/>
      <c r="C22" s="97">
        <v>3000</v>
      </c>
      <c r="D22" s="96">
        <v>1470000</v>
      </c>
    </row>
    <row r="23" spans="1:4" ht="12.75" x14ac:dyDescent="0.2">
      <c r="A23" s="173" t="e">
        <f ca="1">_xludf.image("https://lh3.google.com/u/0/d/1dBl_a2WpNj3cx5yyQUUQb87VCok0O5hj",1)</f>
        <v>#NAME?</v>
      </c>
      <c r="B23" s="174" t="s">
        <v>401</v>
      </c>
      <c r="C23" s="97">
        <v>903</v>
      </c>
      <c r="D23" s="96">
        <v>460000</v>
      </c>
    </row>
    <row r="24" spans="1:4" ht="12.75" x14ac:dyDescent="0.2">
      <c r="A24" s="155"/>
      <c r="B24" s="155"/>
      <c r="C24" s="97">
        <v>824</v>
      </c>
      <c r="D24" s="96">
        <v>440000</v>
      </c>
    </row>
    <row r="25" spans="1:4" ht="12.75" x14ac:dyDescent="0.2">
      <c r="A25" s="155"/>
      <c r="B25" s="155"/>
      <c r="C25" s="97">
        <v>764</v>
      </c>
      <c r="D25" s="96">
        <v>420000</v>
      </c>
    </row>
    <row r="26" spans="1:4" ht="12.75" x14ac:dyDescent="0.2">
      <c r="A26" s="155"/>
      <c r="B26" s="155"/>
      <c r="C26" s="97">
        <v>703</v>
      </c>
      <c r="D26" s="96">
        <v>400000</v>
      </c>
    </row>
    <row r="27" spans="1:4" ht="12.75" x14ac:dyDescent="0.2">
      <c r="A27" s="155"/>
      <c r="B27" s="155"/>
      <c r="C27" s="97">
        <v>3000</v>
      </c>
      <c r="D27" s="96">
        <v>1420000</v>
      </c>
    </row>
    <row r="28" spans="1:4" ht="12.75" x14ac:dyDescent="0.2">
      <c r="A28" s="173" t="e">
        <f ca="1">_xludf.image("https://lh3.google.com/u/0/d/1eagoSk2FFyU62C-2cm0jO6YrjeGa9Cqb",1)</f>
        <v>#NAME?</v>
      </c>
      <c r="B28" s="174" t="s">
        <v>402</v>
      </c>
      <c r="C28" s="97">
        <v>477</v>
      </c>
      <c r="D28" s="96">
        <v>350000</v>
      </c>
    </row>
    <row r="29" spans="1:4" ht="12.75" x14ac:dyDescent="0.2">
      <c r="A29" s="155"/>
      <c r="B29" s="155"/>
      <c r="C29" s="97">
        <v>597</v>
      </c>
      <c r="D29" s="96">
        <v>380000</v>
      </c>
    </row>
    <row r="30" spans="1:4" ht="12.75" x14ac:dyDescent="0.2">
      <c r="A30" s="155"/>
      <c r="B30" s="155"/>
      <c r="C30" s="97">
        <v>957</v>
      </c>
      <c r="D30" s="96">
        <v>490000</v>
      </c>
    </row>
    <row r="31" spans="1:4" ht="12.75" x14ac:dyDescent="0.2">
      <c r="A31" s="155"/>
      <c r="B31" s="155"/>
      <c r="C31" s="97">
        <v>3000</v>
      </c>
      <c r="D31" s="96">
        <v>1410000</v>
      </c>
    </row>
    <row r="32" spans="1:4" ht="12.75" x14ac:dyDescent="0.2">
      <c r="A32" s="173" t="e">
        <f ca="1">_xludf.image("https://lh3.google.com/u/0/d/1-abPU6aEx3H5sOyQhjD_g3ll4_o5wjLF",1)</f>
        <v>#NAME?</v>
      </c>
      <c r="B32" s="175" t="s">
        <v>403</v>
      </c>
      <c r="C32" s="97">
        <v>477</v>
      </c>
      <c r="D32" s="96">
        <v>300000</v>
      </c>
    </row>
    <row r="33" spans="1:5" ht="12.75" x14ac:dyDescent="0.2">
      <c r="A33" s="155"/>
      <c r="B33" s="176"/>
      <c r="C33" s="97">
        <v>597</v>
      </c>
      <c r="D33" s="96">
        <v>330000</v>
      </c>
    </row>
    <row r="34" spans="1:5" ht="12.75" x14ac:dyDescent="0.2">
      <c r="A34" s="155"/>
      <c r="B34" s="176"/>
      <c r="C34" s="97">
        <v>957</v>
      </c>
      <c r="D34" s="96">
        <v>420000</v>
      </c>
    </row>
    <row r="35" spans="1:5" ht="12.75" x14ac:dyDescent="0.2">
      <c r="A35" s="155"/>
      <c r="B35" s="176"/>
      <c r="C35" s="97">
        <v>3000</v>
      </c>
      <c r="D35" s="96">
        <v>1190000</v>
      </c>
    </row>
    <row r="36" spans="1:5" ht="12.75" x14ac:dyDescent="0.2">
      <c r="A36" s="156"/>
      <c r="B36" s="167"/>
      <c r="C36" s="97" t="s">
        <v>404</v>
      </c>
      <c r="D36" s="96">
        <v>70000</v>
      </c>
    </row>
    <row r="37" spans="1:5" ht="12.75" x14ac:dyDescent="0.2">
      <c r="A37" s="98"/>
      <c r="B37" s="98"/>
      <c r="C37" s="99"/>
      <c r="D37" s="99"/>
    </row>
    <row r="38" spans="1:5" ht="20.25" x14ac:dyDescent="0.3">
      <c r="A38" s="100"/>
      <c r="B38" s="101" t="s">
        <v>405</v>
      </c>
      <c r="C38" s="102"/>
      <c r="D38" s="102"/>
    </row>
    <row r="39" spans="1:5" ht="12.75" x14ac:dyDescent="0.2">
      <c r="A39" s="81"/>
      <c r="B39" s="103"/>
      <c r="C39" s="104"/>
      <c r="D39" s="105" t="s">
        <v>406</v>
      </c>
    </row>
    <row r="40" spans="1:5" ht="37.5" customHeight="1" x14ac:dyDescent="0.2">
      <c r="A40" s="81" t="e">
        <f ca="1">_xludf.image("https://lh3.google.com/u/0/d/1w7Dqdmpyn5EE-3ZaIheL-Ap5-Jkzqth6",1)</f>
        <v>#NAME?</v>
      </c>
      <c r="B40" s="106" t="s">
        <v>407</v>
      </c>
      <c r="C40" s="107" t="s">
        <v>408</v>
      </c>
      <c r="D40" s="108">
        <v>197000</v>
      </c>
      <c r="E40" s="69"/>
    </row>
    <row r="41" spans="1:5" ht="37.5" customHeight="1" x14ac:dyDescent="0.2">
      <c r="A41" s="81" t="e">
        <f ca="1">_xludf.image("https://lh3.google.com/u/0/d/1jC9ebAM9T7Qcm6ENx0ae8kHMLoPAwemC",1)</f>
        <v>#NAME?</v>
      </c>
      <c r="B41" s="106" t="s">
        <v>409</v>
      </c>
      <c r="C41" s="104"/>
      <c r="D41" s="108">
        <v>120000</v>
      </c>
    </row>
    <row r="42" spans="1:5" ht="37.5" customHeight="1" x14ac:dyDescent="0.2">
      <c r="A42" s="81" t="e">
        <f ca="1">_xludf.image("https://lh3.google.com/u/0/d/1hY84T2JW0rLaIeyW4EX5b_vbl0kWN5cc",1)</f>
        <v>#NAME?</v>
      </c>
      <c r="B42" s="106" t="s">
        <v>410</v>
      </c>
      <c r="C42" s="104"/>
      <c r="D42" s="108">
        <v>122000</v>
      </c>
    </row>
    <row r="43" spans="1:5" ht="37.5" customHeight="1" x14ac:dyDescent="0.2">
      <c r="A43" s="81" t="e">
        <f ca="1">_xludf.image("https://lh3.google.com/u/0/d/1ie6DiUthLVQBeeuSwMvhlQGOWQcBMVB2",1)</f>
        <v>#NAME?</v>
      </c>
      <c r="B43" s="106" t="s">
        <v>411</v>
      </c>
      <c r="C43" s="104"/>
      <c r="D43" s="108">
        <v>130000</v>
      </c>
    </row>
    <row r="44" spans="1:5" ht="37.5" customHeight="1" x14ac:dyDescent="0.2">
      <c r="A44" s="81" t="e">
        <f ca="1">_xludf.image("https://lh3.google.com/u/0/d/14uvH6JwsVTvbzpefZgttRBg6ehO9_pVe",1)</f>
        <v>#NAME?</v>
      </c>
      <c r="B44" s="106" t="s">
        <v>412</v>
      </c>
      <c r="C44" s="104"/>
      <c r="D44" s="108">
        <v>150000</v>
      </c>
    </row>
    <row r="45" spans="1:5" ht="37.5" customHeight="1" x14ac:dyDescent="0.2">
      <c r="A45" s="81" t="e">
        <f ca="1">_xludf.image("https://lh3.google.com/u/0/d/1x59jlMYtSmsQ8svgco2Sq2px5Bi5qVPt",1)</f>
        <v>#NAME?</v>
      </c>
      <c r="B45" s="106" t="s">
        <v>413</v>
      </c>
      <c r="C45" s="104"/>
      <c r="D45" s="108">
        <v>120000</v>
      </c>
    </row>
    <row r="46" spans="1:5" ht="37.5" customHeight="1" x14ac:dyDescent="0.2">
      <c r="A46" s="81" t="e">
        <f ca="1">_xludf.image("https://lh3.google.com/u/0/d/11tWmvQHuoqAw-voKSZRZUOhRx4VY_ZmE",1)</f>
        <v>#NAME?</v>
      </c>
      <c r="B46" s="106" t="s">
        <v>414</v>
      </c>
      <c r="C46" s="104"/>
      <c r="D46" s="108">
        <v>110000</v>
      </c>
    </row>
    <row r="47" spans="1:5" ht="37.5" customHeight="1" x14ac:dyDescent="0.2">
      <c r="A47" s="81" t="e">
        <f ca="1">_xludf.image("https://lh3.google.com/u/0/d/1QM5LiFQN14Bpj1e5bUVHTURrzESLEhDI",1)</f>
        <v>#NAME?</v>
      </c>
      <c r="B47" s="106" t="s">
        <v>415</v>
      </c>
      <c r="C47" s="104"/>
      <c r="D47" s="108">
        <v>90000</v>
      </c>
    </row>
    <row r="48" spans="1:5" ht="37.5" customHeight="1" x14ac:dyDescent="0.2">
      <c r="A48" s="81" t="e">
        <f ca="1">_xludf.image("https://lh3.google.com/u/0/d/1087ELrJhYligPfubDs-l5CP41_b_k2Vt",1)</f>
        <v>#NAME?</v>
      </c>
      <c r="B48" s="106" t="s">
        <v>416</v>
      </c>
      <c r="C48" s="104"/>
      <c r="D48" s="108">
        <v>80000</v>
      </c>
    </row>
    <row r="49" spans="1:5" ht="37.5" customHeight="1" x14ac:dyDescent="0.2">
      <c r="A49" s="81" t="e">
        <f ca="1">_xludf.image("https://lh3.google.com/u/0/d/1PO9-Ti07bVbl1g3do3Pgg8FGsAaVlQZA",1)</f>
        <v>#NAME?</v>
      </c>
      <c r="B49" s="106" t="s">
        <v>417</v>
      </c>
      <c r="C49" s="104"/>
      <c r="D49" s="108">
        <v>417000</v>
      </c>
    </row>
    <row r="50" spans="1:5" ht="37.5" customHeight="1" x14ac:dyDescent="0.2">
      <c r="A50" s="81" t="e">
        <f ca="1">_xludf.image("https://lh3.google.com/u/0/d/1Ae5B1Z2t9zIHHAEsmVMLQ6lJilFURVNM",1)</f>
        <v>#NAME?</v>
      </c>
      <c r="B50" s="106" t="s">
        <v>418</v>
      </c>
      <c r="C50" s="104"/>
      <c r="D50" s="108">
        <v>264000</v>
      </c>
    </row>
    <row r="51" spans="1:5" ht="37.5" customHeight="1" x14ac:dyDescent="0.2">
      <c r="A51" s="81" t="e">
        <f ca="1">_xludf.image("https://lh3.google.com/u/0/d/1tOjwkAKoeUNjc7fd6yFe-apmhQ9IXcCE",1)</f>
        <v>#NAME?</v>
      </c>
      <c r="B51" s="109" t="s">
        <v>419</v>
      </c>
      <c r="C51" s="104"/>
      <c r="D51" s="108">
        <v>180000</v>
      </c>
    </row>
    <row r="52" spans="1:5" ht="56.25" customHeight="1" x14ac:dyDescent="0.2">
      <c r="A52" s="110" t="e">
        <f ca="1">_xludf.image("https://lh3.google.com/u/0/d/1UA0nRZjTPXjYXMdYJkvyIVXgFu9Xwgco",1)</f>
        <v>#NAME?</v>
      </c>
      <c r="B52" s="109" t="s">
        <v>420</v>
      </c>
      <c r="C52" s="104"/>
      <c r="D52" s="108">
        <v>600000</v>
      </c>
    </row>
    <row r="53" spans="1:5" ht="56.25" customHeight="1" x14ac:dyDescent="0.2">
      <c r="A53" s="110" t="e">
        <f ca="1">_xludf.image("https://lh3.google.com/u/0/d/1Jo1Ii5P47FDndKssxkoTbv8qbIx-fIog",1)</f>
        <v>#NAME?</v>
      </c>
      <c r="B53" s="109" t="s">
        <v>421</v>
      </c>
      <c r="C53" s="104"/>
      <c r="D53" s="108">
        <v>600000</v>
      </c>
    </row>
    <row r="54" spans="1:5" ht="37.5" customHeight="1" x14ac:dyDescent="0.2">
      <c r="A54" s="110" t="e">
        <f ca="1">_xludf.image("https://lh3.google.com/u/0/d/1i_X09c7x_F-9ex4brvk8U7wJPSnHUt5i",1)</f>
        <v>#NAME?</v>
      </c>
      <c r="B54" s="109" t="s">
        <v>422</v>
      </c>
      <c r="C54" s="104"/>
      <c r="D54" s="108">
        <v>225000</v>
      </c>
    </row>
    <row r="55" spans="1:5" ht="37.5" customHeight="1" x14ac:dyDescent="0.2">
      <c r="A55" s="110" t="e">
        <f ca="1">_xludf.image("https://lh3.google.com/u/0/d/1kMnfD8ObzKbk_Dki0pHzUwcD4V384nRu",1)</f>
        <v>#NAME?</v>
      </c>
      <c r="B55" s="109" t="s">
        <v>423</v>
      </c>
      <c r="C55" s="104"/>
      <c r="D55" s="108">
        <v>97000</v>
      </c>
    </row>
    <row r="56" spans="1:5" ht="37.5" customHeight="1" x14ac:dyDescent="0.2">
      <c r="A56" s="110" t="e">
        <f ca="1">_xludf.image("https://lh3.google.com/u/0/d/1DgEbve32bbCfnMuGJLiIhNqBjshzN7cf",1)</f>
        <v>#NAME?</v>
      </c>
      <c r="B56" s="109" t="s">
        <v>424</v>
      </c>
      <c r="C56" s="104"/>
      <c r="D56" s="108">
        <v>529000</v>
      </c>
    </row>
    <row r="57" spans="1:5" ht="37.5" customHeight="1" x14ac:dyDescent="0.2">
      <c r="A57" s="110" t="e">
        <f ca="1">_xludf.image("https://lh3.google.com/u/0/d/180htBhh7aXnJ9HOYwQtfQQTsSlc8eWyA",1)</f>
        <v>#NAME?</v>
      </c>
      <c r="B57" s="109" t="s">
        <v>425</v>
      </c>
      <c r="C57" s="104"/>
      <c r="D57" s="108">
        <v>616000</v>
      </c>
    </row>
    <row r="58" spans="1:5" ht="37.5" customHeight="1" x14ac:dyDescent="0.2">
      <c r="A58" s="110" t="e">
        <f ca="1">_xludf.image("https://lh3.google.com/u/0/d/1ZPXIpuP_DbvOtKBB3A1ArYkddYaDJipV",1)</f>
        <v>#NAME?</v>
      </c>
      <c r="B58" s="109" t="s">
        <v>426</v>
      </c>
      <c r="C58" s="104"/>
      <c r="D58" s="108">
        <v>95000</v>
      </c>
    </row>
    <row r="59" spans="1:5" ht="37.5" customHeight="1" x14ac:dyDescent="0.2">
      <c r="A59" s="110" t="e">
        <f ca="1">_xludf.image("https://lh3.google.com/u/0/d/1_tTczdnEnDyLdc61NCGqDna7sfsyFAAv",1)</f>
        <v>#NAME?</v>
      </c>
      <c r="B59" s="109" t="s">
        <v>427</v>
      </c>
      <c r="C59" s="104"/>
      <c r="D59" s="108">
        <v>135000</v>
      </c>
    </row>
    <row r="60" spans="1:5" ht="37.5" customHeight="1" x14ac:dyDescent="0.2">
      <c r="A60" s="110" t="e">
        <f ca="1">_xludf.image("https://lh3.google.com/u/0/d/15TnW1tgjGl-fniH_qhirO17_18wk2UwO",1)</f>
        <v>#NAME?</v>
      </c>
      <c r="B60" s="109" t="s">
        <v>428</v>
      </c>
      <c r="C60" s="104"/>
      <c r="D60" s="108">
        <v>121000</v>
      </c>
    </row>
    <row r="61" spans="1:5" ht="37.5" customHeight="1" x14ac:dyDescent="0.2">
      <c r="A61" s="110" t="e">
        <f ca="1">_xludf.image("https://lh3.google.com/u/0/d/1i1kVzOD37TV1a_ZCorDDmd83M74sxgDk",1)</f>
        <v>#NAME?</v>
      </c>
      <c r="B61" s="109" t="s">
        <v>429</v>
      </c>
      <c r="C61" s="104"/>
      <c r="D61" s="108">
        <v>248000</v>
      </c>
    </row>
    <row r="62" spans="1:5" ht="37.5" customHeight="1" x14ac:dyDescent="0.2">
      <c r="A62" s="110" t="e">
        <f ca="1">_xludf.image("https://lh3.google.com/u/0/d/1KRxv8zW_zeImAiaWdVdi-HjuoPfxOSrL",1)</f>
        <v>#NAME?</v>
      </c>
      <c r="B62" s="109" t="s">
        <v>430</v>
      </c>
      <c r="C62" s="104"/>
      <c r="D62" s="108">
        <v>37000</v>
      </c>
    </row>
    <row r="63" spans="1:5" ht="20.25" x14ac:dyDescent="0.3">
      <c r="A63" s="111"/>
      <c r="B63" s="112" t="s">
        <v>431</v>
      </c>
      <c r="C63" s="113" t="s">
        <v>432</v>
      </c>
      <c r="D63" s="114"/>
      <c r="E63" s="25"/>
    </row>
    <row r="64" spans="1:5" ht="37.5" customHeight="1" x14ac:dyDescent="0.2">
      <c r="A64" s="110" t="e">
        <f ca="1">_xludf.image("https://lh3.google.com/u/0/d/13HwZ0QlHbzCIYv2QEjpchlrRSvugL0Rl",1)</f>
        <v>#NAME?</v>
      </c>
      <c r="B64" s="109" t="s">
        <v>433</v>
      </c>
      <c r="C64" s="104"/>
      <c r="D64" s="108">
        <v>591000</v>
      </c>
      <c r="E64" s="25"/>
    </row>
    <row r="65" spans="1:5" ht="37.5" customHeight="1" x14ac:dyDescent="0.2">
      <c r="A65" s="110" t="e">
        <f ca="1">_xludf.image("https://lh3.google.com/u/0/d/13P_6YfGFds19x-ng5mOf616JXRjRx7aa",1)</f>
        <v>#NAME?</v>
      </c>
      <c r="B65" s="109" t="s">
        <v>434</v>
      </c>
      <c r="C65" s="104"/>
      <c r="D65" s="108">
        <v>350000</v>
      </c>
      <c r="E65" s="25"/>
    </row>
    <row r="66" spans="1:5" ht="37.5" customHeight="1" x14ac:dyDescent="0.2">
      <c r="A66" s="110" t="e">
        <f ca="1">_xludf.image("https://lh3.google.com/u/0/d/1wTs8IXz3GaL3Ia1kBdBVFR_5hB2XDsQB",1)</f>
        <v>#NAME?</v>
      </c>
      <c r="B66" s="109" t="s">
        <v>435</v>
      </c>
      <c r="C66" s="104"/>
      <c r="D66" s="108">
        <v>253000</v>
      </c>
      <c r="E66" s="25"/>
    </row>
    <row r="67" spans="1:5" ht="37.5" customHeight="1" x14ac:dyDescent="0.2">
      <c r="A67" s="110" t="e">
        <f ca="1">_xludf.image("https://lh3.google.com/u/0/d/1nYtC_E5WhE57NUhQOGPRuUrXcedHNKPS",1)</f>
        <v>#NAME?</v>
      </c>
      <c r="B67" s="109" t="s">
        <v>436</v>
      </c>
      <c r="C67" s="104"/>
      <c r="D67" s="108">
        <v>432000</v>
      </c>
      <c r="E67" s="25"/>
    </row>
    <row r="68" spans="1:5" ht="37.5" customHeight="1" x14ac:dyDescent="0.2">
      <c r="A68" s="110" t="e">
        <f ca="1">_xludf.image("https://lh3.google.com/u/0/d/1htk6Al3ua6KmC9O47DqpERxraKL4zVcd",1)</f>
        <v>#NAME?</v>
      </c>
      <c r="B68" s="109" t="s">
        <v>437</v>
      </c>
      <c r="C68" s="104"/>
      <c r="D68" s="108">
        <v>388000</v>
      </c>
      <c r="E68" s="25"/>
    </row>
    <row r="69" spans="1:5" ht="37.5" customHeight="1" x14ac:dyDescent="0.2">
      <c r="A69" s="110" t="e">
        <f ca="1">_xludf.image("https://lh3.google.com/u/0/d/11AMBIQOnhE1aLVYIrdfimpFvtuhBiyMd",1)</f>
        <v>#NAME?</v>
      </c>
      <c r="B69" s="109" t="s">
        <v>438</v>
      </c>
      <c r="C69" s="104"/>
      <c r="D69" s="108">
        <v>379000</v>
      </c>
      <c r="E69" s="25"/>
    </row>
    <row r="70" spans="1:5" ht="37.5" customHeight="1" x14ac:dyDescent="0.2">
      <c r="A70" s="110" t="e">
        <f ca="1">_xludf.image("https://lh3.google.com/u/0/d/19Q829KVlC3f-AlPj6h7DxkS4IU-KeX4T",1)</f>
        <v>#NAME?</v>
      </c>
      <c r="B70" s="109" t="s">
        <v>439</v>
      </c>
      <c r="C70" s="104"/>
      <c r="D70" s="108">
        <v>424000</v>
      </c>
      <c r="E70" s="25"/>
    </row>
    <row r="71" spans="1:5" ht="37.5" customHeight="1" x14ac:dyDescent="0.2">
      <c r="A71" s="110" t="e">
        <f ca="1">_xludf.image("https://lh3.google.com/u/0/d/1mAiVnSM8GkP1V7zChYsusivJgdhRLOna",1)</f>
        <v>#NAME?</v>
      </c>
      <c r="B71" s="109" t="s">
        <v>440</v>
      </c>
      <c r="C71" s="104"/>
      <c r="D71" s="108">
        <v>187000</v>
      </c>
      <c r="E71" s="25"/>
    </row>
    <row r="72" spans="1:5" ht="37.5" customHeight="1" x14ac:dyDescent="0.2">
      <c r="A72" s="110" t="e">
        <f ca="1">_xludf.image("https://lh3.google.com/u/0/d/16eOuKZvDc5qJsPJJ4kvbt-FPb08BddV7",1)</f>
        <v>#NAME?</v>
      </c>
      <c r="B72" s="109" t="s">
        <v>441</v>
      </c>
      <c r="C72" s="104"/>
      <c r="D72" s="108">
        <v>20000</v>
      </c>
      <c r="E72" s="25"/>
    </row>
    <row r="73" spans="1:5" ht="37.5" customHeight="1" x14ac:dyDescent="0.2">
      <c r="A73" s="110" t="e">
        <f ca="1">_xludf.image("https://lh3.google.com/u/0/d/1HUbj5e7EBDSlbnMGy_6IcY8kK4gK86X3",1)</f>
        <v>#NAME?</v>
      </c>
      <c r="B73" s="109" t="s">
        <v>442</v>
      </c>
      <c r="C73" s="104"/>
      <c r="D73" s="108">
        <v>107000</v>
      </c>
      <c r="E73" s="25"/>
    </row>
    <row r="74" spans="1:5" ht="37.5" customHeight="1" x14ac:dyDescent="0.2">
      <c r="A74" s="110" t="e">
        <f ca="1">_xludf.image("https://lh3.google.com/u/0/d/1LuvhXxhBBUMdacbPR4sasMPyoVuaKGkw",1)</f>
        <v>#NAME?</v>
      </c>
      <c r="B74" s="109" t="s">
        <v>443</v>
      </c>
      <c r="C74" s="115" t="s">
        <v>444</v>
      </c>
      <c r="D74" s="108">
        <v>2057000</v>
      </c>
      <c r="E74" s="25"/>
    </row>
    <row r="75" spans="1:5" ht="37.5" customHeight="1" x14ac:dyDescent="0.2">
      <c r="A75" s="110" t="e">
        <f ca="1">_xludf.image("https://lh3.google.com/u/0/d/1FSacK33x3VlGw1FMIJDC16pQAkbWYSL-",1)</f>
        <v>#NAME?</v>
      </c>
      <c r="B75" s="109" t="s">
        <v>445</v>
      </c>
      <c r="C75" s="104"/>
      <c r="D75" s="108">
        <v>281000</v>
      </c>
      <c r="E75" s="25"/>
    </row>
    <row r="76" spans="1:5" ht="37.5" customHeight="1" x14ac:dyDescent="0.2">
      <c r="A76" s="110" t="e">
        <f ca="1">_xludf.image("https://lh3.google.com/u/0/d/1YzUXB3qNu744oQfKtgAz1nsFVsnlPOpy",1)</f>
        <v>#NAME?</v>
      </c>
      <c r="B76" s="109" t="s">
        <v>446</v>
      </c>
      <c r="C76" s="104"/>
      <c r="D76" s="108">
        <v>125000</v>
      </c>
      <c r="E76" s="25"/>
    </row>
    <row r="77" spans="1:5" ht="37.5" customHeight="1" x14ac:dyDescent="0.2">
      <c r="A77" s="110" t="e">
        <f ca="1">_xludf.image("https://lh3.google.com/u/0/d/1l9GJ1moyWQIvMsiJCtvKDqswWZZh6kqV",1)</f>
        <v>#NAME?</v>
      </c>
      <c r="B77" s="109" t="s">
        <v>447</v>
      </c>
      <c r="C77" s="115" t="s">
        <v>444</v>
      </c>
      <c r="D77" s="108">
        <v>197000</v>
      </c>
      <c r="E77" s="25"/>
    </row>
    <row r="78" spans="1:5" ht="37.5" customHeight="1" x14ac:dyDescent="0.2">
      <c r="A78" s="110" t="e">
        <f ca="1">_xludf.image("https://lh3.google.com/u/0/d/1J9pqNG6tN7x_8aWZfnvikiBMXEzSi_v4",1)</f>
        <v>#NAME?</v>
      </c>
      <c r="B78" s="109" t="s">
        <v>448</v>
      </c>
      <c r="C78" s="104"/>
      <c r="D78" s="108">
        <v>173000</v>
      </c>
      <c r="E78" s="25"/>
    </row>
    <row r="79" spans="1:5" ht="37.5" customHeight="1" x14ac:dyDescent="0.2">
      <c r="A79" s="110" t="e">
        <f ca="1">_xludf.image("https://lh3.google.com/u/0/d/1HFtG8Ro5PbuPtEf7Pu2Niv3QbzvLgtNb",1)</f>
        <v>#NAME?</v>
      </c>
      <c r="B79" s="109" t="s">
        <v>449</v>
      </c>
      <c r="C79" s="115" t="s">
        <v>444</v>
      </c>
      <c r="D79" s="108">
        <v>89000</v>
      </c>
      <c r="E79" s="25"/>
    </row>
    <row r="80" spans="1:5" ht="37.5" customHeight="1" x14ac:dyDescent="0.2">
      <c r="A80" s="110" t="e">
        <f ca="1">_xludf.image("https://lh3.google.com/u/0/d/1kfoCF-fP1C_V2WnbaH48YQ4K80YXT77F",1)</f>
        <v>#NAME?</v>
      </c>
      <c r="B80" s="109" t="s">
        <v>450</v>
      </c>
      <c r="C80" s="104"/>
      <c r="D80" s="108">
        <v>447000</v>
      </c>
      <c r="E80" s="25"/>
    </row>
    <row r="81" spans="1:5" ht="37.5" customHeight="1" x14ac:dyDescent="0.2">
      <c r="A81" s="110" t="e">
        <f ca="1">_xludf.image("https://lh3.google.com/u/0/d/1g__BhwlPu9pa3mee8Q4fUkJW0JgdfijC",1)</f>
        <v>#NAME?</v>
      </c>
      <c r="B81" s="109" t="s">
        <v>451</v>
      </c>
      <c r="C81" s="104"/>
      <c r="D81" s="108">
        <v>239000</v>
      </c>
      <c r="E81" s="25"/>
    </row>
    <row r="82" spans="1:5" ht="37.5" customHeight="1" x14ac:dyDescent="0.2">
      <c r="A82" s="110" t="e">
        <f ca="1">_xludf.image("https://lh3.google.com/u/0/d/1pOBl7pJ1YD7mMVog3APuMmqtJzdDJkF9",1)</f>
        <v>#NAME?</v>
      </c>
      <c r="B82" s="109" t="s">
        <v>452</v>
      </c>
      <c r="C82" s="104"/>
      <c r="D82" s="108">
        <v>399000</v>
      </c>
      <c r="E82" s="25"/>
    </row>
    <row r="83" spans="1:5" ht="37.5" customHeight="1" x14ac:dyDescent="0.2">
      <c r="A83" s="110" t="e">
        <f ca="1">_xludf.image("https://lh3.google.com/u/0/d/1PUQ4O1nhxcr7imBUkqiAlHL7vBNOtNJ3",1)</f>
        <v>#NAME?</v>
      </c>
      <c r="B83" s="109" t="s">
        <v>453</v>
      </c>
      <c r="C83" s="104"/>
      <c r="D83" s="108">
        <v>345000</v>
      </c>
      <c r="E83" s="25"/>
    </row>
    <row r="84" spans="1:5" ht="37.5" customHeight="1" x14ac:dyDescent="0.2">
      <c r="A84" s="110" t="e">
        <f ca="1">_xludf.image("https://lh3.google.com/u/0/d/17RqQ9bKpXSvteWO118HeE0KPtbUj6i-l",1)</f>
        <v>#NAME?</v>
      </c>
      <c r="B84" s="109" t="s">
        <v>454</v>
      </c>
      <c r="C84" s="104"/>
      <c r="D84" s="108">
        <v>101000</v>
      </c>
      <c r="E84" s="25"/>
    </row>
    <row r="85" spans="1:5" ht="37.5" customHeight="1" x14ac:dyDescent="0.2">
      <c r="A85" s="110" t="e">
        <f ca="1">_xludf.image("https://lh3.google.com/u/0/d/1RQSKUiwCMNPGGNXvmDyO9iq-DtL--mFg",1)</f>
        <v>#NAME?</v>
      </c>
      <c r="B85" s="109" t="s">
        <v>455</v>
      </c>
      <c r="C85" s="104"/>
      <c r="D85" s="108">
        <v>69000</v>
      </c>
      <c r="E85" s="25"/>
    </row>
    <row r="86" spans="1:5" ht="37.5" customHeight="1" x14ac:dyDescent="0.2">
      <c r="A86" s="110" t="e">
        <f ca="1">_xludf.image("https://lh3.google.com/u/0/d/1lbLQOwEyrfJrPUWguYtSyTOkHi0KJut1",1)</f>
        <v>#NAME?</v>
      </c>
      <c r="B86" s="109" t="s">
        <v>456</v>
      </c>
      <c r="C86" s="115" t="s">
        <v>444</v>
      </c>
      <c r="D86" s="108">
        <v>49000</v>
      </c>
      <c r="E86" s="25"/>
    </row>
    <row r="87" spans="1:5" ht="37.5" customHeight="1" x14ac:dyDescent="0.2">
      <c r="A87" s="110" t="e">
        <f ca="1">_xludf.image("https://lh3.google.com/u/0/d/1Fw2yCnzjUvOFhElJQfOUbdmbXphvk-OJ",1)</f>
        <v>#NAME?</v>
      </c>
      <c r="B87" s="109" t="s">
        <v>457</v>
      </c>
      <c r="C87" s="104"/>
      <c r="D87" s="108">
        <v>185000</v>
      </c>
      <c r="E87" s="25"/>
    </row>
    <row r="88" spans="1:5" ht="37.5" customHeight="1" x14ac:dyDescent="0.2">
      <c r="A88" s="110" t="e">
        <f ca="1">_xludf.image("https://lh3.google.com/u/0/d/1kI41VOvkUSZ31_lHqXrTjH-K_For6U7v",1)</f>
        <v>#NAME?</v>
      </c>
      <c r="B88" s="109" t="s">
        <v>458</v>
      </c>
      <c r="C88" s="115" t="s">
        <v>444</v>
      </c>
      <c r="D88" s="108">
        <v>206000</v>
      </c>
      <c r="E88" s="25"/>
    </row>
    <row r="89" spans="1:5" ht="37.5" customHeight="1" x14ac:dyDescent="0.2">
      <c r="A89" s="110" t="e">
        <f ca="1">_xludf.image("https://lh3.google.com/u/0/d/1Q3DdhQGcxiTMQklKDjgNogDPwxiJ4zEu",1)</f>
        <v>#NAME?</v>
      </c>
      <c r="B89" s="109" t="s">
        <v>459</v>
      </c>
      <c r="C89" s="104"/>
      <c r="D89" s="108">
        <v>409000</v>
      </c>
      <c r="E89" s="25"/>
    </row>
    <row r="90" spans="1:5" ht="37.5" customHeight="1" x14ac:dyDescent="0.2">
      <c r="A90" s="110" t="e">
        <f ca="1">_xludf.image("https://lh3.google.com/u/0/d/1XfMSN_P3cAWGDo2MOI3B56bi_n_8r2Lz",1)</f>
        <v>#NAME?</v>
      </c>
      <c r="B90" s="109" t="s">
        <v>460</v>
      </c>
      <c r="C90" s="104"/>
      <c r="D90" s="108">
        <v>378000</v>
      </c>
      <c r="E90" s="25"/>
    </row>
    <row r="91" spans="1:5" ht="37.5" customHeight="1" x14ac:dyDescent="0.2">
      <c r="A91" s="110" t="e">
        <f ca="1">_xludf.image("https://lh3.google.com/u/0/d/1ZToQqrars2ehPw4a7wPiF1g2EZ232Ljo",1)</f>
        <v>#NAME?</v>
      </c>
      <c r="B91" s="109" t="s">
        <v>461</v>
      </c>
      <c r="C91" s="104"/>
      <c r="D91" s="108">
        <v>241000</v>
      </c>
      <c r="E91" s="25"/>
    </row>
    <row r="92" spans="1:5" ht="37.5" customHeight="1" x14ac:dyDescent="0.2">
      <c r="A92" s="110" t="e">
        <f ca="1">_xludf.image("https://lh3.google.com/u/0/d/152BpqDiVqf_otDxVUuBmddR8ev6lSfTv",1)</f>
        <v>#NAME?</v>
      </c>
      <c r="B92" s="109" t="s">
        <v>462</v>
      </c>
      <c r="C92" s="104"/>
      <c r="D92" s="108">
        <v>90000</v>
      </c>
      <c r="E92" s="25"/>
    </row>
    <row r="93" spans="1:5" ht="37.5" customHeight="1" x14ac:dyDescent="0.2">
      <c r="A93" s="110" t="e">
        <f ca="1">_xludf.image("https://lh3.google.com/u/0/d/1NpRKmGs18X-qVuNaRB3ha62ZXdvl_QPq",1)</f>
        <v>#NAME?</v>
      </c>
      <c r="B93" s="109" t="s">
        <v>463</v>
      </c>
      <c r="C93" s="104"/>
      <c r="D93" s="108">
        <v>251000</v>
      </c>
      <c r="E93" s="116"/>
    </row>
    <row r="94" spans="1:5" ht="37.5" customHeight="1" x14ac:dyDescent="0.2">
      <c r="A94" s="110" t="e">
        <f ca="1">_xludf.image("https://lh3.google.com/u/0/d/10bT7PYQe31ioM6yxdw2WZ3rdLY8s6xrI",1)</f>
        <v>#NAME?</v>
      </c>
      <c r="B94" s="109" t="s">
        <v>464</v>
      </c>
      <c r="C94" s="104"/>
      <c r="D94" s="108">
        <v>321000</v>
      </c>
      <c r="E94" s="116"/>
    </row>
    <row r="95" spans="1:5" ht="37.5" customHeight="1" x14ac:dyDescent="0.2">
      <c r="A95" s="110" t="e">
        <f ca="1">_xludf.image("https://lh3.google.com/u/0/d/1DBcJNAeTA_9KeayGhF-91TC9XAwsekUV",1)</f>
        <v>#NAME?</v>
      </c>
      <c r="B95" s="109" t="s">
        <v>465</v>
      </c>
      <c r="C95" s="104"/>
      <c r="D95" s="108">
        <v>516000</v>
      </c>
      <c r="E95" s="116"/>
    </row>
    <row r="96" spans="1:5" ht="37.5" customHeight="1" x14ac:dyDescent="0.2">
      <c r="A96" s="110" t="e">
        <f ca="1">_xludf.image("https://lh3.google.com/u/0/d/11SBAiNjDwgHZAz6Ebg8IE5FzeMrblG_5",1)</f>
        <v>#NAME?</v>
      </c>
      <c r="B96" s="109" t="s">
        <v>466</v>
      </c>
      <c r="C96" s="104"/>
      <c r="D96" s="108">
        <v>300000</v>
      </c>
      <c r="E96" s="116"/>
    </row>
    <row r="97" spans="1:5" ht="37.5" customHeight="1" x14ac:dyDescent="0.2">
      <c r="A97" s="110" t="e">
        <f t="shared" ref="A97:A98" ca="1" si="0">_xludf.image("https://lh3.google.com/u/0/d/1PgwaC9UhPgHJqxFrbAxf5d3-l0CNVadJ",1)</f>
        <v>#NAME?</v>
      </c>
      <c r="B97" s="109" t="s">
        <v>467</v>
      </c>
      <c r="C97" s="104"/>
      <c r="D97" s="108">
        <v>409000</v>
      </c>
      <c r="E97" s="116"/>
    </row>
    <row r="98" spans="1:5" ht="37.5" customHeight="1" x14ac:dyDescent="0.2">
      <c r="A98" s="110" t="e">
        <f t="shared" ca="1" si="0"/>
        <v>#NAME?</v>
      </c>
      <c r="B98" s="109" t="s">
        <v>468</v>
      </c>
      <c r="C98" s="104"/>
      <c r="D98" s="108">
        <v>368000</v>
      </c>
      <c r="E98" s="116"/>
    </row>
    <row r="99" spans="1:5" ht="37.5" customHeight="1" x14ac:dyDescent="0.2">
      <c r="A99" s="110" t="e">
        <f ca="1">_xludf.image("https://lh3.google.com/u/0/d/1Xq_oakEbpysqmIR2YSJc70duIPpN-ELT",1)</f>
        <v>#NAME?</v>
      </c>
      <c r="B99" s="109" t="s">
        <v>469</v>
      </c>
      <c r="C99" s="104"/>
      <c r="D99" s="108">
        <v>126000</v>
      </c>
      <c r="E99" s="116"/>
    </row>
    <row r="100" spans="1:5" ht="37.5" customHeight="1" x14ac:dyDescent="0.2">
      <c r="A100" s="110" t="e">
        <f ca="1">_xludf.image("https://lh3.google.com/u/0/d/1jaums_8ku52BtR681LMaiiwvVYqyzaGF",1)</f>
        <v>#NAME?</v>
      </c>
      <c r="B100" s="109" t="s">
        <v>470</v>
      </c>
      <c r="C100" s="104"/>
      <c r="D100" s="108">
        <v>1472000</v>
      </c>
      <c r="E100" s="116"/>
    </row>
    <row r="101" spans="1:5" ht="37.5" customHeight="1" x14ac:dyDescent="0.2">
      <c r="A101" s="110" t="e">
        <f ca="1">_xludf.image("https://lh3.google.com/u/0/d/1u51skTYRLzCV945CN7aIjpn9BeCnIpVH",1)</f>
        <v>#NAME?</v>
      </c>
      <c r="B101" s="109" t="s">
        <v>471</v>
      </c>
      <c r="C101" s="104"/>
      <c r="D101" s="108">
        <v>380000</v>
      </c>
      <c r="E101" s="116"/>
    </row>
    <row r="102" spans="1:5" ht="37.5" customHeight="1" x14ac:dyDescent="0.2">
      <c r="A102" s="110" t="e">
        <f ca="1">_xludf.image("https://lh3.google.com/u/0/d/1kvS6-aLiP7u93mh9wEVtO1nW4oPxLBrD",1)</f>
        <v>#NAME?</v>
      </c>
      <c r="B102" s="109" t="s">
        <v>472</v>
      </c>
      <c r="C102" s="104"/>
      <c r="D102" s="108">
        <v>143000</v>
      </c>
      <c r="E102" s="116"/>
    </row>
    <row r="103" spans="1:5" ht="37.5" customHeight="1" x14ac:dyDescent="0.2">
      <c r="A103" s="110" t="e">
        <f ca="1">_xludf.image("https://lh3.google.com/u/0/d/1A1vT-BMnQbW0JYhs_IgrSqJgQ8Vi0VSu",1)</f>
        <v>#NAME?</v>
      </c>
      <c r="B103" s="109" t="s">
        <v>473</v>
      </c>
      <c r="C103" s="104"/>
      <c r="D103" s="108">
        <v>278000</v>
      </c>
      <c r="E103" s="116"/>
    </row>
    <row r="104" spans="1:5" ht="37.5" customHeight="1" x14ac:dyDescent="0.2">
      <c r="A104" s="110" t="e">
        <f ca="1">_xludf.image("https://lh3.google.com/u/0/d/1jKGP7X1ygV1Vl2Ta6P7oAUZ8ruWKHKbS",1)</f>
        <v>#NAME?</v>
      </c>
      <c r="B104" s="109" t="s">
        <v>474</v>
      </c>
      <c r="C104" s="104"/>
      <c r="D104" s="108">
        <v>241000</v>
      </c>
      <c r="E104" s="116"/>
    </row>
    <row r="105" spans="1:5" ht="37.5" customHeight="1" x14ac:dyDescent="0.2">
      <c r="A105" s="110" t="e">
        <f ca="1">_xludf.image("https://lh3.google.com/u/0/d/1hzrZJ4JUxqVk6EsDEtQrQO1n6a0amr9F",1)</f>
        <v>#NAME?</v>
      </c>
      <c r="B105" s="109" t="s">
        <v>475</v>
      </c>
      <c r="C105" s="104"/>
      <c r="D105" s="108">
        <v>159000</v>
      </c>
      <c r="E105" s="116"/>
    </row>
    <row r="106" spans="1:5" ht="37.5" customHeight="1" x14ac:dyDescent="0.2">
      <c r="A106" s="110" t="e">
        <f ca="1">_xludf.image("https://lh3.google.com/u/0/d/1kQhlttzgvTUCkEZRfGk8Uy7JL04qHqJ5",1)</f>
        <v>#NAME?</v>
      </c>
      <c r="B106" s="109" t="s">
        <v>476</v>
      </c>
      <c r="C106" s="104"/>
      <c r="D106" s="108">
        <v>62000</v>
      </c>
      <c r="E106" s="116"/>
    </row>
    <row r="107" spans="1:5" ht="37.5" customHeight="1" x14ac:dyDescent="0.2">
      <c r="A107" s="110" t="e">
        <f ca="1">_xludf.image("https://lh3.google.com/u/0/d/1EIcmoNV9DOUkJGRMimBxehBFExjwU6Vb",1)</f>
        <v>#NAME?</v>
      </c>
      <c r="B107" s="109" t="s">
        <v>477</v>
      </c>
      <c r="C107" s="104"/>
      <c r="D107" s="108">
        <v>27000</v>
      </c>
      <c r="E107" s="116"/>
    </row>
    <row r="108" spans="1:5" ht="37.5" customHeight="1" x14ac:dyDescent="0.2">
      <c r="A108" s="110" t="e">
        <f ca="1">_xludf.image("https://lh3.google.com/u/0/d/17xd4Rdlu0NkCcKTFAiIDiF-4vY3m8TRp",1)</f>
        <v>#NAME?</v>
      </c>
      <c r="B108" s="109" t="s">
        <v>478</v>
      </c>
      <c r="C108" s="104"/>
      <c r="D108" s="108">
        <v>52000</v>
      </c>
      <c r="E108" s="116"/>
    </row>
    <row r="109" spans="1:5" ht="37.5" customHeight="1" x14ac:dyDescent="0.2">
      <c r="A109" s="110" t="e">
        <f ca="1">_xludf.image("https://lh3.google.com/u/0/d/1Ao9P7IrAPmww-uMFb1IDhdaplwykOAKM",1)</f>
        <v>#NAME?</v>
      </c>
      <c r="B109" s="109" t="s">
        <v>479</v>
      </c>
      <c r="C109" s="104"/>
      <c r="D109" s="108">
        <v>55000</v>
      </c>
      <c r="E109" s="116"/>
    </row>
    <row r="110" spans="1:5" ht="37.5" customHeight="1" x14ac:dyDescent="0.2">
      <c r="A110" s="110" t="e">
        <f t="shared" ref="A110:A111" ca="1" si="1">_xludf.image("https://lh3.google.com/u/0/d/1rIY8PItNXFSWj0zt6VJgko9C9v8p2Cpr",1)</f>
        <v>#NAME?</v>
      </c>
      <c r="B110" s="109" t="s">
        <v>480</v>
      </c>
      <c r="C110" s="115" t="s">
        <v>444</v>
      </c>
      <c r="D110" s="108">
        <v>482000</v>
      </c>
      <c r="E110" s="116"/>
    </row>
    <row r="111" spans="1:5" ht="37.5" customHeight="1" x14ac:dyDescent="0.2">
      <c r="A111" s="110" t="e">
        <f t="shared" ca="1" si="1"/>
        <v>#NAME?</v>
      </c>
      <c r="B111" s="109" t="s">
        <v>481</v>
      </c>
      <c r="C111" s="104"/>
      <c r="D111" s="108">
        <v>238000</v>
      </c>
      <c r="E111" s="116"/>
    </row>
    <row r="112" spans="1:5" ht="37.5" customHeight="1" x14ac:dyDescent="0.2">
      <c r="A112" s="110" t="e">
        <f t="shared" ref="A112:A114" ca="1" si="2">_xludf.image("https://lh3.google.com/u/0/d/1t6MbUhSSMTbaLKflI2xCdR92WfBhglVn",1)</f>
        <v>#NAME?</v>
      </c>
      <c r="B112" s="109" t="s">
        <v>482</v>
      </c>
      <c r="C112" s="104"/>
      <c r="D112" s="108">
        <v>739000</v>
      </c>
      <c r="E112" s="116"/>
    </row>
    <row r="113" spans="1:5" ht="37.5" customHeight="1" x14ac:dyDescent="0.2">
      <c r="A113" s="110" t="e">
        <f t="shared" ca="1" si="2"/>
        <v>#NAME?</v>
      </c>
      <c r="B113" s="109" t="s">
        <v>483</v>
      </c>
      <c r="C113" s="104"/>
      <c r="D113" s="108">
        <v>401000</v>
      </c>
      <c r="E113" s="116"/>
    </row>
    <row r="114" spans="1:5" ht="37.5" customHeight="1" x14ac:dyDescent="0.2">
      <c r="A114" s="110" t="e">
        <f t="shared" ca="1" si="2"/>
        <v>#NAME?</v>
      </c>
      <c r="B114" s="109" t="s">
        <v>484</v>
      </c>
      <c r="C114" s="104"/>
      <c r="D114" s="108">
        <v>289000</v>
      </c>
      <c r="E114" s="116"/>
    </row>
    <row r="115" spans="1:5" ht="37.5" customHeight="1" x14ac:dyDescent="0.2">
      <c r="A115" s="110" t="e">
        <f ca="1">_xludf.image("https://lh3.google.com/u/0/d/1GPYYWXmQcC8YI4G9yxEfuqgqqou8rlNi",1)</f>
        <v>#NAME?</v>
      </c>
      <c r="B115" s="109" t="s">
        <v>485</v>
      </c>
      <c r="C115" s="104"/>
      <c r="D115" s="108">
        <v>55000</v>
      </c>
      <c r="E115" s="116"/>
    </row>
    <row r="116" spans="1:5" ht="37.5" customHeight="1" x14ac:dyDescent="0.2">
      <c r="A116" s="110" t="e">
        <f ca="1">_xludf.image("https://lh3.google.com/u/0/d/1yuCMan5ZeLyiHwVO4TITxj1Dte2nF4Ax",1)</f>
        <v>#NAME?</v>
      </c>
      <c r="B116" s="109" t="s">
        <v>486</v>
      </c>
      <c r="C116" s="104"/>
      <c r="D116" s="108">
        <v>337000</v>
      </c>
      <c r="E116" s="116"/>
    </row>
    <row r="117" spans="1:5" ht="37.5" customHeight="1" x14ac:dyDescent="0.2">
      <c r="A117" s="110" t="e">
        <f ca="1">_xludf.image("https://lh3.google.com/u/0/d/1yB5sQycD5TR3tcrl4oyhr-GjkG5NicRQ",1)</f>
        <v>#NAME?</v>
      </c>
      <c r="B117" s="109" t="s">
        <v>487</v>
      </c>
      <c r="C117" s="104"/>
      <c r="D117" s="108">
        <v>272000</v>
      </c>
      <c r="E117" s="116"/>
    </row>
    <row r="118" spans="1:5" ht="37.5" customHeight="1" x14ac:dyDescent="0.2">
      <c r="A118" s="110" t="e">
        <f ca="1">_xludf.image("https://lh3.google.com/u/0/d/1RHHbNdpegVKsjRbV8zhxRSQ_pbPtUsmX",1)</f>
        <v>#NAME?</v>
      </c>
      <c r="B118" s="109" t="s">
        <v>488</v>
      </c>
      <c r="C118" s="104"/>
      <c r="D118" s="108">
        <v>463000</v>
      </c>
      <c r="E118" s="116"/>
    </row>
    <row r="119" spans="1:5" ht="37.5" customHeight="1" x14ac:dyDescent="0.2">
      <c r="A119" s="110" t="e">
        <f ca="1">_xludf.image("https://lh3.google.com/u/0/d/16LSk42zIMlCcwNYczaMKrH2D6pX4B8Sq",1)</f>
        <v>#NAME?</v>
      </c>
      <c r="B119" s="109" t="s">
        <v>489</v>
      </c>
      <c r="C119" s="104"/>
      <c r="D119" s="108">
        <v>62000</v>
      </c>
      <c r="E119" s="116"/>
    </row>
    <row r="120" spans="1:5" ht="37.5" customHeight="1" x14ac:dyDescent="0.2">
      <c r="A120" s="110" t="e">
        <f ca="1">_xludf.image("https://lh3.google.com/u/0/d/1MKwWHCRKRjM7Rj-8qJMItxp7YHa7d1gx",1)</f>
        <v>#NAME?</v>
      </c>
      <c r="B120" s="109" t="s">
        <v>490</v>
      </c>
      <c r="C120" s="104"/>
      <c r="D120" s="108">
        <v>75000</v>
      </c>
      <c r="E120" s="116"/>
    </row>
    <row r="121" spans="1:5" ht="37.5" customHeight="1" x14ac:dyDescent="0.2">
      <c r="A121" s="110" t="e">
        <f t="shared" ref="A121:A122" ca="1" si="3">_xludf.image("https://lh3.google.com/u/0/d/1qvRrs5_hhhDA4W8T-b33nLgnDOSMwlob",1)</f>
        <v>#NAME?</v>
      </c>
      <c r="B121" s="109" t="s">
        <v>491</v>
      </c>
      <c r="C121" s="115" t="s">
        <v>444</v>
      </c>
      <c r="D121" s="108">
        <v>179000</v>
      </c>
      <c r="E121" s="116"/>
    </row>
    <row r="122" spans="1:5" ht="37.5" customHeight="1" x14ac:dyDescent="0.2">
      <c r="A122" s="110" t="e">
        <f t="shared" ca="1" si="3"/>
        <v>#NAME?</v>
      </c>
      <c r="B122" s="109" t="s">
        <v>492</v>
      </c>
      <c r="C122" s="115" t="s">
        <v>444</v>
      </c>
      <c r="D122" s="108">
        <v>179000</v>
      </c>
      <c r="E122" s="116"/>
    </row>
    <row r="123" spans="1:5" ht="37.5" customHeight="1" x14ac:dyDescent="0.2">
      <c r="A123" s="110" t="e">
        <f t="shared" ref="A123:A124" ca="1" si="4">_xludf.image("https://lh3.google.com/u/0/d/1pmn8DLlduKr7kDydXqW17QjesPayabJa",1)</f>
        <v>#NAME?</v>
      </c>
      <c r="B123" s="109" t="s">
        <v>493</v>
      </c>
      <c r="C123" s="104"/>
      <c r="D123" s="108">
        <v>359000</v>
      </c>
      <c r="E123" s="116"/>
    </row>
    <row r="124" spans="1:5" ht="37.5" customHeight="1" x14ac:dyDescent="0.2">
      <c r="A124" s="110" t="e">
        <f t="shared" ca="1" si="4"/>
        <v>#NAME?</v>
      </c>
      <c r="B124" s="109" t="s">
        <v>494</v>
      </c>
      <c r="C124" s="104"/>
      <c r="D124" s="108">
        <v>359000</v>
      </c>
      <c r="E124" s="116"/>
    </row>
    <row r="125" spans="1:5" ht="37.5" customHeight="1" x14ac:dyDescent="0.2">
      <c r="A125" s="110" t="e">
        <f ca="1">_xludf.image("https://lh3.google.com/u/0/d/1ACiFTj-Zhhk_Cf-WudzhlmXOXPlt0eFw",1)</f>
        <v>#NAME?</v>
      </c>
      <c r="B125" s="109" t="s">
        <v>495</v>
      </c>
      <c r="C125" s="104"/>
      <c r="D125" s="108">
        <v>193000</v>
      </c>
      <c r="E125" s="116"/>
    </row>
    <row r="126" spans="1:5" ht="37.5" customHeight="1" x14ac:dyDescent="0.2">
      <c r="A126" s="110" t="e">
        <f ca="1">_xludf.image("https://lh3.google.com/u/0/d/1jZXajq3U6mx8EYe9hVhr7yEuG5Vl6dHA",1)</f>
        <v>#NAME?</v>
      </c>
      <c r="B126" s="109" t="s">
        <v>496</v>
      </c>
      <c r="C126" s="104"/>
      <c r="D126" s="108">
        <v>198000</v>
      </c>
      <c r="E126" s="116"/>
    </row>
    <row r="127" spans="1:5" ht="37.5" customHeight="1" x14ac:dyDescent="0.2">
      <c r="A127" s="110" t="e">
        <f ca="1">_xludf.image("https://lh3.google.com/u/0/d/16NpZIKqG6pTaJF3Pz6pggyfBTTGlv5mC",1)</f>
        <v>#NAME?</v>
      </c>
      <c r="B127" s="109" t="s">
        <v>497</v>
      </c>
      <c r="C127" s="104"/>
      <c r="D127" s="108">
        <v>376000</v>
      </c>
      <c r="E127" s="116"/>
    </row>
    <row r="128" spans="1:5" ht="37.5" customHeight="1" x14ac:dyDescent="0.2">
      <c r="A128" s="110" t="e">
        <f ca="1">_xludf.image("https://lh3.google.com/u/0/d/1OsvPifpPVzy4f5icxD1xLMARrMtKEKAa",1)</f>
        <v>#NAME?</v>
      </c>
      <c r="B128" s="109" t="s">
        <v>498</v>
      </c>
      <c r="C128" s="104"/>
      <c r="D128" s="108">
        <v>573000</v>
      </c>
      <c r="E128" s="116"/>
    </row>
    <row r="129" spans="1:5" ht="37.5" customHeight="1" x14ac:dyDescent="0.2">
      <c r="A129" s="110" t="e">
        <f ca="1">_xludf.image("https://lh3.google.com/u/0/d/1eeAppNPgAO3ijDW02VKrWjQlQNKrASJ7",1)</f>
        <v>#NAME?</v>
      </c>
      <c r="B129" s="109" t="s">
        <v>499</v>
      </c>
      <c r="C129" s="115" t="s">
        <v>444</v>
      </c>
      <c r="D129" s="108">
        <v>372000</v>
      </c>
      <c r="E129" s="116"/>
    </row>
    <row r="130" spans="1:5" ht="37.5" customHeight="1" x14ac:dyDescent="0.2">
      <c r="A130" s="110" t="e">
        <f ca="1">_xludf.image("https://lh3.google.com/u/0/d/1EY3muNhR1CqjyO5YFDMtPRAqwYzxflTj",1)</f>
        <v>#NAME?</v>
      </c>
      <c r="B130" s="109" t="s">
        <v>500</v>
      </c>
      <c r="C130" s="104"/>
      <c r="D130" s="108">
        <v>131000</v>
      </c>
      <c r="E130" s="116"/>
    </row>
    <row r="131" spans="1:5" ht="37.5" customHeight="1" x14ac:dyDescent="0.2">
      <c r="A131" s="110" t="e">
        <f t="shared" ref="A131:A133" ca="1" si="5">_xludf.image("https://lh3.google.com/u/0/d/1hmFylYp8oKi06BGdXah-nPt4CnNWmTxQ",1)</f>
        <v>#NAME?</v>
      </c>
      <c r="B131" s="109" t="s">
        <v>501</v>
      </c>
      <c r="C131" s="104"/>
      <c r="D131" s="108">
        <v>39000</v>
      </c>
      <c r="E131" s="116"/>
    </row>
    <row r="132" spans="1:5" ht="37.5" customHeight="1" x14ac:dyDescent="0.2">
      <c r="A132" s="110" t="e">
        <f t="shared" ca="1" si="5"/>
        <v>#NAME?</v>
      </c>
      <c r="B132" s="109" t="s">
        <v>502</v>
      </c>
      <c r="C132" s="104"/>
      <c r="D132" s="108">
        <v>51000</v>
      </c>
      <c r="E132" s="116"/>
    </row>
    <row r="133" spans="1:5" ht="37.5" customHeight="1" x14ac:dyDescent="0.2">
      <c r="A133" s="110" t="e">
        <f t="shared" ca="1" si="5"/>
        <v>#NAME?</v>
      </c>
      <c r="B133" s="109" t="s">
        <v>503</v>
      </c>
      <c r="C133" s="104"/>
      <c r="D133" s="108">
        <v>67000</v>
      </c>
      <c r="E133" s="116"/>
    </row>
    <row r="134" spans="1:5" ht="37.5" customHeight="1" x14ac:dyDescent="0.2">
      <c r="A134" s="110" t="e">
        <f ca="1">_xludf.image("https://lh3.google.com/u/0/d/1k6lsR_Ljx7o5U47Y3cPwUdNjRZUB8SSt",1)</f>
        <v>#NAME?</v>
      </c>
      <c r="B134" s="109" t="s">
        <v>449</v>
      </c>
      <c r="C134" s="115" t="s">
        <v>444</v>
      </c>
      <c r="D134" s="108">
        <v>89000</v>
      </c>
      <c r="E134" s="116"/>
    </row>
    <row r="135" spans="1:5" ht="37.5" customHeight="1" x14ac:dyDescent="0.2">
      <c r="A135" s="110" t="e">
        <f ca="1">_xludf.image("https://lh3.google.com/u/0/d/1d2-fRIKy5qaTV2BmPZEiWJ0ZZzBS54dQ",1)</f>
        <v>#NAME?</v>
      </c>
      <c r="B135" s="109" t="s">
        <v>504</v>
      </c>
      <c r="C135" s="104"/>
      <c r="D135" s="108">
        <v>282000</v>
      </c>
      <c r="E135" s="116"/>
    </row>
    <row r="136" spans="1:5" ht="37.5" customHeight="1" x14ac:dyDescent="0.2">
      <c r="A136" s="110" t="e">
        <f t="shared" ref="A136:A139" ca="1" si="6">_xludf.image("https://lh3.google.com/u/0/d/1WpUxeMSRe4MBsT4CP6tTBIBRtTlwXpoX",1)</f>
        <v>#NAME?</v>
      </c>
      <c r="B136" s="109" t="s">
        <v>505</v>
      </c>
      <c r="C136" s="104"/>
      <c r="D136" s="108">
        <v>3119000</v>
      </c>
      <c r="E136" s="116"/>
    </row>
    <row r="137" spans="1:5" ht="37.5" customHeight="1" x14ac:dyDescent="0.2">
      <c r="A137" s="110" t="e">
        <f t="shared" ca="1" si="6"/>
        <v>#NAME?</v>
      </c>
      <c r="B137" s="109" t="s">
        <v>506</v>
      </c>
      <c r="C137" s="104"/>
      <c r="D137" s="108">
        <v>1399000</v>
      </c>
      <c r="E137" s="116"/>
    </row>
    <row r="138" spans="1:5" ht="37.5" customHeight="1" x14ac:dyDescent="0.2">
      <c r="A138" s="110" t="e">
        <f t="shared" ca="1" si="6"/>
        <v>#NAME?</v>
      </c>
      <c r="B138" s="109" t="s">
        <v>507</v>
      </c>
      <c r="C138" s="115" t="s">
        <v>444</v>
      </c>
      <c r="D138" s="108">
        <v>993000</v>
      </c>
      <c r="E138" s="116"/>
    </row>
    <row r="139" spans="1:5" ht="37.5" customHeight="1" x14ac:dyDescent="0.2">
      <c r="A139" s="110" t="e">
        <f t="shared" ca="1" si="6"/>
        <v>#NAME?</v>
      </c>
      <c r="B139" s="109" t="s">
        <v>508</v>
      </c>
      <c r="C139" s="115" t="s">
        <v>444</v>
      </c>
      <c r="D139" s="108">
        <v>768000</v>
      </c>
      <c r="E139" s="116"/>
    </row>
    <row r="140" spans="1:5" ht="12.75" x14ac:dyDescent="0.2">
      <c r="A140" s="25"/>
    </row>
    <row r="141" spans="1:5" ht="12.75" x14ac:dyDescent="0.2">
      <c r="A141" s="25"/>
    </row>
    <row r="142" spans="1:5" ht="12.75" x14ac:dyDescent="0.2">
      <c r="A142" s="25"/>
    </row>
    <row r="143" spans="1:5" ht="12.75" x14ac:dyDescent="0.2">
      <c r="A143" s="25"/>
    </row>
    <row r="144" spans="1:5" ht="12.75" x14ac:dyDescent="0.2">
      <c r="A144" s="25"/>
    </row>
    <row r="145" spans="1:1" ht="12.75" x14ac:dyDescent="0.2">
      <c r="A145" s="25"/>
    </row>
    <row r="146" spans="1:1" ht="12.75" x14ac:dyDescent="0.2">
      <c r="A146" s="25"/>
    </row>
    <row r="147" spans="1:1" ht="12.75" x14ac:dyDescent="0.2">
      <c r="A147" s="25"/>
    </row>
    <row r="148" spans="1:1" ht="12.75" x14ac:dyDescent="0.2">
      <c r="A148" s="25"/>
    </row>
    <row r="149" spans="1:1" ht="12.75" x14ac:dyDescent="0.2">
      <c r="A149" s="25"/>
    </row>
    <row r="150" spans="1:1" ht="12.75" x14ac:dyDescent="0.2">
      <c r="A150" s="25"/>
    </row>
    <row r="151" spans="1:1" ht="12.75" x14ac:dyDescent="0.2">
      <c r="A151" s="25"/>
    </row>
    <row r="152" spans="1:1" ht="12.75" x14ac:dyDescent="0.2">
      <c r="A152" s="25"/>
    </row>
    <row r="153" spans="1:1" ht="12.75" x14ac:dyDescent="0.2">
      <c r="A153" s="25"/>
    </row>
    <row r="154" spans="1:1" ht="12.75" x14ac:dyDescent="0.2">
      <c r="A154" s="25"/>
    </row>
    <row r="155" spans="1:1" ht="12.75" x14ac:dyDescent="0.2">
      <c r="A155" s="25"/>
    </row>
    <row r="156" spans="1:1" ht="12.75" x14ac:dyDescent="0.2">
      <c r="A156" s="25"/>
    </row>
    <row r="157" spans="1:1" ht="12.75" x14ac:dyDescent="0.2">
      <c r="A157" s="25"/>
    </row>
    <row r="158" spans="1:1" ht="12.75" x14ac:dyDescent="0.2">
      <c r="A158" s="25"/>
    </row>
    <row r="159" spans="1:1" ht="12.75" x14ac:dyDescent="0.2">
      <c r="A159" s="25"/>
    </row>
    <row r="160" spans="1:1" ht="12.75" x14ac:dyDescent="0.2">
      <c r="A160" s="25"/>
    </row>
    <row r="161" spans="1:1" ht="12.75" x14ac:dyDescent="0.2">
      <c r="A161" s="25"/>
    </row>
    <row r="162" spans="1:1" ht="12.75" x14ac:dyDescent="0.2">
      <c r="A162" s="25"/>
    </row>
    <row r="163" spans="1:1" ht="12.75" x14ac:dyDescent="0.2">
      <c r="A163" s="25"/>
    </row>
    <row r="164" spans="1:1" ht="12.75" x14ac:dyDescent="0.2">
      <c r="A164" s="25"/>
    </row>
    <row r="165" spans="1:1" ht="12.75" x14ac:dyDescent="0.2">
      <c r="A165" s="25"/>
    </row>
    <row r="166" spans="1:1" ht="12.75" x14ac:dyDescent="0.2">
      <c r="A166" s="25"/>
    </row>
    <row r="167" spans="1:1" ht="12.75" x14ac:dyDescent="0.2">
      <c r="A167" s="25"/>
    </row>
    <row r="168" spans="1:1" ht="12.75" x14ac:dyDescent="0.2">
      <c r="A168" s="25"/>
    </row>
    <row r="169" spans="1:1" ht="12.75" x14ac:dyDescent="0.2">
      <c r="A169" s="25"/>
    </row>
    <row r="170" spans="1:1" ht="12.75" x14ac:dyDescent="0.2">
      <c r="A170" s="25"/>
    </row>
    <row r="171" spans="1:1" ht="12.75" x14ac:dyDescent="0.2">
      <c r="A171" s="25"/>
    </row>
    <row r="172" spans="1:1" ht="12.75" x14ac:dyDescent="0.2">
      <c r="A172" s="25"/>
    </row>
    <row r="173" spans="1:1" ht="12.75" x14ac:dyDescent="0.2">
      <c r="A173" s="25"/>
    </row>
    <row r="174" spans="1:1" ht="12.75" x14ac:dyDescent="0.2">
      <c r="A174" s="25"/>
    </row>
    <row r="175" spans="1:1" ht="12.75" x14ac:dyDescent="0.2">
      <c r="A175" s="25"/>
    </row>
    <row r="176" spans="1:1" ht="12.75" x14ac:dyDescent="0.2">
      <c r="A176" s="25"/>
    </row>
    <row r="177" spans="1:1" ht="12.75" x14ac:dyDescent="0.2">
      <c r="A177" s="25"/>
    </row>
    <row r="178" spans="1:1" ht="12.75" x14ac:dyDescent="0.2">
      <c r="A178" s="25"/>
    </row>
    <row r="179" spans="1:1" ht="12.75" x14ac:dyDescent="0.2">
      <c r="A179" s="25"/>
    </row>
    <row r="180" spans="1:1" ht="12.75" x14ac:dyDescent="0.2">
      <c r="A180" s="25"/>
    </row>
    <row r="181" spans="1:1" ht="12.75" x14ac:dyDescent="0.2">
      <c r="A181" s="25"/>
    </row>
    <row r="182" spans="1:1" ht="12.75" x14ac:dyDescent="0.2">
      <c r="A182" s="25"/>
    </row>
    <row r="183" spans="1:1" ht="12.75" x14ac:dyDescent="0.2">
      <c r="A183" s="25"/>
    </row>
    <row r="184" spans="1:1" ht="12.75" x14ac:dyDescent="0.2">
      <c r="A184" s="25"/>
    </row>
    <row r="185" spans="1:1" ht="12.75" x14ac:dyDescent="0.2">
      <c r="A185" s="25"/>
    </row>
    <row r="186" spans="1:1" ht="12.75" x14ac:dyDescent="0.2">
      <c r="A186" s="25"/>
    </row>
    <row r="187" spans="1:1" ht="12.75" x14ac:dyDescent="0.2">
      <c r="A187" s="25"/>
    </row>
    <row r="188" spans="1:1" ht="12.75" x14ac:dyDescent="0.2">
      <c r="A188" s="25"/>
    </row>
    <row r="189" spans="1:1" ht="12.75" x14ac:dyDescent="0.2">
      <c r="A189" s="25"/>
    </row>
    <row r="190" spans="1:1" ht="12.75" x14ac:dyDescent="0.2">
      <c r="A190" s="25"/>
    </row>
    <row r="191" spans="1:1" ht="12.75" x14ac:dyDescent="0.2">
      <c r="A191" s="25"/>
    </row>
    <row r="192" spans="1:1" ht="12.75" x14ac:dyDescent="0.2">
      <c r="A192" s="25"/>
    </row>
    <row r="193" spans="1:1" ht="12.75" x14ac:dyDescent="0.2">
      <c r="A193" s="25"/>
    </row>
    <row r="194" spans="1:1" ht="12.75" x14ac:dyDescent="0.2">
      <c r="A194" s="25"/>
    </row>
    <row r="195" spans="1:1" ht="12.75" x14ac:dyDescent="0.2">
      <c r="A195" s="25"/>
    </row>
    <row r="196" spans="1:1" ht="12.75" x14ac:dyDescent="0.2">
      <c r="A196" s="25"/>
    </row>
    <row r="197" spans="1:1" ht="12.75" x14ac:dyDescent="0.2">
      <c r="A197" s="25"/>
    </row>
    <row r="198" spans="1:1" ht="12.75" x14ac:dyDescent="0.2">
      <c r="A198" s="25"/>
    </row>
    <row r="199" spans="1:1" ht="12.75" x14ac:dyDescent="0.2">
      <c r="A199" s="25"/>
    </row>
    <row r="200" spans="1:1" ht="12.75" x14ac:dyDescent="0.2">
      <c r="A200" s="25"/>
    </row>
    <row r="201" spans="1:1" ht="12.75" x14ac:dyDescent="0.2">
      <c r="A201" s="25"/>
    </row>
    <row r="202" spans="1:1" ht="12.75" x14ac:dyDescent="0.2">
      <c r="A202" s="25"/>
    </row>
    <row r="203" spans="1:1" ht="12.75" x14ac:dyDescent="0.2">
      <c r="A203" s="25"/>
    </row>
    <row r="204" spans="1:1" ht="12.75" x14ac:dyDescent="0.2">
      <c r="A204" s="25"/>
    </row>
    <row r="205" spans="1:1" ht="12.75" x14ac:dyDescent="0.2">
      <c r="A205" s="25"/>
    </row>
    <row r="206" spans="1:1" ht="12.75" x14ac:dyDescent="0.2">
      <c r="A206" s="25"/>
    </row>
    <row r="207" spans="1:1" ht="12.75" x14ac:dyDescent="0.2">
      <c r="A207" s="25"/>
    </row>
    <row r="208" spans="1:1" ht="12.75" x14ac:dyDescent="0.2">
      <c r="A208" s="25"/>
    </row>
    <row r="209" spans="1:1" ht="12.75" x14ac:dyDescent="0.2">
      <c r="A209" s="25"/>
    </row>
    <row r="210" spans="1:1" ht="12.75" x14ac:dyDescent="0.2">
      <c r="A210" s="25"/>
    </row>
    <row r="211" spans="1:1" ht="12.75" x14ac:dyDescent="0.2">
      <c r="A211" s="25"/>
    </row>
    <row r="212" spans="1:1" ht="12.75" x14ac:dyDescent="0.2">
      <c r="A212" s="25"/>
    </row>
    <row r="213" spans="1:1" ht="12.75" x14ac:dyDescent="0.2">
      <c r="A213" s="25"/>
    </row>
    <row r="214" spans="1:1" ht="12.75" x14ac:dyDescent="0.2">
      <c r="A214" s="25"/>
    </row>
    <row r="215" spans="1:1" ht="12.75" x14ac:dyDescent="0.2">
      <c r="A215" s="25"/>
    </row>
    <row r="216" spans="1:1" ht="12.75" x14ac:dyDescent="0.2">
      <c r="A216" s="25"/>
    </row>
    <row r="217" spans="1:1" ht="12.75" x14ac:dyDescent="0.2">
      <c r="A217" s="25"/>
    </row>
    <row r="218" spans="1:1" ht="12.75" x14ac:dyDescent="0.2">
      <c r="A218" s="25"/>
    </row>
    <row r="219" spans="1:1" ht="12.75" x14ac:dyDescent="0.2">
      <c r="A219" s="25"/>
    </row>
    <row r="220" spans="1:1" ht="12.75" x14ac:dyDescent="0.2">
      <c r="A220" s="25"/>
    </row>
    <row r="221" spans="1:1" ht="12.75" x14ac:dyDescent="0.2">
      <c r="A221" s="25"/>
    </row>
    <row r="222" spans="1:1" ht="12.75" x14ac:dyDescent="0.2">
      <c r="A222" s="25"/>
    </row>
    <row r="223" spans="1:1" ht="12.75" x14ac:dyDescent="0.2">
      <c r="A223" s="25"/>
    </row>
    <row r="224" spans="1:1" ht="12.75" x14ac:dyDescent="0.2">
      <c r="A224" s="25"/>
    </row>
    <row r="225" spans="1:1" ht="12.75" x14ac:dyDescent="0.2">
      <c r="A225" s="25"/>
    </row>
    <row r="226" spans="1:1" ht="12.75" x14ac:dyDescent="0.2">
      <c r="A226" s="25"/>
    </row>
    <row r="227" spans="1:1" ht="12.75" x14ac:dyDescent="0.2">
      <c r="A227" s="25"/>
    </row>
    <row r="228" spans="1:1" ht="12.75" x14ac:dyDescent="0.2">
      <c r="A228" s="25"/>
    </row>
    <row r="229" spans="1:1" ht="12.75" x14ac:dyDescent="0.2">
      <c r="A229" s="25"/>
    </row>
    <row r="230" spans="1:1" ht="12.75" x14ac:dyDescent="0.2">
      <c r="A230" s="25"/>
    </row>
    <row r="231" spans="1:1" ht="12.75" x14ac:dyDescent="0.2">
      <c r="A231" s="25"/>
    </row>
    <row r="232" spans="1:1" ht="12.75" x14ac:dyDescent="0.2">
      <c r="A232" s="25"/>
    </row>
    <row r="233" spans="1:1" ht="12.75" x14ac:dyDescent="0.2">
      <c r="A233" s="25"/>
    </row>
    <row r="234" spans="1:1" ht="12.75" x14ac:dyDescent="0.2">
      <c r="A234" s="25"/>
    </row>
    <row r="235" spans="1:1" ht="12.75" x14ac:dyDescent="0.2">
      <c r="A235" s="25"/>
    </row>
    <row r="236" spans="1:1" ht="12.75" x14ac:dyDescent="0.2">
      <c r="A236" s="25"/>
    </row>
    <row r="237" spans="1:1" ht="12.75" x14ac:dyDescent="0.2">
      <c r="A237" s="25"/>
    </row>
    <row r="238" spans="1:1" ht="12.75" x14ac:dyDescent="0.2">
      <c r="A238" s="25"/>
    </row>
    <row r="239" spans="1:1" ht="12.75" x14ac:dyDescent="0.2">
      <c r="A239" s="25"/>
    </row>
    <row r="240" spans="1:1" ht="12.75" x14ac:dyDescent="0.2">
      <c r="A240" s="25"/>
    </row>
    <row r="241" spans="1:1" ht="12.75" x14ac:dyDescent="0.2">
      <c r="A241" s="25"/>
    </row>
    <row r="242" spans="1:1" ht="12.75" x14ac:dyDescent="0.2">
      <c r="A242" s="25"/>
    </row>
    <row r="243" spans="1:1" ht="12.75" x14ac:dyDescent="0.2">
      <c r="A243" s="25"/>
    </row>
    <row r="244" spans="1:1" ht="12.75" x14ac:dyDescent="0.2">
      <c r="A244" s="25"/>
    </row>
    <row r="245" spans="1:1" ht="12.75" x14ac:dyDescent="0.2">
      <c r="A245" s="25"/>
    </row>
    <row r="246" spans="1:1" ht="12.75" x14ac:dyDescent="0.2">
      <c r="A246" s="25"/>
    </row>
    <row r="247" spans="1:1" ht="12.75" x14ac:dyDescent="0.2">
      <c r="A247" s="25"/>
    </row>
    <row r="248" spans="1:1" ht="12.75" x14ac:dyDescent="0.2">
      <c r="A248" s="25"/>
    </row>
    <row r="249" spans="1:1" ht="12.75" x14ac:dyDescent="0.2">
      <c r="A249" s="25"/>
    </row>
    <row r="250" spans="1:1" ht="12.75" x14ac:dyDescent="0.2">
      <c r="A250" s="25"/>
    </row>
    <row r="251" spans="1:1" ht="12.75" x14ac:dyDescent="0.2">
      <c r="A251" s="25"/>
    </row>
    <row r="252" spans="1:1" ht="12.75" x14ac:dyDescent="0.2">
      <c r="A252" s="25"/>
    </row>
    <row r="253" spans="1:1" ht="12.75" x14ac:dyDescent="0.2">
      <c r="A253" s="25"/>
    </row>
    <row r="254" spans="1:1" ht="12.75" x14ac:dyDescent="0.2">
      <c r="A254" s="25"/>
    </row>
    <row r="255" spans="1:1" ht="12.75" x14ac:dyDescent="0.2">
      <c r="A255" s="25"/>
    </row>
    <row r="256" spans="1:1" ht="12.75" x14ac:dyDescent="0.2">
      <c r="A256" s="25"/>
    </row>
    <row r="257" spans="1:1" ht="12.75" x14ac:dyDescent="0.2">
      <c r="A257" s="25"/>
    </row>
    <row r="258" spans="1:1" ht="12.75" x14ac:dyDescent="0.2">
      <c r="A258" s="25"/>
    </row>
    <row r="259" spans="1:1" ht="12.75" x14ac:dyDescent="0.2">
      <c r="A259" s="25"/>
    </row>
    <row r="260" spans="1:1" ht="12.75" x14ac:dyDescent="0.2">
      <c r="A260" s="25"/>
    </row>
    <row r="261" spans="1:1" ht="12.75" x14ac:dyDescent="0.2">
      <c r="A261" s="25"/>
    </row>
    <row r="262" spans="1:1" ht="12.75" x14ac:dyDescent="0.2">
      <c r="A262" s="25"/>
    </row>
    <row r="263" spans="1:1" ht="12.75" x14ac:dyDescent="0.2">
      <c r="A263" s="25"/>
    </row>
    <row r="264" spans="1:1" ht="12.75" x14ac:dyDescent="0.2">
      <c r="A264" s="25"/>
    </row>
    <row r="265" spans="1:1" ht="12.75" x14ac:dyDescent="0.2">
      <c r="A265" s="25"/>
    </row>
    <row r="266" spans="1:1" ht="12.75" x14ac:dyDescent="0.2">
      <c r="A266" s="25"/>
    </row>
    <row r="267" spans="1:1" ht="12.75" x14ac:dyDescent="0.2">
      <c r="A267" s="25"/>
    </row>
    <row r="268" spans="1:1" ht="12.75" x14ac:dyDescent="0.2">
      <c r="A268" s="25"/>
    </row>
    <row r="269" spans="1:1" ht="12.75" x14ac:dyDescent="0.2">
      <c r="A269" s="25"/>
    </row>
    <row r="270" spans="1:1" ht="12.75" x14ac:dyDescent="0.2">
      <c r="A270" s="25"/>
    </row>
    <row r="271" spans="1:1" ht="12.75" x14ac:dyDescent="0.2">
      <c r="A271" s="25"/>
    </row>
    <row r="272" spans="1:1" ht="12.75" x14ac:dyDescent="0.2">
      <c r="A272" s="25"/>
    </row>
    <row r="273" spans="1:1" ht="12.75" x14ac:dyDescent="0.2">
      <c r="A273" s="25"/>
    </row>
    <row r="274" spans="1:1" ht="12.75" x14ac:dyDescent="0.2">
      <c r="A274" s="25"/>
    </row>
    <row r="275" spans="1:1" ht="12.75" x14ac:dyDescent="0.2">
      <c r="A275" s="25"/>
    </row>
    <row r="276" spans="1:1" ht="12.75" x14ac:dyDescent="0.2">
      <c r="A276" s="25"/>
    </row>
    <row r="277" spans="1:1" ht="12.75" x14ac:dyDescent="0.2">
      <c r="A277" s="25"/>
    </row>
    <row r="278" spans="1:1" ht="12.75" x14ac:dyDescent="0.2">
      <c r="A278" s="25"/>
    </row>
    <row r="279" spans="1:1" ht="12.75" x14ac:dyDescent="0.2">
      <c r="A279" s="25"/>
    </row>
    <row r="280" spans="1:1" ht="12.75" x14ac:dyDescent="0.2">
      <c r="A280" s="25"/>
    </row>
    <row r="281" spans="1:1" ht="12.75" x14ac:dyDescent="0.2">
      <c r="A281" s="25"/>
    </row>
    <row r="282" spans="1:1" ht="12.75" x14ac:dyDescent="0.2">
      <c r="A282" s="25"/>
    </row>
    <row r="283" spans="1:1" ht="12.75" x14ac:dyDescent="0.2">
      <c r="A283" s="25"/>
    </row>
    <row r="284" spans="1:1" ht="12.75" x14ac:dyDescent="0.2">
      <c r="A284" s="25"/>
    </row>
    <row r="285" spans="1:1" ht="12.75" x14ac:dyDescent="0.2">
      <c r="A285" s="25"/>
    </row>
    <row r="286" spans="1:1" ht="12.75" x14ac:dyDescent="0.2">
      <c r="A286" s="25"/>
    </row>
    <row r="287" spans="1:1" ht="12.75" x14ac:dyDescent="0.2">
      <c r="A287" s="25"/>
    </row>
    <row r="288" spans="1:1" ht="12.75" x14ac:dyDescent="0.2">
      <c r="A288" s="25"/>
    </row>
    <row r="289" spans="1:1" ht="12.75" x14ac:dyDescent="0.2">
      <c r="A289" s="25"/>
    </row>
    <row r="290" spans="1:1" ht="12.75" x14ac:dyDescent="0.2">
      <c r="A290" s="25"/>
    </row>
    <row r="291" spans="1:1" ht="12.75" x14ac:dyDescent="0.2">
      <c r="A291" s="25"/>
    </row>
    <row r="292" spans="1:1" ht="12.75" x14ac:dyDescent="0.2">
      <c r="A292" s="25"/>
    </row>
    <row r="293" spans="1:1" ht="12.75" x14ac:dyDescent="0.2">
      <c r="A293" s="25"/>
    </row>
    <row r="294" spans="1:1" ht="12.75" x14ac:dyDescent="0.2">
      <c r="A294" s="25"/>
    </row>
    <row r="295" spans="1:1" ht="12.75" x14ac:dyDescent="0.2">
      <c r="A295" s="25"/>
    </row>
    <row r="296" spans="1:1" ht="12.75" x14ac:dyDescent="0.2">
      <c r="A296" s="25"/>
    </row>
    <row r="297" spans="1:1" ht="12.75" x14ac:dyDescent="0.2">
      <c r="A297" s="25"/>
    </row>
    <row r="298" spans="1:1" ht="12.75" x14ac:dyDescent="0.2">
      <c r="A298" s="25"/>
    </row>
    <row r="299" spans="1:1" ht="12.75" x14ac:dyDescent="0.2">
      <c r="A299" s="25"/>
    </row>
    <row r="300" spans="1:1" ht="12.75" x14ac:dyDescent="0.2">
      <c r="A300" s="25"/>
    </row>
    <row r="301" spans="1:1" ht="12.75" x14ac:dyDescent="0.2">
      <c r="A301" s="25"/>
    </row>
    <row r="302" spans="1:1" ht="12.75" x14ac:dyDescent="0.2">
      <c r="A302" s="25"/>
    </row>
    <row r="303" spans="1:1" ht="12.75" x14ac:dyDescent="0.2">
      <c r="A303" s="25"/>
    </row>
    <row r="304" spans="1:1" ht="12.75" x14ac:dyDescent="0.2">
      <c r="A304" s="25"/>
    </row>
    <row r="305" spans="1:1" ht="12.75" x14ac:dyDescent="0.2">
      <c r="A305" s="25"/>
    </row>
    <row r="306" spans="1:1" ht="12.75" x14ac:dyDescent="0.2">
      <c r="A306" s="25"/>
    </row>
    <row r="307" spans="1:1" ht="12.75" x14ac:dyDescent="0.2">
      <c r="A307" s="25"/>
    </row>
    <row r="308" spans="1:1" ht="12.75" x14ac:dyDescent="0.2">
      <c r="A308" s="25"/>
    </row>
    <row r="309" spans="1:1" ht="12.75" x14ac:dyDescent="0.2">
      <c r="A309" s="25"/>
    </row>
    <row r="310" spans="1:1" ht="12.75" x14ac:dyDescent="0.2">
      <c r="A310" s="25"/>
    </row>
    <row r="311" spans="1:1" ht="12.75" x14ac:dyDescent="0.2">
      <c r="A311" s="25"/>
    </row>
    <row r="312" spans="1:1" ht="12.75" x14ac:dyDescent="0.2">
      <c r="A312" s="25"/>
    </row>
    <row r="313" spans="1:1" ht="12.75" x14ac:dyDescent="0.2">
      <c r="A313" s="25"/>
    </row>
    <row r="314" spans="1:1" ht="12.75" x14ac:dyDescent="0.2">
      <c r="A314" s="25"/>
    </row>
    <row r="315" spans="1:1" ht="12.75" x14ac:dyDescent="0.2">
      <c r="A315" s="25"/>
    </row>
    <row r="316" spans="1:1" ht="12.75" x14ac:dyDescent="0.2">
      <c r="A316" s="25"/>
    </row>
    <row r="317" spans="1:1" ht="12.75" x14ac:dyDescent="0.2">
      <c r="A317" s="25"/>
    </row>
    <row r="318" spans="1:1" ht="12.75" x14ac:dyDescent="0.2">
      <c r="A318" s="25"/>
    </row>
    <row r="319" spans="1:1" ht="12.75" x14ac:dyDescent="0.2">
      <c r="A319" s="25"/>
    </row>
    <row r="320" spans="1:1" ht="12.75" x14ac:dyDescent="0.2">
      <c r="A320" s="25"/>
    </row>
    <row r="321" spans="1:1" ht="12.75" x14ac:dyDescent="0.2">
      <c r="A321" s="25"/>
    </row>
    <row r="322" spans="1:1" ht="12.75" x14ac:dyDescent="0.2">
      <c r="A322" s="25"/>
    </row>
    <row r="323" spans="1:1" ht="12.75" x14ac:dyDescent="0.2">
      <c r="A323" s="25"/>
    </row>
    <row r="324" spans="1:1" ht="12.75" x14ac:dyDescent="0.2">
      <c r="A324" s="25"/>
    </row>
    <row r="325" spans="1:1" ht="12.75" x14ac:dyDescent="0.2">
      <c r="A325" s="25"/>
    </row>
    <row r="326" spans="1:1" ht="12.75" x14ac:dyDescent="0.2">
      <c r="A326" s="25"/>
    </row>
    <row r="327" spans="1:1" ht="12.75" x14ac:dyDescent="0.2">
      <c r="A327" s="25"/>
    </row>
    <row r="328" spans="1:1" ht="12.75" x14ac:dyDescent="0.2">
      <c r="A328" s="25"/>
    </row>
    <row r="329" spans="1:1" ht="12.75" x14ac:dyDescent="0.2">
      <c r="A329" s="25"/>
    </row>
    <row r="330" spans="1:1" ht="12.75" x14ac:dyDescent="0.2">
      <c r="A330" s="25"/>
    </row>
    <row r="331" spans="1:1" ht="12.75" x14ac:dyDescent="0.2">
      <c r="A331" s="25"/>
    </row>
    <row r="332" spans="1:1" ht="12.75" x14ac:dyDescent="0.2">
      <c r="A332" s="25"/>
    </row>
    <row r="333" spans="1:1" ht="12.75" x14ac:dyDescent="0.2">
      <c r="A333" s="25"/>
    </row>
    <row r="334" spans="1:1" ht="12.75" x14ac:dyDescent="0.2">
      <c r="A334" s="25"/>
    </row>
    <row r="335" spans="1:1" ht="12.75" x14ac:dyDescent="0.2">
      <c r="A335" s="25"/>
    </row>
    <row r="336" spans="1:1" ht="12.75" x14ac:dyDescent="0.2">
      <c r="A336" s="25"/>
    </row>
    <row r="337" spans="1:1" ht="12.75" x14ac:dyDescent="0.2">
      <c r="A337" s="25"/>
    </row>
    <row r="338" spans="1:1" ht="12.75" x14ac:dyDescent="0.2">
      <c r="A338" s="25"/>
    </row>
    <row r="339" spans="1:1" ht="12.75" x14ac:dyDescent="0.2">
      <c r="A339" s="25"/>
    </row>
    <row r="340" spans="1:1" ht="12.75" x14ac:dyDescent="0.2">
      <c r="A340" s="25"/>
    </row>
    <row r="341" spans="1:1" ht="12.75" x14ac:dyDescent="0.2">
      <c r="A341" s="25"/>
    </row>
    <row r="342" spans="1:1" ht="12.75" x14ac:dyDescent="0.2">
      <c r="A342" s="25"/>
    </row>
    <row r="343" spans="1:1" ht="12.75" x14ac:dyDescent="0.2">
      <c r="A343" s="25"/>
    </row>
    <row r="344" spans="1:1" ht="12.75" x14ac:dyDescent="0.2">
      <c r="A344" s="25"/>
    </row>
    <row r="345" spans="1:1" ht="12.75" x14ac:dyDescent="0.2">
      <c r="A345" s="25"/>
    </row>
    <row r="346" spans="1:1" ht="12.75" x14ac:dyDescent="0.2">
      <c r="A346" s="25"/>
    </row>
    <row r="347" spans="1:1" ht="12.75" x14ac:dyDescent="0.2">
      <c r="A347" s="25"/>
    </row>
    <row r="348" spans="1:1" ht="12.75" x14ac:dyDescent="0.2">
      <c r="A348" s="25"/>
    </row>
    <row r="349" spans="1:1" ht="12.75" x14ac:dyDescent="0.2">
      <c r="A349" s="25"/>
    </row>
    <row r="350" spans="1:1" ht="12.75" x14ac:dyDescent="0.2">
      <c r="A350" s="25"/>
    </row>
    <row r="351" spans="1:1" ht="12.75" x14ac:dyDescent="0.2">
      <c r="A351" s="25"/>
    </row>
    <row r="352" spans="1:1" ht="12.75" x14ac:dyDescent="0.2">
      <c r="A352" s="25"/>
    </row>
    <row r="353" spans="1:1" ht="12.75" x14ac:dyDescent="0.2">
      <c r="A353" s="25"/>
    </row>
    <row r="354" spans="1:1" ht="12.75" x14ac:dyDescent="0.2">
      <c r="A354" s="25"/>
    </row>
    <row r="355" spans="1:1" ht="12.75" x14ac:dyDescent="0.2">
      <c r="A355" s="25"/>
    </row>
    <row r="356" spans="1:1" ht="12.75" x14ac:dyDescent="0.2">
      <c r="A356" s="25"/>
    </row>
    <row r="357" spans="1:1" ht="12.75" x14ac:dyDescent="0.2">
      <c r="A357" s="25"/>
    </row>
    <row r="358" spans="1:1" ht="12.75" x14ac:dyDescent="0.2">
      <c r="A358" s="25"/>
    </row>
    <row r="359" spans="1:1" ht="12.75" x14ac:dyDescent="0.2">
      <c r="A359" s="25"/>
    </row>
    <row r="360" spans="1:1" ht="12.75" x14ac:dyDescent="0.2">
      <c r="A360" s="25"/>
    </row>
    <row r="361" spans="1:1" ht="12.75" x14ac:dyDescent="0.2">
      <c r="A361" s="25"/>
    </row>
    <row r="362" spans="1:1" ht="12.75" x14ac:dyDescent="0.2">
      <c r="A362" s="25"/>
    </row>
    <row r="363" spans="1:1" ht="12.75" x14ac:dyDescent="0.2">
      <c r="A363" s="25"/>
    </row>
    <row r="364" spans="1:1" ht="12.75" x14ac:dyDescent="0.2">
      <c r="A364" s="25"/>
    </row>
    <row r="365" spans="1:1" ht="12.75" x14ac:dyDescent="0.2">
      <c r="A365" s="25"/>
    </row>
    <row r="366" spans="1:1" ht="12.75" x14ac:dyDescent="0.2">
      <c r="A366" s="25"/>
    </row>
    <row r="367" spans="1:1" ht="12.75" x14ac:dyDescent="0.2">
      <c r="A367" s="25"/>
    </row>
    <row r="368" spans="1:1" ht="12.75" x14ac:dyDescent="0.2">
      <c r="A368" s="25"/>
    </row>
    <row r="369" spans="1:1" ht="12.75" x14ac:dyDescent="0.2">
      <c r="A369" s="25"/>
    </row>
    <row r="370" spans="1:1" ht="12.75" x14ac:dyDescent="0.2">
      <c r="A370" s="25"/>
    </row>
    <row r="371" spans="1:1" ht="12.75" x14ac:dyDescent="0.2">
      <c r="A371" s="25"/>
    </row>
    <row r="372" spans="1:1" ht="12.75" x14ac:dyDescent="0.2">
      <c r="A372" s="25"/>
    </row>
    <row r="373" spans="1:1" ht="12.75" x14ac:dyDescent="0.2">
      <c r="A373" s="25"/>
    </row>
    <row r="374" spans="1:1" ht="12.75" x14ac:dyDescent="0.2">
      <c r="A374" s="25"/>
    </row>
    <row r="375" spans="1:1" ht="12.75" x14ac:dyDescent="0.2">
      <c r="A375" s="25"/>
    </row>
    <row r="376" spans="1:1" ht="12.75" x14ac:dyDescent="0.2">
      <c r="A376" s="25"/>
    </row>
    <row r="377" spans="1:1" ht="12.75" x14ac:dyDescent="0.2">
      <c r="A377" s="25"/>
    </row>
    <row r="378" spans="1:1" ht="12.75" x14ac:dyDescent="0.2">
      <c r="A378" s="25"/>
    </row>
    <row r="379" spans="1:1" ht="12.75" x14ac:dyDescent="0.2">
      <c r="A379" s="25"/>
    </row>
    <row r="380" spans="1:1" ht="12.75" x14ac:dyDescent="0.2">
      <c r="A380" s="25"/>
    </row>
    <row r="381" spans="1:1" ht="12.75" x14ac:dyDescent="0.2">
      <c r="A381" s="25"/>
    </row>
    <row r="382" spans="1:1" ht="12.75" x14ac:dyDescent="0.2">
      <c r="A382" s="25"/>
    </row>
    <row r="383" spans="1:1" ht="12.75" x14ac:dyDescent="0.2">
      <c r="A383" s="25"/>
    </row>
    <row r="384" spans="1:1" ht="12.75" x14ac:dyDescent="0.2">
      <c r="A384" s="25"/>
    </row>
    <row r="385" spans="1:1" ht="12.75" x14ac:dyDescent="0.2">
      <c r="A385" s="25"/>
    </row>
    <row r="386" spans="1:1" ht="12.75" x14ac:dyDescent="0.2">
      <c r="A386" s="25"/>
    </row>
    <row r="387" spans="1:1" ht="12.75" x14ac:dyDescent="0.2">
      <c r="A387" s="25"/>
    </row>
    <row r="388" spans="1:1" ht="12.75" x14ac:dyDescent="0.2">
      <c r="A388" s="25"/>
    </row>
    <row r="389" spans="1:1" ht="12.75" x14ac:dyDescent="0.2">
      <c r="A389" s="25"/>
    </row>
    <row r="390" spans="1:1" ht="12.75" x14ac:dyDescent="0.2">
      <c r="A390" s="25"/>
    </row>
    <row r="391" spans="1:1" ht="12.75" x14ac:dyDescent="0.2">
      <c r="A391" s="25"/>
    </row>
    <row r="392" spans="1:1" ht="12.75" x14ac:dyDescent="0.2">
      <c r="A392" s="25"/>
    </row>
    <row r="393" spans="1:1" ht="12.75" x14ac:dyDescent="0.2">
      <c r="A393" s="25"/>
    </row>
    <row r="394" spans="1:1" ht="12.75" x14ac:dyDescent="0.2">
      <c r="A394" s="25"/>
    </row>
    <row r="395" spans="1:1" ht="12.75" x14ac:dyDescent="0.2">
      <c r="A395" s="25"/>
    </row>
    <row r="396" spans="1:1" ht="12.75" x14ac:dyDescent="0.2">
      <c r="A396" s="25"/>
    </row>
    <row r="397" spans="1:1" ht="12.75" x14ac:dyDescent="0.2">
      <c r="A397" s="25"/>
    </row>
    <row r="398" spans="1:1" ht="12.75" x14ac:dyDescent="0.2">
      <c r="A398" s="25"/>
    </row>
    <row r="399" spans="1:1" ht="12.75" x14ac:dyDescent="0.2">
      <c r="A399" s="25"/>
    </row>
    <row r="400" spans="1:1" ht="12.75" x14ac:dyDescent="0.2">
      <c r="A400" s="25"/>
    </row>
    <row r="401" spans="1:1" ht="12.75" x14ac:dyDescent="0.2">
      <c r="A401" s="25"/>
    </row>
    <row r="402" spans="1:1" ht="12.75" x14ac:dyDescent="0.2">
      <c r="A402" s="25"/>
    </row>
    <row r="403" spans="1:1" ht="12.75" x14ac:dyDescent="0.2">
      <c r="A403" s="25"/>
    </row>
    <row r="404" spans="1:1" ht="12.75" x14ac:dyDescent="0.2">
      <c r="A404" s="25"/>
    </row>
    <row r="405" spans="1:1" ht="12.75" x14ac:dyDescent="0.2">
      <c r="A405" s="25"/>
    </row>
    <row r="406" spans="1:1" ht="12.75" x14ac:dyDescent="0.2">
      <c r="A406" s="25"/>
    </row>
    <row r="407" spans="1:1" ht="12.75" x14ac:dyDescent="0.2">
      <c r="A407" s="25"/>
    </row>
    <row r="408" spans="1:1" ht="12.75" x14ac:dyDescent="0.2">
      <c r="A408" s="25"/>
    </row>
    <row r="409" spans="1:1" ht="12.75" x14ac:dyDescent="0.2">
      <c r="A409" s="25"/>
    </row>
    <row r="410" spans="1:1" ht="12.75" x14ac:dyDescent="0.2">
      <c r="A410" s="25"/>
    </row>
    <row r="411" spans="1:1" ht="12.75" x14ac:dyDescent="0.2">
      <c r="A411" s="25"/>
    </row>
    <row r="412" spans="1:1" ht="12.75" x14ac:dyDescent="0.2">
      <c r="A412" s="25"/>
    </row>
    <row r="413" spans="1:1" ht="12.75" x14ac:dyDescent="0.2">
      <c r="A413" s="25"/>
    </row>
    <row r="414" spans="1:1" ht="12.75" x14ac:dyDescent="0.2">
      <c r="A414" s="25"/>
    </row>
    <row r="415" spans="1:1" ht="12.75" x14ac:dyDescent="0.2">
      <c r="A415" s="25"/>
    </row>
    <row r="416" spans="1:1" ht="12.75" x14ac:dyDescent="0.2">
      <c r="A416" s="25"/>
    </row>
    <row r="417" spans="1:1" ht="12.75" x14ac:dyDescent="0.2">
      <c r="A417" s="25"/>
    </row>
    <row r="418" spans="1:1" ht="12.75" x14ac:dyDescent="0.2">
      <c r="A418" s="25"/>
    </row>
    <row r="419" spans="1:1" ht="12.75" x14ac:dyDescent="0.2">
      <c r="A419" s="25"/>
    </row>
    <row r="420" spans="1:1" ht="12.75" x14ac:dyDescent="0.2">
      <c r="A420" s="25"/>
    </row>
    <row r="421" spans="1:1" ht="12.75" x14ac:dyDescent="0.2">
      <c r="A421" s="25"/>
    </row>
    <row r="422" spans="1:1" ht="12.75" x14ac:dyDescent="0.2">
      <c r="A422" s="25"/>
    </row>
    <row r="423" spans="1:1" ht="12.75" x14ac:dyDescent="0.2">
      <c r="A423" s="25"/>
    </row>
    <row r="424" spans="1:1" ht="12.75" x14ac:dyDescent="0.2">
      <c r="A424" s="25"/>
    </row>
    <row r="425" spans="1:1" ht="12.75" x14ac:dyDescent="0.2">
      <c r="A425" s="25"/>
    </row>
    <row r="426" spans="1:1" ht="12.75" x14ac:dyDescent="0.2">
      <c r="A426" s="25"/>
    </row>
    <row r="427" spans="1:1" ht="12.75" x14ac:dyDescent="0.2">
      <c r="A427" s="25"/>
    </row>
    <row r="428" spans="1:1" ht="12.75" x14ac:dyDescent="0.2">
      <c r="A428" s="25"/>
    </row>
    <row r="429" spans="1:1" ht="12.75" x14ac:dyDescent="0.2">
      <c r="A429" s="25"/>
    </row>
    <row r="430" spans="1:1" ht="12.75" x14ac:dyDescent="0.2">
      <c r="A430" s="25"/>
    </row>
    <row r="431" spans="1:1" ht="12.75" x14ac:dyDescent="0.2">
      <c r="A431" s="25"/>
    </row>
    <row r="432" spans="1:1" ht="12.75" x14ac:dyDescent="0.2">
      <c r="A432" s="25"/>
    </row>
    <row r="433" spans="1:1" ht="12.75" x14ac:dyDescent="0.2">
      <c r="A433" s="25"/>
    </row>
    <row r="434" spans="1:1" ht="12.75" x14ac:dyDescent="0.2">
      <c r="A434" s="25"/>
    </row>
    <row r="435" spans="1:1" ht="12.75" x14ac:dyDescent="0.2">
      <c r="A435" s="25"/>
    </row>
    <row r="436" spans="1:1" ht="12.75" x14ac:dyDescent="0.2">
      <c r="A436" s="25"/>
    </row>
    <row r="437" spans="1:1" ht="12.75" x14ac:dyDescent="0.2">
      <c r="A437" s="25"/>
    </row>
    <row r="438" spans="1:1" ht="12.75" x14ac:dyDescent="0.2">
      <c r="A438" s="25"/>
    </row>
    <row r="439" spans="1:1" ht="12.75" x14ac:dyDescent="0.2">
      <c r="A439" s="25"/>
    </row>
    <row r="440" spans="1:1" ht="12.75" x14ac:dyDescent="0.2">
      <c r="A440" s="25"/>
    </row>
    <row r="441" spans="1:1" ht="12.75" x14ac:dyDescent="0.2">
      <c r="A441" s="25"/>
    </row>
    <row r="442" spans="1:1" ht="12.75" x14ac:dyDescent="0.2">
      <c r="A442" s="25"/>
    </row>
    <row r="443" spans="1:1" ht="12.75" x14ac:dyDescent="0.2">
      <c r="A443" s="25"/>
    </row>
    <row r="444" spans="1:1" ht="12.75" x14ac:dyDescent="0.2">
      <c r="A444" s="25"/>
    </row>
    <row r="445" spans="1:1" ht="12.75" x14ac:dyDescent="0.2">
      <c r="A445" s="25"/>
    </row>
    <row r="446" spans="1:1" ht="12.75" x14ac:dyDescent="0.2">
      <c r="A446" s="25"/>
    </row>
    <row r="447" spans="1:1" ht="12.75" x14ac:dyDescent="0.2">
      <c r="A447" s="25"/>
    </row>
    <row r="448" spans="1:1" ht="12.75" x14ac:dyDescent="0.2">
      <c r="A448" s="25"/>
    </row>
    <row r="449" spans="1:1" ht="12.75" x14ac:dyDescent="0.2">
      <c r="A449" s="25"/>
    </row>
    <row r="450" spans="1:1" ht="12.75" x14ac:dyDescent="0.2">
      <c r="A450" s="25"/>
    </row>
    <row r="451" spans="1:1" ht="12.75" x14ac:dyDescent="0.2">
      <c r="A451" s="25"/>
    </row>
    <row r="452" spans="1:1" ht="12.75" x14ac:dyDescent="0.2">
      <c r="A452" s="25"/>
    </row>
    <row r="453" spans="1:1" ht="12.75" x14ac:dyDescent="0.2">
      <c r="A453" s="25"/>
    </row>
    <row r="454" spans="1:1" ht="12.75" x14ac:dyDescent="0.2">
      <c r="A454" s="25"/>
    </row>
    <row r="455" spans="1:1" ht="12.75" x14ac:dyDescent="0.2">
      <c r="A455" s="25"/>
    </row>
    <row r="456" spans="1:1" ht="12.75" x14ac:dyDescent="0.2">
      <c r="A456" s="25"/>
    </row>
    <row r="457" spans="1:1" ht="12.75" x14ac:dyDescent="0.2">
      <c r="A457" s="25"/>
    </row>
    <row r="458" spans="1:1" ht="12.75" x14ac:dyDescent="0.2">
      <c r="A458" s="25"/>
    </row>
    <row r="459" spans="1:1" ht="12.75" x14ac:dyDescent="0.2">
      <c r="A459" s="25"/>
    </row>
    <row r="460" spans="1:1" ht="12.75" x14ac:dyDescent="0.2">
      <c r="A460" s="25"/>
    </row>
    <row r="461" spans="1:1" ht="12.75" x14ac:dyDescent="0.2">
      <c r="A461" s="25"/>
    </row>
    <row r="462" spans="1:1" ht="12.75" x14ac:dyDescent="0.2">
      <c r="A462" s="25"/>
    </row>
    <row r="463" spans="1:1" ht="12.75" x14ac:dyDescent="0.2">
      <c r="A463" s="25"/>
    </row>
    <row r="464" spans="1:1" ht="12.75" x14ac:dyDescent="0.2">
      <c r="A464" s="25"/>
    </row>
    <row r="465" spans="1:1" ht="12.75" x14ac:dyDescent="0.2">
      <c r="A465" s="25"/>
    </row>
    <row r="466" spans="1:1" ht="12.75" x14ac:dyDescent="0.2">
      <c r="A466" s="25"/>
    </row>
    <row r="467" spans="1:1" ht="12.75" x14ac:dyDescent="0.2">
      <c r="A467" s="25"/>
    </row>
    <row r="468" spans="1:1" ht="12.75" x14ac:dyDescent="0.2">
      <c r="A468" s="25"/>
    </row>
    <row r="469" spans="1:1" ht="12.75" x14ac:dyDescent="0.2">
      <c r="A469" s="25"/>
    </row>
    <row r="470" spans="1:1" ht="12.75" x14ac:dyDescent="0.2">
      <c r="A470" s="25"/>
    </row>
    <row r="471" spans="1:1" ht="12.75" x14ac:dyDescent="0.2">
      <c r="A471" s="25"/>
    </row>
    <row r="472" spans="1:1" ht="12.75" x14ac:dyDescent="0.2">
      <c r="A472" s="25"/>
    </row>
    <row r="473" spans="1:1" ht="12.75" x14ac:dyDescent="0.2">
      <c r="A473" s="25"/>
    </row>
    <row r="474" spans="1:1" ht="12.75" x14ac:dyDescent="0.2">
      <c r="A474" s="25"/>
    </row>
    <row r="475" spans="1:1" ht="12.75" x14ac:dyDescent="0.2">
      <c r="A475" s="25"/>
    </row>
    <row r="476" spans="1:1" ht="12.75" x14ac:dyDescent="0.2">
      <c r="A476" s="25"/>
    </row>
    <row r="477" spans="1:1" ht="12.75" x14ac:dyDescent="0.2">
      <c r="A477" s="25"/>
    </row>
    <row r="478" spans="1:1" ht="12.75" x14ac:dyDescent="0.2">
      <c r="A478" s="25"/>
    </row>
    <row r="479" spans="1:1" ht="12.75" x14ac:dyDescent="0.2">
      <c r="A479" s="25"/>
    </row>
    <row r="480" spans="1:1" ht="12.75" x14ac:dyDescent="0.2">
      <c r="A480" s="25"/>
    </row>
    <row r="481" spans="1:1" ht="12.75" x14ac:dyDescent="0.2">
      <c r="A481" s="25"/>
    </row>
    <row r="482" spans="1:1" ht="12.75" x14ac:dyDescent="0.2">
      <c r="A482" s="25"/>
    </row>
    <row r="483" spans="1:1" ht="12.75" x14ac:dyDescent="0.2">
      <c r="A483" s="25"/>
    </row>
    <row r="484" spans="1:1" ht="12.75" x14ac:dyDescent="0.2">
      <c r="A484" s="25"/>
    </row>
    <row r="485" spans="1:1" ht="12.75" x14ac:dyDescent="0.2">
      <c r="A485" s="25"/>
    </row>
    <row r="486" spans="1:1" ht="12.75" x14ac:dyDescent="0.2">
      <c r="A486" s="25"/>
    </row>
    <row r="487" spans="1:1" ht="12.75" x14ac:dyDescent="0.2">
      <c r="A487" s="25"/>
    </row>
    <row r="488" spans="1:1" ht="12.75" x14ac:dyDescent="0.2">
      <c r="A488" s="25"/>
    </row>
    <row r="489" spans="1:1" ht="12.75" x14ac:dyDescent="0.2">
      <c r="A489" s="25"/>
    </row>
    <row r="490" spans="1:1" ht="12.75" x14ac:dyDescent="0.2">
      <c r="A490" s="25"/>
    </row>
    <row r="491" spans="1:1" ht="12.75" x14ac:dyDescent="0.2">
      <c r="A491" s="25"/>
    </row>
    <row r="492" spans="1:1" ht="12.75" x14ac:dyDescent="0.2">
      <c r="A492" s="25"/>
    </row>
    <row r="493" spans="1:1" ht="12.75" x14ac:dyDescent="0.2">
      <c r="A493" s="25"/>
    </row>
    <row r="494" spans="1:1" ht="12.75" x14ac:dyDescent="0.2">
      <c r="A494" s="25"/>
    </row>
    <row r="495" spans="1:1" ht="12.75" x14ac:dyDescent="0.2">
      <c r="A495" s="25"/>
    </row>
    <row r="496" spans="1:1" ht="12.75" x14ac:dyDescent="0.2">
      <c r="A496" s="25"/>
    </row>
    <row r="497" spans="1:1" ht="12.75" x14ac:dyDescent="0.2">
      <c r="A497" s="25"/>
    </row>
    <row r="498" spans="1:1" ht="12.75" x14ac:dyDescent="0.2">
      <c r="A498" s="25"/>
    </row>
    <row r="499" spans="1:1" ht="12.75" x14ac:dyDescent="0.2">
      <c r="A499" s="25"/>
    </row>
    <row r="500" spans="1:1" ht="12.75" x14ac:dyDescent="0.2">
      <c r="A500" s="25"/>
    </row>
    <row r="501" spans="1:1" ht="12.75" x14ac:dyDescent="0.2">
      <c r="A501" s="25"/>
    </row>
    <row r="502" spans="1:1" ht="12.75" x14ac:dyDescent="0.2">
      <c r="A502" s="25"/>
    </row>
    <row r="503" spans="1:1" ht="12.75" x14ac:dyDescent="0.2">
      <c r="A503" s="25"/>
    </row>
    <row r="504" spans="1:1" ht="12.75" x14ac:dyDescent="0.2">
      <c r="A504" s="25"/>
    </row>
    <row r="505" spans="1:1" ht="12.75" x14ac:dyDescent="0.2">
      <c r="A505" s="25"/>
    </row>
    <row r="506" spans="1:1" ht="12.75" x14ac:dyDescent="0.2">
      <c r="A506" s="25"/>
    </row>
    <row r="507" spans="1:1" ht="12.75" x14ac:dyDescent="0.2">
      <c r="A507" s="25"/>
    </row>
    <row r="508" spans="1:1" ht="12.75" x14ac:dyDescent="0.2">
      <c r="A508" s="25"/>
    </row>
    <row r="509" spans="1:1" ht="12.75" x14ac:dyDescent="0.2">
      <c r="A509" s="25"/>
    </row>
    <row r="510" spans="1:1" ht="12.75" x14ac:dyDescent="0.2">
      <c r="A510" s="25"/>
    </row>
    <row r="511" spans="1:1" ht="12.75" x14ac:dyDescent="0.2">
      <c r="A511" s="25"/>
    </row>
    <row r="512" spans="1:1" ht="12.75" x14ac:dyDescent="0.2">
      <c r="A512" s="25"/>
    </row>
    <row r="513" spans="1:1" ht="12.75" x14ac:dyDescent="0.2">
      <c r="A513" s="25"/>
    </row>
    <row r="514" spans="1:1" ht="12.75" x14ac:dyDescent="0.2">
      <c r="A514" s="25"/>
    </row>
    <row r="515" spans="1:1" ht="12.75" x14ac:dyDescent="0.2">
      <c r="A515" s="25"/>
    </row>
    <row r="516" spans="1:1" ht="12.75" x14ac:dyDescent="0.2">
      <c r="A516" s="25"/>
    </row>
    <row r="517" spans="1:1" ht="12.75" x14ac:dyDescent="0.2">
      <c r="A517" s="25"/>
    </row>
    <row r="518" spans="1:1" ht="12.75" x14ac:dyDescent="0.2">
      <c r="A518" s="25"/>
    </row>
    <row r="519" spans="1:1" ht="12.75" x14ac:dyDescent="0.2">
      <c r="A519" s="25"/>
    </row>
    <row r="520" spans="1:1" ht="12.75" x14ac:dyDescent="0.2">
      <c r="A520" s="25"/>
    </row>
    <row r="521" spans="1:1" ht="12.75" x14ac:dyDescent="0.2">
      <c r="A521" s="25"/>
    </row>
    <row r="522" spans="1:1" ht="12.75" x14ac:dyDescent="0.2">
      <c r="A522" s="25"/>
    </row>
    <row r="523" spans="1:1" ht="12.75" x14ac:dyDescent="0.2">
      <c r="A523" s="25"/>
    </row>
    <row r="524" spans="1:1" ht="12.75" x14ac:dyDescent="0.2">
      <c r="A524" s="25"/>
    </row>
    <row r="525" spans="1:1" ht="12.75" x14ac:dyDescent="0.2">
      <c r="A525" s="25"/>
    </row>
    <row r="526" spans="1:1" ht="12.75" x14ac:dyDescent="0.2">
      <c r="A526" s="25"/>
    </row>
    <row r="527" spans="1:1" ht="12.75" x14ac:dyDescent="0.2">
      <c r="A527" s="25"/>
    </row>
    <row r="528" spans="1:1" ht="12.75" x14ac:dyDescent="0.2">
      <c r="A528" s="25"/>
    </row>
    <row r="529" spans="1:1" ht="12.75" x14ac:dyDescent="0.2">
      <c r="A529" s="25"/>
    </row>
    <row r="530" spans="1:1" ht="12.75" x14ac:dyDescent="0.2">
      <c r="A530" s="25"/>
    </row>
    <row r="531" spans="1:1" ht="12.75" x14ac:dyDescent="0.2">
      <c r="A531" s="25"/>
    </row>
    <row r="532" spans="1:1" ht="12.75" x14ac:dyDescent="0.2">
      <c r="A532" s="25"/>
    </row>
    <row r="533" spans="1:1" ht="12.75" x14ac:dyDescent="0.2">
      <c r="A533" s="25"/>
    </row>
    <row r="534" spans="1:1" ht="12.75" x14ac:dyDescent="0.2">
      <c r="A534" s="25"/>
    </row>
    <row r="535" spans="1:1" ht="12.75" x14ac:dyDescent="0.2">
      <c r="A535" s="25"/>
    </row>
    <row r="536" spans="1:1" ht="12.75" x14ac:dyDescent="0.2">
      <c r="A536" s="25"/>
    </row>
    <row r="537" spans="1:1" ht="12.75" x14ac:dyDescent="0.2">
      <c r="A537" s="25"/>
    </row>
    <row r="538" spans="1:1" ht="12.75" x14ac:dyDescent="0.2">
      <c r="A538" s="25"/>
    </row>
    <row r="539" spans="1:1" ht="12.75" x14ac:dyDescent="0.2">
      <c r="A539" s="25"/>
    </row>
    <row r="540" spans="1:1" ht="12.75" x14ac:dyDescent="0.2">
      <c r="A540" s="25"/>
    </row>
    <row r="541" spans="1:1" ht="12.75" x14ac:dyDescent="0.2">
      <c r="A541" s="25"/>
    </row>
    <row r="542" spans="1:1" ht="12.75" x14ac:dyDescent="0.2">
      <c r="A542" s="25"/>
    </row>
    <row r="543" spans="1:1" ht="12.75" x14ac:dyDescent="0.2">
      <c r="A543" s="25"/>
    </row>
    <row r="544" spans="1:1" ht="12.75" x14ac:dyDescent="0.2">
      <c r="A544" s="25"/>
    </row>
    <row r="545" spans="1:1" ht="12.75" x14ac:dyDescent="0.2">
      <c r="A545" s="25"/>
    </row>
    <row r="546" spans="1:1" ht="12.75" x14ac:dyDescent="0.2">
      <c r="A546" s="25"/>
    </row>
    <row r="547" spans="1:1" ht="12.75" x14ac:dyDescent="0.2">
      <c r="A547" s="25"/>
    </row>
    <row r="548" spans="1:1" ht="12.75" x14ac:dyDescent="0.2">
      <c r="A548" s="25"/>
    </row>
    <row r="549" spans="1:1" ht="12.75" x14ac:dyDescent="0.2">
      <c r="A549" s="25"/>
    </row>
    <row r="550" spans="1:1" ht="12.75" x14ac:dyDescent="0.2">
      <c r="A550" s="25"/>
    </row>
    <row r="551" spans="1:1" ht="12.75" x14ac:dyDescent="0.2">
      <c r="A551" s="25"/>
    </row>
    <row r="552" spans="1:1" ht="12.75" x14ac:dyDescent="0.2">
      <c r="A552" s="25"/>
    </row>
    <row r="553" spans="1:1" ht="12.75" x14ac:dyDescent="0.2">
      <c r="A553" s="25"/>
    </row>
    <row r="554" spans="1:1" ht="12.75" x14ac:dyDescent="0.2">
      <c r="A554" s="25"/>
    </row>
    <row r="555" spans="1:1" ht="12.75" x14ac:dyDescent="0.2">
      <c r="A555" s="25"/>
    </row>
    <row r="556" spans="1:1" ht="12.75" x14ac:dyDescent="0.2">
      <c r="A556" s="25"/>
    </row>
    <row r="557" spans="1:1" ht="12.75" x14ac:dyDescent="0.2">
      <c r="A557" s="25"/>
    </row>
    <row r="558" spans="1:1" ht="12.75" x14ac:dyDescent="0.2">
      <c r="A558" s="25"/>
    </row>
    <row r="559" spans="1:1" ht="12.75" x14ac:dyDescent="0.2">
      <c r="A559" s="25"/>
    </row>
    <row r="560" spans="1:1" ht="12.75" x14ac:dyDescent="0.2">
      <c r="A560" s="25"/>
    </row>
    <row r="561" spans="1:1" ht="12.75" x14ac:dyDescent="0.2">
      <c r="A561" s="25"/>
    </row>
    <row r="562" spans="1:1" ht="12.75" x14ac:dyDescent="0.2">
      <c r="A562" s="25"/>
    </row>
    <row r="563" spans="1:1" ht="12.75" x14ac:dyDescent="0.2">
      <c r="A563" s="25"/>
    </row>
    <row r="564" spans="1:1" ht="12.75" x14ac:dyDescent="0.2">
      <c r="A564" s="25"/>
    </row>
    <row r="565" spans="1:1" ht="12.75" x14ac:dyDescent="0.2">
      <c r="A565" s="25"/>
    </row>
    <row r="566" spans="1:1" ht="12.75" x14ac:dyDescent="0.2">
      <c r="A566" s="25"/>
    </row>
    <row r="567" spans="1:1" ht="12.75" x14ac:dyDescent="0.2">
      <c r="A567" s="25"/>
    </row>
    <row r="568" spans="1:1" ht="12.75" x14ac:dyDescent="0.2">
      <c r="A568" s="25"/>
    </row>
    <row r="569" spans="1:1" ht="12.75" x14ac:dyDescent="0.2">
      <c r="A569" s="25"/>
    </row>
    <row r="570" spans="1:1" ht="12.75" x14ac:dyDescent="0.2">
      <c r="A570" s="25"/>
    </row>
    <row r="571" spans="1:1" ht="12.75" x14ac:dyDescent="0.2">
      <c r="A571" s="25"/>
    </row>
    <row r="572" spans="1:1" ht="12.75" x14ac:dyDescent="0.2">
      <c r="A572" s="25"/>
    </row>
    <row r="573" spans="1:1" ht="12.75" x14ac:dyDescent="0.2">
      <c r="A573" s="25"/>
    </row>
    <row r="574" spans="1:1" ht="12.75" x14ac:dyDescent="0.2">
      <c r="A574" s="25"/>
    </row>
    <row r="575" spans="1:1" ht="12.75" x14ac:dyDescent="0.2">
      <c r="A575" s="25"/>
    </row>
    <row r="576" spans="1:1" ht="12.75" x14ac:dyDescent="0.2">
      <c r="A576" s="25"/>
    </row>
    <row r="577" spans="1:1" ht="12.75" x14ac:dyDescent="0.2">
      <c r="A577" s="25"/>
    </row>
    <row r="578" spans="1:1" ht="12.75" x14ac:dyDescent="0.2">
      <c r="A578" s="25"/>
    </row>
    <row r="579" spans="1:1" ht="12.75" x14ac:dyDescent="0.2">
      <c r="A579" s="25"/>
    </row>
    <row r="580" spans="1:1" ht="12.75" x14ac:dyDescent="0.2">
      <c r="A580" s="25"/>
    </row>
    <row r="581" spans="1:1" ht="12.75" x14ac:dyDescent="0.2">
      <c r="A581" s="25"/>
    </row>
    <row r="582" spans="1:1" ht="12.75" x14ac:dyDescent="0.2">
      <c r="A582" s="25"/>
    </row>
    <row r="583" spans="1:1" ht="12.75" x14ac:dyDescent="0.2">
      <c r="A583" s="25"/>
    </row>
    <row r="584" spans="1:1" ht="12.75" x14ac:dyDescent="0.2">
      <c r="A584" s="25"/>
    </row>
    <row r="585" spans="1:1" ht="12.75" x14ac:dyDescent="0.2">
      <c r="A585" s="25"/>
    </row>
    <row r="586" spans="1:1" ht="12.75" x14ac:dyDescent="0.2">
      <c r="A586" s="25"/>
    </row>
    <row r="587" spans="1:1" ht="12.75" x14ac:dyDescent="0.2">
      <c r="A587" s="25"/>
    </row>
    <row r="588" spans="1:1" ht="12.75" x14ac:dyDescent="0.2">
      <c r="A588" s="25"/>
    </row>
    <row r="589" spans="1:1" ht="12.75" x14ac:dyDescent="0.2">
      <c r="A589" s="25"/>
    </row>
    <row r="590" spans="1:1" ht="12.75" x14ac:dyDescent="0.2">
      <c r="A590" s="25"/>
    </row>
    <row r="591" spans="1:1" ht="12.75" x14ac:dyDescent="0.2">
      <c r="A591" s="25"/>
    </row>
    <row r="592" spans="1:1" ht="12.75" x14ac:dyDescent="0.2">
      <c r="A592" s="25"/>
    </row>
    <row r="593" spans="1:1" ht="12.75" x14ac:dyDescent="0.2">
      <c r="A593" s="25"/>
    </row>
    <row r="594" spans="1:1" ht="12.75" x14ac:dyDescent="0.2">
      <c r="A594" s="25"/>
    </row>
    <row r="595" spans="1:1" ht="12.75" x14ac:dyDescent="0.2">
      <c r="A595" s="25"/>
    </row>
    <row r="596" spans="1:1" ht="12.75" x14ac:dyDescent="0.2">
      <c r="A596" s="25"/>
    </row>
    <row r="597" spans="1:1" ht="12.75" x14ac:dyDescent="0.2">
      <c r="A597" s="25"/>
    </row>
    <row r="598" spans="1:1" ht="12.75" x14ac:dyDescent="0.2">
      <c r="A598" s="25"/>
    </row>
    <row r="599" spans="1:1" ht="12.75" x14ac:dyDescent="0.2">
      <c r="A599" s="25"/>
    </row>
    <row r="600" spans="1:1" ht="12.75" x14ac:dyDescent="0.2">
      <c r="A600" s="25"/>
    </row>
    <row r="601" spans="1:1" ht="12.75" x14ac:dyDescent="0.2">
      <c r="A601" s="25"/>
    </row>
    <row r="602" spans="1:1" ht="12.75" x14ac:dyDescent="0.2">
      <c r="A602" s="25"/>
    </row>
    <row r="603" spans="1:1" ht="12.75" x14ac:dyDescent="0.2">
      <c r="A603" s="25"/>
    </row>
    <row r="604" spans="1:1" ht="12.75" x14ac:dyDescent="0.2">
      <c r="A604" s="25"/>
    </row>
    <row r="605" spans="1:1" ht="12.75" x14ac:dyDescent="0.2">
      <c r="A605" s="25"/>
    </row>
    <row r="606" spans="1:1" ht="12.75" x14ac:dyDescent="0.2">
      <c r="A606" s="25"/>
    </row>
    <row r="607" spans="1:1" ht="12.75" x14ac:dyDescent="0.2">
      <c r="A607" s="25"/>
    </row>
    <row r="608" spans="1:1" ht="12.75" x14ac:dyDescent="0.2">
      <c r="A608" s="25"/>
    </row>
    <row r="609" spans="1:1" ht="12.75" x14ac:dyDescent="0.2">
      <c r="A609" s="25"/>
    </row>
    <row r="610" spans="1:1" ht="12.75" x14ac:dyDescent="0.2">
      <c r="A610" s="25"/>
    </row>
    <row r="611" spans="1:1" ht="12.75" x14ac:dyDescent="0.2">
      <c r="A611" s="25"/>
    </row>
    <row r="612" spans="1:1" ht="12.75" x14ac:dyDescent="0.2">
      <c r="A612" s="25"/>
    </row>
    <row r="613" spans="1:1" ht="12.75" x14ac:dyDescent="0.2">
      <c r="A613" s="25"/>
    </row>
    <row r="614" spans="1:1" ht="12.75" x14ac:dyDescent="0.2">
      <c r="A614" s="25"/>
    </row>
    <row r="615" spans="1:1" ht="12.75" x14ac:dyDescent="0.2">
      <c r="A615" s="25"/>
    </row>
    <row r="616" spans="1:1" ht="12.75" x14ac:dyDescent="0.2">
      <c r="A616" s="25"/>
    </row>
    <row r="617" spans="1:1" ht="12.75" x14ac:dyDescent="0.2">
      <c r="A617" s="25"/>
    </row>
    <row r="618" spans="1:1" ht="12.75" x14ac:dyDescent="0.2">
      <c r="A618" s="25"/>
    </row>
    <row r="619" spans="1:1" ht="12.75" x14ac:dyDescent="0.2">
      <c r="A619" s="25"/>
    </row>
    <row r="620" spans="1:1" ht="12.75" x14ac:dyDescent="0.2">
      <c r="A620" s="25"/>
    </row>
    <row r="621" spans="1:1" ht="12.75" x14ac:dyDescent="0.2">
      <c r="A621" s="25"/>
    </row>
    <row r="622" spans="1:1" ht="12.75" x14ac:dyDescent="0.2">
      <c r="A622" s="25"/>
    </row>
    <row r="623" spans="1:1" ht="12.75" x14ac:dyDescent="0.2">
      <c r="A623" s="25"/>
    </row>
    <row r="624" spans="1:1" ht="12.75" x14ac:dyDescent="0.2">
      <c r="A624" s="25"/>
    </row>
    <row r="625" spans="1:1" ht="12.75" x14ac:dyDescent="0.2">
      <c r="A625" s="25"/>
    </row>
    <row r="626" spans="1:1" ht="12.75" x14ac:dyDescent="0.2">
      <c r="A626" s="25"/>
    </row>
    <row r="627" spans="1:1" ht="12.75" x14ac:dyDescent="0.2">
      <c r="A627" s="25"/>
    </row>
    <row r="628" spans="1:1" ht="12.75" x14ac:dyDescent="0.2">
      <c r="A628" s="25"/>
    </row>
    <row r="629" spans="1:1" ht="12.75" x14ac:dyDescent="0.2">
      <c r="A629" s="25"/>
    </row>
    <row r="630" spans="1:1" ht="12.75" x14ac:dyDescent="0.2">
      <c r="A630" s="25"/>
    </row>
    <row r="631" spans="1:1" ht="12.75" x14ac:dyDescent="0.2">
      <c r="A631" s="25"/>
    </row>
    <row r="632" spans="1:1" ht="12.75" x14ac:dyDescent="0.2">
      <c r="A632" s="25"/>
    </row>
    <row r="633" spans="1:1" ht="12.75" x14ac:dyDescent="0.2">
      <c r="A633" s="25"/>
    </row>
    <row r="634" spans="1:1" ht="12.75" x14ac:dyDescent="0.2">
      <c r="A634" s="25"/>
    </row>
    <row r="635" spans="1:1" ht="12.75" x14ac:dyDescent="0.2">
      <c r="A635" s="25"/>
    </row>
    <row r="636" spans="1:1" ht="12.75" x14ac:dyDescent="0.2">
      <c r="A636" s="25"/>
    </row>
    <row r="637" spans="1:1" ht="12.75" x14ac:dyDescent="0.2">
      <c r="A637" s="25"/>
    </row>
    <row r="638" spans="1:1" ht="12.75" x14ac:dyDescent="0.2">
      <c r="A638" s="25"/>
    </row>
    <row r="639" spans="1:1" ht="12.75" x14ac:dyDescent="0.2">
      <c r="A639" s="25"/>
    </row>
    <row r="640" spans="1:1" ht="12.75" x14ac:dyDescent="0.2">
      <c r="A640" s="25"/>
    </row>
    <row r="641" spans="1:1" ht="12.75" x14ac:dyDescent="0.2">
      <c r="A641" s="25"/>
    </row>
    <row r="642" spans="1:1" ht="12.75" x14ac:dyDescent="0.2">
      <c r="A642" s="25"/>
    </row>
    <row r="643" spans="1:1" ht="12.75" x14ac:dyDescent="0.2">
      <c r="A643" s="25"/>
    </row>
    <row r="644" spans="1:1" ht="12.75" x14ac:dyDescent="0.2">
      <c r="A644" s="25"/>
    </row>
    <row r="645" spans="1:1" ht="12.75" x14ac:dyDescent="0.2">
      <c r="A645" s="25"/>
    </row>
    <row r="646" spans="1:1" ht="12.75" x14ac:dyDescent="0.2">
      <c r="A646" s="25"/>
    </row>
    <row r="647" spans="1:1" ht="12.75" x14ac:dyDescent="0.2">
      <c r="A647" s="25"/>
    </row>
    <row r="648" spans="1:1" ht="12.75" x14ac:dyDescent="0.2">
      <c r="A648" s="25"/>
    </row>
    <row r="649" spans="1:1" ht="12.75" x14ac:dyDescent="0.2">
      <c r="A649" s="25"/>
    </row>
    <row r="650" spans="1:1" ht="12.75" x14ac:dyDescent="0.2">
      <c r="A650" s="25"/>
    </row>
    <row r="651" spans="1:1" ht="12.75" x14ac:dyDescent="0.2">
      <c r="A651" s="25"/>
    </row>
    <row r="652" spans="1:1" ht="12.75" x14ac:dyDescent="0.2">
      <c r="A652" s="25"/>
    </row>
    <row r="653" spans="1:1" ht="12.75" x14ac:dyDescent="0.2">
      <c r="A653" s="25"/>
    </row>
    <row r="654" spans="1:1" ht="12.75" x14ac:dyDescent="0.2">
      <c r="A654" s="25"/>
    </row>
    <row r="655" spans="1:1" ht="12.75" x14ac:dyDescent="0.2">
      <c r="A655" s="25"/>
    </row>
    <row r="656" spans="1:1" ht="12.75" x14ac:dyDescent="0.2">
      <c r="A656" s="25"/>
    </row>
    <row r="657" spans="1:1" ht="12.75" x14ac:dyDescent="0.2">
      <c r="A657" s="25"/>
    </row>
    <row r="658" spans="1:1" ht="12.75" x14ac:dyDescent="0.2">
      <c r="A658" s="25"/>
    </row>
    <row r="659" spans="1:1" ht="12.75" x14ac:dyDescent="0.2">
      <c r="A659" s="25"/>
    </row>
    <row r="660" spans="1:1" ht="12.75" x14ac:dyDescent="0.2">
      <c r="A660" s="25"/>
    </row>
    <row r="661" spans="1:1" ht="12.75" x14ac:dyDescent="0.2">
      <c r="A661" s="25"/>
    </row>
    <row r="662" spans="1:1" ht="12.75" x14ac:dyDescent="0.2">
      <c r="A662" s="25"/>
    </row>
    <row r="663" spans="1:1" ht="12.75" x14ac:dyDescent="0.2">
      <c r="A663" s="25"/>
    </row>
    <row r="664" spans="1:1" ht="12.75" x14ac:dyDescent="0.2">
      <c r="A664" s="25"/>
    </row>
    <row r="665" spans="1:1" ht="12.75" x14ac:dyDescent="0.2">
      <c r="A665" s="25"/>
    </row>
    <row r="666" spans="1:1" ht="12.75" x14ac:dyDescent="0.2">
      <c r="A666" s="25"/>
    </row>
    <row r="667" spans="1:1" ht="12.75" x14ac:dyDescent="0.2">
      <c r="A667" s="25"/>
    </row>
    <row r="668" spans="1:1" ht="12.75" x14ac:dyDescent="0.2">
      <c r="A668" s="25"/>
    </row>
    <row r="669" spans="1:1" ht="12.75" x14ac:dyDescent="0.2">
      <c r="A669" s="25"/>
    </row>
    <row r="670" spans="1:1" ht="12.75" x14ac:dyDescent="0.2">
      <c r="A670" s="25"/>
    </row>
    <row r="671" spans="1:1" ht="12.75" x14ac:dyDescent="0.2">
      <c r="A671" s="25"/>
    </row>
    <row r="672" spans="1:1" ht="12.75" x14ac:dyDescent="0.2">
      <c r="A672" s="25"/>
    </row>
    <row r="673" spans="1:1" ht="12.75" x14ac:dyDescent="0.2">
      <c r="A673" s="25"/>
    </row>
    <row r="674" spans="1:1" ht="12.75" x14ac:dyDescent="0.2">
      <c r="A674" s="25"/>
    </row>
    <row r="675" spans="1:1" ht="12.75" x14ac:dyDescent="0.2">
      <c r="A675" s="25"/>
    </row>
    <row r="676" spans="1:1" ht="12.75" x14ac:dyDescent="0.2">
      <c r="A676" s="25"/>
    </row>
    <row r="677" spans="1:1" ht="12.75" x14ac:dyDescent="0.2">
      <c r="A677" s="25"/>
    </row>
    <row r="678" spans="1:1" ht="12.75" x14ac:dyDescent="0.2">
      <c r="A678" s="25"/>
    </row>
    <row r="679" spans="1:1" ht="12.75" x14ac:dyDescent="0.2">
      <c r="A679" s="25"/>
    </row>
    <row r="680" spans="1:1" ht="12.75" x14ac:dyDescent="0.2">
      <c r="A680" s="25"/>
    </row>
    <row r="681" spans="1:1" ht="12.75" x14ac:dyDescent="0.2">
      <c r="A681" s="25"/>
    </row>
    <row r="682" spans="1:1" ht="12.75" x14ac:dyDescent="0.2">
      <c r="A682" s="25"/>
    </row>
    <row r="683" spans="1:1" ht="12.75" x14ac:dyDescent="0.2">
      <c r="A683" s="25"/>
    </row>
    <row r="684" spans="1:1" ht="12.75" x14ac:dyDescent="0.2">
      <c r="A684" s="25"/>
    </row>
    <row r="685" spans="1:1" ht="12.75" x14ac:dyDescent="0.2">
      <c r="A685" s="25"/>
    </row>
    <row r="686" spans="1:1" ht="12.75" x14ac:dyDescent="0.2">
      <c r="A686" s="25"/>
    </row>
    <row r="687" spans="1:1" ht="12.75" x14ac:dyDescent="0.2">
      <c r="A687" s="25"/>
    </row>
    <row r="688" spans="1:1" ht="12.75" x14ac:dyDescent="0.2">
      <c r="A688" s="25"/>
    </row>
    <row r="689" spans="1:1" ht="12.75" x14ac:dyDescent="0.2">
      <c r="A689" s="25"/>
    </row>
    <row r="690" spans="1:1" ht="12.75" x14ac:dyDescent="0.2">
      <c r="A690" s="25"/>
    </row>
    <row r="691" spans="1:1" ht="12.75" x14ac:dyDescent="0.2">
      <c r="A691" s="25"/>
    </row>
    <row r="692" spans="1:1" ht="12.75" x14ac:dyDescent="0.2">
      <c r="A692" s="25"/>
    </row>
    <row r="693" spans="1:1" ht="12.75" x14ac:dyDescent="0.2">
      <c r="A693" s="25"/>
    </row>
    <row r="694" spans="1:1" ht="12.75" x14ac:dyDescent="0.2">
      <c r="A694" s="25"/>
    </row>
    <row r="695" spans="1:1" ht="12.75" x14ac:dyDescent="0.2">
      <c r="A695" s="25"/>
    </row>
    <row r="696" spans="1:1" ht="12.75" x14ac:dyDescent="0.2">
      <c r="A696" s="25"/>
    </row>
    <row r="697" spans="1:1" ht="12.75" x14ac:dyDescent="0.2">
      <c r="A697" s="25"/>
    </row>
    <row r="698" spans="1:1" ht="12.75" x14ac:dyDescent="0.2">
      <c r="A698" s="25"/>
    </row>
    <row r="699" spans="1:1" ht="12.75" x14ac:dyDescent="0.2">
      <c r="A699" s="25"/>
    </row>
    <row r="700" spans="1:1" ht="12.75" x14ac:dyDescent="0.2">
      <c r="A700" s="25"/>
    </row>
    <row r="701" spans="1:1" ht="12.75" x14ac:dyDescent="0.2">
      <c r="A701" s="25"/>
    </row>
    <row r="702" spans="1:1" ht="12.75" x14ac:dyDescent="0.2">
      <c r="A702" s="25"/>
    </row>
    <row r="703" spans="1:1" ht="12.75" x14ac:dyDescent="0.2">
      <c r="A703" s="25"/>
    </row>
    <row r="704" spans="1:1" ht="12.75" x14ac:dyDescent="0.2">
      <c r="A704" s="25"/>
    </row>
    <row r="705" spans="1:1" ht="12.75" x14ac:dyDescent="0.2">
      <c r="A705" s="25"/>
    </row>
    <row r="706" spans="1:1" ht="12.75" x14ac:dyDescent="0.2">
      <c r="A706" s="25"/>
    </row>
    <row r="707" spans="1:1" ht="12.75" x14ac:dyDescent="0.2">
      <c r="A707" s="25"/>
    </row>
    <row r="708" spans="1:1" ht="12.75" x14ac:dyDescent="0.2">
      <c r="A708" s="25"/>
    </row>
    <row r="709" spans="1:1" ht="12.75" x14ac:dyDescent="0.2">
      <c r="A709" s="25"/>
    </row>
    <row r="710" spans="1:1" ht="12.75" x14ac:dyDescent="0.2">
      <c r="A710" s="25"/>
    </row>
    <row r="711" spans="1:1" ht="12.75" x14ac:dyDescent="0.2">
      <c r="A711" s="25"/>
    </row>
    <row r="712" spans="1:1" ht="12.75" x14ac:dyDescent="0.2">
      <c r="A712" s="25"/>
    </row>
    <row r="713" spans="1:1" ht="12.75" x14ac:dyDescent="0.2">
      <c r="A713" s="25"/>
    </row>
    <row r="714" spans="1:1" ht="12.75" x14ac:dyDescent="0.2">
      <c r="A714" s="25"/>
    </row>
    <row r="715" spans="1:1" ht="12.75" x14ac:dyDescent="0.2">
      <c r="A715" s="25"/>
    </row>
    <row r="716" spans="1:1" ht="12.75" x14ac:dyDescent="0.2">
      <c r="A716" s="25"/>
    </row>
    <row r="717" spans="1:1" ht="12.75" x14ac:dyDescent="0.2">
      <c r="A717" s="25"/>
    </row>
    <row r="718" spans="1:1" ht="12.75" x14ac:dyDescent="0.2">
      <c r="A718" s="25"/>
    </row>
    <row r="719" spans="1:1" ht="12.75" x14ac:dyDescent="0.2">
      <c r="A719" s="25"/>
    </row>
    <row r="720" spans="1:1" ht="12.75" x14ac:dyDescent="0.2">
      <c r="A720" s="25"/>
    </row>
    <row r="721" spans="1:1" ht="12.75" x14ac:dyDescent="0.2">
      <c r="A721" s="25"/>
    </row>
    <row r="722" spans="1:1" ht="12.75" x14ac:dyDescent="0.2">
      <c r="A722" s="25"/>
    </row>
    <row r="723" spans="1:1" ht="12.75" x14ac:dyDescent="0.2">
      <c r="A723" s="25"/>
    </row>
    <row r="724" spans="1:1" ht="12.75" x14ac:dyDescent="0.2">
      <c r="A724" s="25"/>
    </row>
    <row r="725" spans="1:1" ht="12.75" x14ac:dyDescent="0.2">
      <c r="A725" s="25"/>
    </row>
    <row r="726" spans="1:1" ht="12.75" x14ac:dyDescent="0.2">
      <c r="A726" s="25"/>
    </row>
    <row r="727" spans="1:1" ht="12.75" x14ac:dyDescent="0.2">
      <c r="A727" s="25"/>
    </row>
    <row r="728" spans="1:1" ht="12.75" x14ac:dyDescent="0.2">
      <c r="A728" s="25"/>
    </row>
    <row r="729" spans="1:1" ht="12.75" x14ac:dyDescent="0.2">
      <c r="A729" s="25"/>
    </row>
    <row r="730" spans="1:1" ht="12.75" x14ac:dyDescent="0.2">
      <c r="A730" s="25"/>
    </row>
    <row r="731" spans="1:1" ht="12.75" x14ac:dyDescent="0.2">
      <c r="A731" s="25"/>
    </row>
    <row r="732" spans="1:1" ht="12.75" x14ac:dyDescent="0.2">
      <c r="A732" s="25"/>
    </row>
    <row r="733" spans="1:1" ht="12.75" x14ac:dyDescent="0.2">
      <c r="A733" s="25"/>
    </row>
    <row r="734" spans="1:1" ht="12.75" x14ac:dyDescent="0.2">
      <c r="A734" s="25"/>
    </row>
    <row r="735" spans="1:1" ht="12.75" x14ac:dyDescent="0.2">
      <c r="A735" s="25"/>
    </row>
    <row r="736" spans="1:1" ht="12.75" x14ac:dyDescent="0.2">
      <c r="A736" s="25"/>
    </row>
    <row r="737" spans="1:1" ht="12.75" x14ac:dyDescent="0.2">
      <c r="A737" s="25"/>
    </row>
    <row r="738" spans="1:1" ht="12.75" x14ac:dyDescent="0.2">
      <c r="A738" s="25"/>
    </row>
    <row r="739" spans="1:1" ht="12.75" x14ac:dyDescent="0.2">
      <c r="A739" s="25"/>
    </row>
    <row r="740" spans="1:1" ht="12.75" x14ac:dyDescent="0.2">
      <c r="A740" s="25"/>
    </row>
    <row r="741" spans="1:1" ht="12.75" x14ac:dyDescent="0.2">
      <c r="A741" s="25"/>
    </row>
    <row r="742" spans="1:1" ht="12.75" x14ac:dyDescent="0.2">
      <c r="A742" s="25"/>
    </row>
    <row r="743" spans="1:1" ht="12.75" x14ac:dyDescent="0.2">
      <c r="A743" s="25"/>
    </row>
    <row r="744" spans="1:1" ht="12.75" x14ac:dyDescent="0.2">
      <c r="A744" s="25"/>
    </row>
    <row r="745" spans="1:1" ht="12.75" x14ac:dyDescent="0.2">
      <c r="A745" s="25"/>
    </row>
    <row r="746" spans="1:1" ht="12.75" x14ac:dyDescent="0.2">
      <c r="A746" s="25"/>
    </row>
    <row r="747" spans="1:1" ht="12.75" x14ac:dyDescent="0.2">
      <c r="A747" s="25"/>
    </row>
    <row r="748" spans="1:1" ht="12.75" x14ac:dyDescent="0.2">
      <c r="A748" s="25"/>
    </row>
    <row r="749" spans="1:1" ht="12.75" x14ac:dyDescent="0.2">
      <c r="A749" s="25"/>
    </row>
    <row r="750" spans="1:1" ht="12.75" x14ac:dyDescent="0.2">
      <c r="A750" s="25"/>
    </row>
    <row r="751" spans="1:1" ht="12.75" x14ac:dyDescent="0.2">
      <c r="A751" s="25"/>
    </row>
    <row r="752" spans="1:1" ht="12.75" x14ac:dyDescent="0.2">
      <c r="A752" s="25"/>
    </row>
    <row r="753" spans="1:1" ht="12.75" x14ac:dyDescent="0.2">
      <c r="A753" s="25"/>
    </row>
    <row r="754" spans="1:1" ht="12.75" x14ac:dyDescent="0.2">
      <c r="A754" s="25"/>
    </row>
    <row r="755" spans="1:1" ht="12.75" x14ac:dyDescent="0.2">
      <c r="A755" s="25"/>
    </row>
    <row r="756" spans="1:1" ht="12.75" x14ac:dyDescent="0.2">
      <c r="A756" s="25"/>
    </row>
    <row r="757" spans="1:1" ht="12.75" x14ac:dyDescent="0.2">
      <c r="A757" s="25"/>
    </row>
    <row r="758" spans="1:1" ht="12.75" x14ac:dyDescent="0.2">
      <c r="A758" s="25"/>
    </row>
    <row r="759" spans="1:1" ht="12.75" x14ac:dyDescent="0.2">
      <c r="A759" s="25"/>
    </row>
    <row r="760" spans="1:1" ht="12.75" x14ac:dyDescent="0.2">
      <c r="A760" s="25"/>
    </row>
    <row r="761" spans="1:1" ht="12.75" x14ac:dyDescent="0.2">
      <c r="A761" s="25"/>
    </row>
    <row r="762" spans="1:1" ht="12.75" x14ac:dyDescent="0.2">
      <c r="A762" s="25"/>
    </row>
    <row r="763" spans="1:1" ht="12.75" x14ac:dyDescent="0.2">
      <c r="A763" s="25"/>
    </row>
    <row r="764" spans="1:1" ht="12.75" x14ac:dyDescent="0.2">
      <c r="A764" s="25"/>
    </row>
    <row r="765" spans="1:1" ht="12.75" x14ac:dyDescent="0.2">
      <c r="A765" s="25"/>
    </row>
    <row r="766" spans="1:1" ht="12.75" x14ac:dyDescent="0.2">
      <c r="A766" s="25"/>
    </row>
    <row r="767" spans="1:1" ht="12.75" x14ac:dyDescent="0.2">
      <c r="A767" s="25"/>
    </row>
    <row r="768" spans="1:1" ht="12.75" x14ac:dyDescent="0.2">
      <c r="A768" s="25"/>
    </row>
    <row r="769" spans="1:1" ht="12.75" x14ac:dyDescent="0.2">
      <c r="A769" s="25"/>
    </row>
    <row r="770" spans="1:1" ht="12.75" x14ac:dyDescent="0.2">
      <c r="A770" s="25"/>
    </row>
    <row r="771" spans="1:1" ht="12.75" x14ac:dyDescent="0.2">
      <c r="A771" s="25"/>
    </row>
    <row r="772" spans="1:1" ht="12.75" x14ac:dyDescent="0.2">
      <c r="A772" s="25"/>
    </row>
    <row r="773" spans="1:1" ht="12.75" x14ac:dyDescent="0.2">
      <c r="A773" s="25"/>
    </row>
    <row r="774" spans="1:1" ht="12.75" x14ac:dyDescent="0.2">
      <c r="A774" s="25"/>
    </row>
    <row r="775" spans="1:1" ht="12.75" x14ac:dyDescent="0.2">
      <c r="A775" s="25"/>
    </row>
    <row r="776" spans="1:1" ht="12.75" x14ac:dyDescent="0.2">
      <c r="A776" s="25"/>
    </row>
    <row r="777" spans="1:1" ht="12.75" x14ac:dyDescent="0.2">
      <c r="A777" s="25"/>
    </row>
    <row r="778" spans="1:1" ht="12.75" x14ac:dyDescent="0.2">
      <c r="A778" s="25"/>
    </row>
    <row r="779" spans="1:1" ht="12.75" x14ac:dyDescent="0.2">
      <c r="A779" s="25"/>
    </row>
    <row r="780" spans="1:1" ht="12.75" x14ac:dyDescent="0.2">
      <c r="A780" s="25"/>
    </row>
    <row r="781" spans="1:1" ht="12.75" x14ac:dyDescent="0.2">
      <c r="A781" s="25"/>
    </row>
    <row r="782" spans="1:1" ht="12.75" x14ac:dyDescent="0.2">
      <c r="A782" s="25"/>
    </row>
    <row r="783" spans="1:1" ht="12.75" x14ac:dyDescent="0.2">
      <c r="A783" s="25"/>
    </row>
    <row r="784" spans="1:1" ht="12.75" x14ac:dyDescent="0.2">
      <c r="A784" s="25"/>
    </row>
    <row r="785" spans="1:1" ht="12.75" x14ac:dyDescent="0.2">
      <c r="A785" s="25"/>
    </row>
    <row r="786" spans="1:1" ht="12.75" x14ac:dyDescent="0.2">
      <c r="A786" s="25"/>
    </row>
    <row r="787" spans="1:1" ht="12.75" x14ac:dyDescent="0.2">
      <c r="A787" s="25"/>
    </row>
    <row r="788" spans="1:1" ht="12.75" x14ac:dyDescent="0.2">
      <c r="A788" s="25"/>
    </row>
    <row r="789" spans="1:1" ht="12.75" x14ac:dyDescent="0.2">
      <c r="A789" s="25"/>
    </row>
    <row r="790" spans="1:1" ht="12.75" x14ac:dyDescent="0.2">
      <c r="A790" s="25"/>
    </row>
    <row r="791" spans="1:1" ht="12.75" x14ac:dyDescent="0.2">
      <c r="A791" s="25"/>
    </row>
    <row r="792" spans="1:1" ht="12.75" x14ac:dyDescent="0.2">
      <c r="A792" s="25"/>
    </row>
    <row r="793" spans="1:1" ht="12.75" x14ac:dyDescent="0.2">
      <c r="A793" s="25"/>
    </row>
    <row r="794" spans="1:1" ht="12.75" x14ac:dyDescent="0.2">
      <c r="A794" s="25"/>
    </row>
    <row r="795" spans="1:1" ht="12.75" x14ac:dyDescent="0.2">
      <c r="A795" s="25"/>
    </row>
    <row r="796" spans="1:1" ht="12.75" x14ac:dyDescent="0.2">
      <c r="A796" s="25"/>
    </row>
    <row r="797" spans="1:1" ht="12.75" x14ac:dyDescent="0.2">
      <c r="A797" s="25"/>
    </row>
    <row r="798" spans="1:1" ht="12.75" x14ac:dyDescent="0.2">
      <c r="A798" s="25"/>
    </row>
    <row r="799" spans="1:1" ht="12.75" x14ac:dyDescent="0.2">
      <c r="A799" s="25"/>
    </row>
    <row r="800" spans="1:1" ht="12.75" x14ac:dyDescent="0.2">
      <c r="A800" s="25"/>
    </row>
    <row r="801" spans="1:1" ht="12.75" x14ac:dyDescent="0.2">
      <c r="A801" s="25"/>
    </row>
    <row r="802" spans="1:1" ht="12.75" x14ac:dyDescent="0.2">
      <c r="A802" s="25"/>
    </row>
    <row r="803" spans="1:1" ht="12.75" x14ac:dyDescent="0.2">
      <c r="A803" s="25"/>
    </row>
    <row r="804" spans="1:1" ht="12.75" x14ac:dyDescent="0.2">
      <c r="A804" s="25"/>
    </row>
    <row r="805" spans="1:1" ht="12.75" x14ac:dyDescent="0.2">
      <c r="A805" s="25"/>
    </row>
    <row r="806" spans="1:1" ht="12.75" x14ac:dyDescent="0.2">
      <c r="A806" s="25"/>
    </row>
    <row r="807" spans="1:1" ht="12.75" x14ac:dyDescent="0.2">
      <c r="A807" s="25"/>
    </row>
    <row r="808" spans="1:1" ht="12.75" x14ac:dyDescent="0.2">
      <c r="A808" s="25"/>
    </row>
    <row r="809" spans="1:1" ht="12.75" x14ac:dyDescent="0.2">
      <c r="A809" s="25"/>
    </row>
    <row r="810" spans="1:1" ht="12.75" x14ac:dyDescent="0.2">
      <c r="A810" s="25"/>
    </row>
    <row r="811" spans="1:1" ht="12.75" x14ac:dyDescent="0.2">
      <c r="A811" s="25"/>
    </row>
    <row r="812" spans="1:1" ht="12.75" x14ac:dyDescent="0.2">
      <c r="A812" s="25"/>
    </row>
    <row r="813" spans="1:1" ht="12.75" x14ac:dyDescent="0.2">
      <c r="A813" s="25"/>
    </row>
    <row r="814" spans="1:1" ht="12.75" x14ac:dyDescent="0.2">
      <c r="A814" s="25"/>
    </row>
    <row r="815" spans="1:1" ht="12.75" x14ac:dyDescent="0.2">
      <c r="A815" s="25"/>
    </row>
    <row r="816" spans="1:1" ht="12.75" x14ac:dyDescent="0.2">
      <c r="A816" s="25"/>
    </row>
    <row r="817" spans="1:1" ht="12.75" x14ac:dyDescent="0.2">
      <c r="A817" s="25"/>
    </row>
    <row r="818" spans="1:1" ht="12.75" x14ac:dyDescent="0.2">
      <c r="A818" s="25"/>
    </row>
    <row r="819" spans="1:1" ht="12.75" x14ac:dyDescent="0.2">
      <c r="A819" s="25"/>
    </row>
    <row r="820" spans="1:1" ht="12.75" x14ac:dyDescent="0.2">
      <c r="A820" s="25"/>
    </row>
    <row r="821" spans="1:1" ht="12.75" x14ac:dyDescent="0.2">
      <c r="A821" s="25"/>
    </row>
    <row r="822" spans="1:1" ht="12.75" x14ac:dyDescent="0.2">
      <c r="A822" s="25"/>
    </row>
    <row r="823" spans="1:1" ht="12.75" x14ac:dyDescent="0.2">
      <c r="A823" s="25"/>
    </row>
    <row r="824" spans="1:1" ht="12.75" x14ac:dyDescent="0.2">
      <c r="A824" s="25"/>
    </row>
    <row r="825" spans="1:1" ht="12.75" x14ac:dyDescent="0.2">
      <c r="A825" s="25"/>
    </row>
    <row r="826" spans="1:1" ht="12.75" x14ac:dyDescent="0.2">
      <c r="A826" s="25"/>
    </row>
    <row r="827" spans="1:1" ht="12.75" x14ac:dyDescent="0.2">
      <c r="A827" s="25"/>
    </row>
    <row r="828" spans="1:1" ht="12.75" x14ac:dyDescent="0.2">
      <c r="A828" s="25"/>
    </row>
    <row r="829" spans="1:1" ht="12.75" x14ac:dyDescent="0.2">
      <c r="A829" s="25"/>
    </row>
    <row r="830" spans="1:1" ht="12.75" x14ac:dyDescent="0.2">
      <c r="A830" s="25"/>
    </row>
    <row r="831" spans="1:1" ht="12.75" x14ac:dyDescent="0.2">
      <c r="A831" s="25"/>
    </row>
    <row r="832" spans="1:1" ht="12.75" x14ac:dyDescent="0.2">
      <c r="A832" s="25"/>
    </row>
    <row r="833" spans="1:1" ht="12.75" x14ac:dyDescent="0.2">
      <c r="A833" s="25"/>
    </row>
    <row r="834" spans="1:1" ht="12.75" x14ac:dyDescent="0.2">
      <c r="A834" s="25"/>
    </row>
    <row r="835" spans="1:1" ht="12.75" x14ac:dyDescent="0.2">
      <c r="A835" s="25"/>
    </row>
    <row r="836" spans="1:1" ht="12.75" x14ac:dyDescent="0.2">
      <c r="A836" s="25"/>
    </row>
    <row r="837" spans="1:1" ht="12.75" x14ac:dyDescent="0.2">
      <c r="A837" s="25"/>
    </row>
    <row r="838" spans="1:1" ht="12.75" x14ac:dyDescent="0.2">
      <c r="A838" s="25"/>
    </row>
    <row r="839" spans="1:1" ht="12.75" x14ac:dyDescent="0.2">
      <c r="A839" s="25"/>
    </row>
    <row r="840" spans="1:1" ht="12.75" x14ac:dyDescent="0.2">
      <c r="A840" s="25"/>
    </row>
    <row r="841" spans="1:1" ht="12.75" x14ac:dyDescent="0.2">
      <c r="A841" s="25"/>
    </row>
    <row r="842" spans="1:1" ht="12.75" x14ac:dyDescent="0.2">
      <c r="A842" s="25"/>
    </row>
    <row r="843" spans="1:1" ht="12.75" x14ac:dyDescent="0.2">
      <c r="A843" s="25"/>
    </row>
    <row r="844" spans="1:1" ht="12.75" x14ac:dyDescent="0.2">
      <c r="A844" s="25"/>
    </row>
    <row r="845" spans="1:1" ht="12.75" x14ac:dyDescent="0.2">
      <c r="A845" s="25"/>
    </row>
    <row r="846" spans="1:1" ht="12.75" x14ac:dyDescent="0.2">
      <c r="A846" s="25"/>
    </row>
    <row r="847" spans="1:1" ht="12.75" x14ac:dyDescent="0.2">
      <c r="A847" s="25"/>
    </row>
    <row r="848" spans="1:1" ht="12.75" x14ac:dyDescent="0.2">
      <c r="A848" s="25"/>
    </row>
    <row r="849" spans="1:1" ht="12.75" x14ac:dyDescent="0.2">
      <c r="A849" s="25"/>
    </row>
    <row r="850" spans="1:1" ht="12.75" x14ac:dyDescent="0.2">
      <c r="A850" s="25"/>
    </row>
    <row r="851" spans="1:1" ht="12.75" x14ac:dyDescent="0.2">
      <c r="A851" s="25"/>
    </row>
    <row r="852" spans="1:1" ht="12.75" x14ac:dyDescent="0.2">
      <c r="A852" s="25"/>
    </row>
    <row r="853" spans="1:1" ht="12.75" x14ac:dyDescent="0.2">
      <c r="A853" s="25"/>
    </row>
    <row r="854" spans="1:1" ht="12.75" x14ac:dyDescent="0.2">
      <c r="A854" s="25"/>
    </row>
    <row r="855" spans="1:1" ht="12.75" x14ac:dyDescent="0.2">
      <c r="A855" s="25"/>
    </row>
    <row r="856" spans="1:1" ht="12.75" x14ac:dyDescent="0.2">
      <c r="A856" s="25"/>
    </row>
    <row r="857" spans="1:1" ht="12.75" x14ac:dyDescent="0.2">
      <c r="A857" s="25"/>
    </row>
    <row r="858" spans="1:1" ht="12.75" x14ac:dyDescent="0.2">
      <c r="A858" s="25"/>
    </row>
    <row r="859" spans="1:1" ht="12.75" x14ac:dyDescent="0.2">
      <c r="A859" s="25"/>
    </row>
    <row r="860" spans="1:1" ht="12.75" x14ac:dyDescent="0.2">
      <c r="A860" s="25"/>
    </row>
    <row r="861" spans="1:1" ht="12.75" x14ac:dyDescent="0.2">
      <c r="A861" s="25"/>
    </row>
    <row r="862" spans="1:1" ht="12.75" x14ac:dyDescent="0.2">
      <c r="A862" s="25"/>
    </row>
    <row r="863" spans="1:1" ht="12.75" x14ac:dyDescent="0.2">
      <c r="A863" s="25"/>
    </row>
    <row r="864" spans="1:1" ht="12.75" x14ac:dyDescent="0.2">
      <c r="A864" s="25"/>
    </row>
    <row r="865" spans="1:1" ht="12.75" x14ac:dyDescent="0.2">
      <c r="A865" s="25"/>
    </row>
    <row r="866" spans="1:1" ht="12.75" x14ac:dyDescent="0.2">
      <c r="A866" s="25"/>
    </row>
    <row r="867" spans="1:1" ht="12.75" x14ac:dyDescent="0.2">
      <c r="A867" s="25"/>
    </row>
    <row r="868" spans="1:1" ht="12.75" x14ac:dyDescent="0.2">
      <c r="A868" s="25"/>
    </row>
    <row r="869" spans="1:1" ht="12.75" x14ac:dyDescent="0.2">
      <c r="A869" s="25"/>
    </row>
    <row r="870" spans="1:1" ht="12.75" x14ac:dyDescent="0.2">
      <c r="A870" s="25"/>
    </row>
    <row r="871" spans="1:1" ht="12.75" x14ac:dyDescent="0.2">
      <c r="A871" s="25"/>
    </row>
    <row r="872" spans="1:1" ht="12.75" x14ac:dyDescent="0.2">
      <c r="A872" s="25"/>
    </row>
    <row r="873" spans="1:1" ht="12.75" x14ac:dyDescent="0.2">
      <c r="A873" s="25"/>
    </row>
    <row r="874" spans="1:1" ht="12.75" x14ac:dyDescent="0.2">
      <c r="A874" s="25"/>
    </row>
    <row r="875" spans="1:1" ht="12.75" x14ac:dyDescent="0.2">
      <c r="A875" s="25"/>
    </row>
    <row r="876" spans="1:1" ht="12.75" x14ac:dyDescent="0.2">
      <c r="A876" s="25"/>
    </row>
    <row r="877" spans="1:1" ht="12.75" x14ac:dyDescent="0.2">
      <c r="A877" s="25"/>
    </row>
    <row r="878" spans="1:1" ht="12.75" x14ac:dyDescent="0.2">
      <c r="A878" s="25"/>
    </row>
    <row r="879" spans="1:1" ht="12.75" x14ac:dyDescent="0.2">
      <c r="A879" s="25"/>
    </row>
    <row r="880" spans="1:1" ht="12.75" x14ac:dyDescent="0.2">
      <c r="A880" s="25"/>
    </row>
    <row r="881" spans="1:1" ht="12.75" x14ac:dyDescent="0.2">
      <c r="A881" s="25"/>
    </row>
    <row r="882" spans="1:1" ht="12.75" x14ac:dyDescent="0.2">
      <c r="A882" s="25"/>
    </row>
    <row r="883" spans="1:1" ht="12.75" x14ac:dyDescent="0.2">
      <c r="A883" s="25"/>
    </row>
    <row r="884" spans="1:1" ht="12.75" x14ac:dyDescent="0.2">
      <c r="A884" s="25"/>
    </row>
    <row r="885" spans="1:1" ht="12.75" x14ac:dyDescent="0.2">
      <c r="A885" s="25"/>
    </row>
    <row r="886" spans="1:1" ht="12.75" x14ac:dyDescent="0.2">
      <c r="A886" s="25"/>
    </row>
    <row r="887" spans="1:1" ht="12.75" x14ac:dyDescent="0.2">
      <c r="A887" s="25"/>
    </row>
    <row r="888" spans="1:1" ht="12.75" x14ac:dyDescent="0.2">
      <c r="A888" s="25"/>
    </row>
    <row r="889" spans="1:1" ht="12.75" x14ac:dyDescent="0.2">
      <c r="A889" s="25"/>
    </row>
    <row r="890" spans="1:1" ht="12.75" x14ac:dyDescent="0.2">
      <c r="A890" s="25"/>
    </row>
    <row r="891" spans="1:1" ht="12.75" x14ac:dyDescent="0.2">
      <c r="A891" s="25"/>
    </row>
    <row r="892" spans="1:1" ht="12.75" x14ac:dyDescent="0.2">
      <c r="A892" s="25"/>
    </row>
    <row r="893" spans="1:1" ht="12.75" x14ac:dyDescent="0.2">
      <c r="A893" s="25"/>
    </row>
    <row r="894" spans="1:1" ht="12.75" x14ac:dyDescent="0.2">
      <c r="A894" s="25"/>
    </row>
    <row r="895" spans="1:1" ht="12.75" x14ac:dyDescent="0.2">
      <c r="A895" s="25"/>
    </row>
    <row r="896" spans="1:1" ht="12.75" x14ac:dyDescent="0.2">
      <c r="A896" s="25"/>
    </row>
    <row r="897" spans="1:1" ht="12.75" x14ac:dyDescent="0.2">
      <c r="A897" s="25"/>
    </row>
    <row r="898" spans="1:1" ht="12.75" x14ac:dyDescent="0.2">
      <c r="A898" s="25"/>
    </row>
    <row r="899" spans="1:1" ht="12.75" x14ac:dyDescent="0.2">
      <c r="A899" s="25"/>
    </row>
    <row r="900" spans="1:1" ht="12.75" x14ac:dyDescent="0.2">
      <c r="A900" s="25"/>
    </row>
    <row r="901" spans="1:1" ht="12.75" x14ac:dyDescent="0.2">
      <c r="A901" s="25"/>
    </row>
    <row r="902" spans="1:1" ht="12.75" x14ac:dyDescent="0.2">
      <c r="A902" s="25"/>
    </row>
    <row r="903" spans="1:1" ht="12.75" x14ac:dyDescent="0.2">
      <c r="A903" s="25"/>
    </row>
    <row r="904" spans="1:1" ht="12.75" x14ac:dyDescent="0.2">
      <c r="A904" s="25"/>
    </row>
    <row r="905" spans="1:1" ht="12.75" x14ac:dyDescent="0.2">
      <c r="A905" s="25"/>
    </row>
    <row r="906" spans="1:1" ht="12.75" x14ac:dyDescent="0.2">
      <c r="A906" s="25"/>
    </row>
    <row r="907" spans="1:1" ht="12.75" x14ac:dyDescent="0.2">
      <c r="A907" s="25"/>
    </row>
    <row r="908" spans="1:1" ht="12.75" x14ac:dyDescent="0.2">
      <c r="A908" s="25"/>
    </row>
    <row r="909" spans="1:1" ht="12.75" x14ac:dyDescent="0.2">
      <c r="A909" s="25"/>
    </row>
    <row r="910" spans="1:1" ht="12.75" x14ac:dyDescent="0.2">
      <c r="A910" s="25"/>
    </row>
    <row r="911" spans="1:1" ht="12.75" x14ac:dyDescent="0.2">
      <c r="A911" s="25"/>
    </row>
    <row r="912" spans="1:1" ht="12.75" x14ac:dyDescent="0.2">
      <c r="A912" s="25"/>
    </row>
    <row r="913" spans="1:1" ht="12.75" x14ac:dyDescent="0.2">
      <c r="A913" s="25"/>
    </row>
    <row r="914" spans="1:1" ht="12.75" x14ac:dyDescent="0.2">
      <c r="A914" s="25"/>
    </row>
    <row r="915" spans="1:1" ht="12.75" x14ac:dyDescent="0.2">
      <c r="A915" s="25"/>
    </row>
    <row r="916" spans="1:1" ht="12.75" x14ac:dyDescent="0.2">
      <c r="A916" s="25"/>
    </row>
    <row r="917" spans="1:1" ht="12.75" x14ac:dyDescent="0.2">
      <c r="A917" s="25"/>
    </row>
    <row r="918" spans="1:1" ht="12.75" x14ac:dyDescent="0.2">
      <c r="A918" s="25"/>
    </row>
    <row r="919" spans="1:1" ht="12.75" x14ac:dyDescent="0.2">
      <c r="A919" s="25"/>
    </row>
    <row r="920" spans="1:1" ht="12.75" x14ac:dyDescent="0.2">
      <c r="A920" s="25"/>
    </row>
    <row r="921" spans="1:1" ht="12.75" x14ac:dyDescent="0.2">
      <c r="A921" s="25"/>
    </row>
    <row r="922" spans="1:1" ht="12.75" x14ac:dyDescent="0.2">
      <c r="A922" s="25"/>
    </row>
    <row r="923" spans="1:1" ht="12.75" x14ac:dyDescent="0.2">
      <c r="A923" s="25"/>
    </row>
    <row r="924" spans="1:1" ht="12.75" x14ac:dyDescent="0.2">
      <c r="A924" s="25"/>
    </row>
    <row r="925" spans="1:1" ht="12.75" x14ac:dyDescent="0.2">
      <c r="A925" s="25"/>
    </row>
    <row r="926" spans="1:1" ht="12.75" x14ac:dyDescent="0.2">
      <c r="A926" s="25"/>
    </row>
    <row r="927" spans="1:1" ht="12.75" x14ac:dyDescent="0.2">
      <c r="A927" s="25"/>
    </row>
    <row r="928" spans="1:1" ht="12.75" x14ac:dyDescent="0.2">
      <c r="A928" s="25"/>
    </row>
    <row r="929" spans="1:1" ht="12.75" x14ac:dyDescent="0.2">
      <c r="A929" s="25"/>
    </row>
    <row r="930" spans="1:1" ht="12.75" x14ac:dyDescent="0.2">
      <c r="A930" s="25"/>
    </row>
    <row r="931" spans="1:1" ht="12.75" x14ac:dyDescent="0.2">
      <c r="A931" s="25"/>
    </row>
    <row r="932" spans="1:1" ht="12.75" x14ac:dyDescent="0.2">
      <c r="A932" s="25"/>
    </row>
    <row r="933" spans="1:1" ht="12.75" x14ac:dyDescent="0.2">
      <c r="A933" s="25"/>
    </row>
    <row r="934" spans="1:1" ht="12.75" x14ac:dyDescent="0.2">
      <c r="A934" s="25"/>
    </row>
    <row r="935" spans="1:1" ht="12.75" x14ac:dyDescent="0.2">
      <c r="A935" s="25"/>
    </row>
    <row r="936" spans="1:1" ht="12.75" x14ac:dyDescent="0.2">
      <c r="A936" s="25"/>
    </row>
    <row r="937" spans="1:1" ht="12.75" x14ac:dyDescent="0.2">
      <c r="A937" s="25"/>
    </row>
    <row r="938" spans="1:1" ht="12.75" x14ac:dyDescent="0.2">
      <c r="A938" s="25"/>
    </row>
    <row r="939" spans="1:1" ht="12.75" x14ac:dyDescent="0.2">
      <c r="A939" s="25"/>
    </row>
    <row r="940" spans="1:1" ht="12.75" x14ac:dyDescent="0.2">
      <c r="A940" s="25"/>
    </row>
    <row r="941" spans="1:1" ht="12.75" x14ac:dyDescent="0.2">
      <c r="A941" s="25"/>
    </row>
    <row r="942" spans="1:1" ht="12.75" x14ac:dyDescent="0.2">
      <c r="A942" s="25"/>
    </row>
    <row r="943" spans="1:1" ht="12.75" x14ac:dyDescent="0.2">
      <c r="A943" s="25"/>
    </row>
    <row r="944" spans="1:1" ht="12.75" x14ac:dyDescent="0.2">
      <c r="A944" s="25"/>
    </row>
    <row r="945" spans="1:1" ht="12.75" x14ac:dyDescent="0.2">
      <c r="A945" s="25"/>
    </row>
    <row r="946" spans="1:1" ht="12.75" x14ac:dyDescent="0.2">
      <c r="A946" s="25"/>
    </row>
    <row r="947" spans="1:1" ht="12.75" x14ac:dyDescent="0.2">
      <c r="A947" s="25"/>
    </row>
    <row r="948" spans="1:1" ht="12.75" x14ac:dyDescent="0.2">
      <c r="A948" s="25"/>
    </row>
    <row r="949" spans="1:1" ht="12.75" x14ac:dyDescent="0.2">
      <c r="A949" s="25"/>
    </row>
    <row r="950" spans="1:1" ht="12.75" x14ac:dyDescent="0.2">
      <c r="A950" s="25"/>
    </row>
    <row r="951" spans="1:1" ht="12.75" x14ac:dyDescent="0.2">
      <c r="A951" s="25"/>
    </row>
    <row r="952" spans="1:1" ht="12.75" x14ac:dyDescent="0.2">
      <c r="A952" s="25"/>
    </row>
    <row r="953" spans="1:1" ht="12.75" x14ac:dyDescent="0.2">
      <c r="A953" s="25"/>
    </row>
    <row r="954" spans="1:1" ht="12.75" x14ac:dyDescent="0.2">
      <c r="A954" s="25"/>
    </row>
    <row r="955" spans="1:1" ht="12.75" x14ac:dyDescent="0.2">
      <c r="A955" s="25"/>
    </row>
    <row r="956" spans="1:1" ht="12.75" x14ac:dyDescent="0.2">
      <c r="A956" s="25"/>
    </row>
    <row r="957" spans="1:1" ht="12.75" x14ac:dyDescent="0.2">
      <c r="A957" s="25"/>
    </row>
    <row r="958" spans="1:1" ht="12.75" x14ac:dyDescent="0.2">
      <c r="A958" s="25"/>
    </row>
    <row r="959" spans="1:1" ht="12.75" x14ac:dyDescent="0.2">
      <c r="A959" s="25"/>
    </row>
    <row r="960" spans="1:1" ht="12.75" x14ac:dyDescent="0.2">
      <c r="A960" s="25"/>
    </row>
    <row r="961" spans="1:1" ht="12.75" x14ac:dyDescent="0.2">
      <c r="A961" s="25"/>
    </row>
    <row r="962" spans="1:1" ht="12.75" x14ac:dyDescent="0.2">
      <c r="A962" s="25"/>
    </row>
    <row r="963" spans="1:1" ht="12.75" x14ac:dyDescent="0.2">
      <c r="A963" s="25"/>
    </row>
    <row r="964" spans="1:1" ht="12.75" x14ac:dyDescent="0.2">
      <c r="A964" s="25"/>
    </row>
    <row r="965" spans="1:1" ht="12.75" x14ac:dyDescent="0.2">
      <c r="A965" s="25"/>
    </row>
    <row r="966" spans="1:1" ht="12.75" x14ac:dyDescent="0.2">
      <c r="A966" s="25"/>
    </row>
    <row r="967" spans="1:1" ht="12.75" x14ac:dyDescent="0.2">
      <c r="A967" s="25"/>
    </row>
    <row r="968" spans="1:1" ht="12.75" x14ac:dyDescent="0.2">
      <c r="A968" s="25"/>
    </row>
    <row r="969" spans="1:1" ht="12.75" x14ac:dyDescent="0.2">
      <c r="A969" s="25"/>
    </row>
    <row r="970" spans="1:1" ht="12.75" x14ac:dyDescent="0.2">
      <c r="A970" s="25"/>
    </row>
    <row r="971" spans="1:1" ht="12.75" x14ac:dyDescent="0.2">
      <c r="A971" s="25"/>
    </row>
    <row r="972" spans="1:1" ht="12.75" x14ac:dyDescent="0.2">
      <c r="A972" s="25"/>
    </row>
    <row r="973" spans="1:1" ht="12.75" x14ac:dyDescent="0.2">
      <c r="A973" s="25"/>
    </row>
    <row r="974" spans="1:1" ht="12.75" x14ac:dyDescent="0.2">
      <c r="A974" s="25"/>
    </row>
    <row r="975" spans="1:1" ht="12.75" x14ac:dyDescent="0.2">
      <c r="A975" s="25"/>
    </row>
    <row r="976" spans="1:1" ht="12.75" x14ac:dyDescent="0.2">
      <c r="A976" s="25"/>
    </row>
    <row r="977" spans="1:1" ht="12.75" x14ac:dyDescent="0.2">
      <c r="A977" s="25"/>
    </row>
    <row r="978" spans="1:1" ht="12.75" x14ac:dyDescent="0.2">
      <c r="A978" s="25"/>
    </row>
    <row r="979" spans="1:1" ht="12.75" x14ac:dyDescent="0.2">
      <c r="A979" s="25"/>
    </row>
    <row r="980" spans="1:1" ht="12.75" x14ac:dyDescent="0.2">
      <c r="A980" s="25"/>
    </row>
    <row r="981" spans="1:1" ht="12.75" x14ac:dyDescent="0.2">
      <c r="A981" s="25"/>
    </row>
  </sheetData>
  <mergeCells count="14">
    <mergeCell ref="A32:A36"/>
    <mergeCell ref="B32:B36"/>
    <mergeCell ref="A1:C1"/>
    <mergeCell ref="A2:D2"/>
    <mergeCell ref="A5:A11"/>
    <mergeCell ref="B5:B11"/>
    <mergeCell ref="A12:A17"/>
    <mergeCell ref="B12:B17"/>
    <mergeCell ref="B18:B22"/>
    <mergeCell ref="A18:A22"/>
    <mergeCell ref="A23:A27"/>
    <mergeCell ref="B23:B27"/>
    <mergeCell ref="A28:A31"/>
    <mergeCell ref="B28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26"/>
  <sheetViews>
    <sheetView workbookViewId="0">
      <pane ySplit="4" topLeftCell="A5" activePane="bottomLeft" state="frozen"/>
      <selection pane="bottomLeft" activeCell="H17" sqref="H17"/>
    </sheetView>
  </sheetViews>
  <sheetFormatPr defaultColWidth="12.5703125" defaultRowHeight="15.75" customHeight="1" x14ac:dyDescent="0.2"/>
  <cols>
    <col min="1" max="1" width="20.5703125" customWidth="1"/>
    <col min="3" max="3" width="2.42578125" customWidth="1"/>
  </cols>
  <sheetData>
    <row r="1" spans="1:19" ht="15.75" customHeight="1" x14ac:dyDescent="0.4">
      <c r="A1" s="117" t="s">
        <v>509</v>
      </c>
      <c r="B1" s="118"/>
      <c r="C1" s="118"/>
      <c r="D1" s="118"/>
      <c r="E1" s="119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2" spans="1:19" ht="15.75" customHeight="1" x14ac:dyDescent="0.25">
      <c r="A2" s="121" t="s">
        <v>510</v>
      </c>
      <c r="B2" s="25"/>
      <c r="C2" s="25"/>
      <c r="D2" s="25"/>
      <c r="E2" s="25"/>
      <c r="F2" s="25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x14ac:dyDescent="0.2">
      <c r="A3" s="123" t="s">
        <v>511</v>
      </c>
      <c r="B3" s="25"/>
      <c r="C3" s="25"/>
      <c r="D3" s="25"/>
      <c r="E3" s="25"/>
      <c r="F3" s="25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</row>
    <row r="4" spans="1:19" x14ac:dyDescent="0.2">
      <c r="A4" s="123" t="s">
        <v>512</v>
      </c>
      <c r="B4" s="25"/>
      <c r="C4" s="25"/>
      <c r="D4" s="25"/>
      <c r="E4" s="25"/>
      <c r="F4" s="25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19" x14ac:dyDescent="0.2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</row>
    <row r="6" spans="1:19" ht="15.75" customHeight="1" x14ac:dyDescent="0.25">
      <c r="A6" s="124" t="s">
        <v>513</v>
      </c>
      <c r="B6" s="125"/>
      <c r="C6" s="125"/>
      <c r="D6" s="126" t="s">
        <v>514</v>
      </c>
      <c r="E6" s="125"/>
      <c r="F6" s="127"/>
    </row>
    <row r="7" spans="1:19" x14ac:dyDescent="0.2">
      <c r="A7" s="128" t="s">
        <v>515</v>
      </c>
      <c r="B7" s="129" t="s">
        <v>516</v>
      </c>
      <c r="C7" s="130"/>
      <c r="D7" s="128" t="s">
        <v>517</v>
      </c>
      <c r="E7" s="25"/>
      <c r="F7" s="131"/>
    </row>
    <row r="8" spans="1:19" x14ac:dyDescent="0.2">
      <c r="A8" s="128" t="s">
        <v>518</v>
      </c>
      <c r="B8" s="129" t="s">
        <v>519</v>
      </c>
      <c r="C8" s="130"/>
      <c r="D8" s="128" t="s">
        <v>520</v>
      </c>
      <c r="E8" s="25"/>
      <c r="F8" s="131"/>
    </row>
    <row r="9" spans="1:19" x14ac:dyDescent="0.2">
      <c r="A9" s="128" t="s">
        <v>521</v>
      </c>
      <c r="B9" s="129" t="s">
        <v>522</v>
      </c>
      <c r="C9" s="130"/>
      <c r="D9" s="128" t="s">
        <v>523</v>
      </c>
      <c r="E9" s="25"/>
      <c r="F9" s="131"/>
    </row>
    <row r="10" spans="1:19" x14ac:dyDescent="0.2">
      <c r="A10" s="128" t="s">
        <v>524</v>
      </c>
      <c r="B10" s="129" t="s">
        <v>525</v>
      </c>
      <c r="C10" s="130"/>
      <c r="D10" s="128" t="s">
        <v>526</v>
      </c>
      <c r="E10" s="25"/>
      <c r="F10" s="131"/>
    </row>
    <row r="11" spans="1:19" x14ac:dyDescent="0.2">
      <c r="A11" s="128" t="s">
        <v>527</v>
      </c>
      <c r="B11" s="129" t="s">
        <v>528</v>
      </c>
      <c r="C11" s="25"/>
      <c r="D11" s="128" t="s">
        <v>529</v>
      </c>
      <c r="E11" s="25"/>
      <c r="F11" s="131"/>
    </row>
    <row r="12" spans="1:19" ht="15.75" customHeight="1" x14ac:dyDescent="0.25">
      <c r="A12" s="132" t="s">
        <v>530</v>
      </c>
      <c r="B12" s="133"/>
      <c r="C12" s="133"/>
      <c r="D12" s="4"/>
      <c r="E12" s="25"/>
      <c r="F12" s="131"/>
    </row>
    <row r="13" spans="1:19" x14ac:dyDescent="0.2">
      <c r="A13" s="128" t="s">
        <v>515</v>
      </c>
      <c r="B13" s="129" t="s">
        <v>531</v>
      </c>
      <c r="C13" s="25"/>
      <c r="D13" s="4"/>
      <c r="E13" s="25"/>
      <c r="F13" s="131"/>
    </row>
    <row r="14" spans="1:19" x14ac:dyDescent="0.2">
      <c r="A14" s="128" t="s">
        <v>518</v>
      </c>
      <c r="B14" s="129" t="s">
        <v>532</v>
      </c>
      <c r="C14" s="25"/>
      <c r="D14" s="4"/>
      <c r="E14" s="25"/>
      <c r="F14" s="131"/>
    </row>
    <row r="15" spans="1:19" x14ac:dyDescent="0.2">
      <c r="A15" s="134" t="s">
        <v>521</v>
      </c>
      <c r="B15" s="135" t="s">
        <v>533</v>
      </c>
      <c r="C15" s="136"/>
      <c r="D15" s="137"/>
      <c r="E15" s="136"/>
      <c r="F15" s="138"/>
    </row>
    <row r="16" spans="1:19" x14ac:dyDescent="0.2">
      <c r="A16" s="25"/>
      <c r="B16" s="25"/>
      <c r="C16" s="25"/>
      <c r="D16" s="25"/>
      <c r="E16" s="25"/>
      <c r="F16" s="25"/>
    </row>
    <row r="17" spans="1:6" ht="15.75" customHeight="1" x14ac:dyDescent="0.25">
      <c r="A17" s="139" t="s">
        <v>534</v>
      </c>
      <c r="B17" s="140"/>
      <c r="C17" s="140"/>
      <c r="D17" s="141" t="s">
        <v>514</v>
      </c>
      <c r="E17" s="140"/>
      <c r="F17" s="142"/>
    </row>
    <row r="18" spans="1:6" x14ac:dyDescent="0.2">
      <c r="A18" s="128" t="s">
        <v>535</v>
      </c>
      <c r="B18" s="129" t="s">
        <v>536</v>
      </c>
      <c r="C18" s="25"/>
      <c r="D18" s="128" t="s">
        <v>537</v>
      </c>
      <c r="E18" s="25"/>
      <c r="F18" s="131"/>
    </row>
    <row r="19" spans="1:6" x14ac:dyDescent="0.2">
      <c r="A19" s="128" t="s">
        <v>538</v>
      </c>
      <c r="B19" s="129" t="s">
        <v>539</v>
      </c>
      <c r="C19" s="25"/>
      <c r="D19" s="128" t="s">
        <v>520</v>
      </c>
      <c r="E19" s="25"/>
      <c r="F19" s="131"/>
    </row>
    <row r="20" spans="1:6" x14ac:dyDescent="0.2">
      <c r="A20" s="128" t="s">
        <v>540</v>
      </c>
      <c r="B20" s="129" t="s">
        <v>541</v>
      </c>
      <c r="C20" s="25"/>
      <c r="D20" s="128" t="s">
        <v>542</v>
      </c>
      <c r="E20" s="25"/>
      <c r="F20" s="131"/>
    </row>
    <row r="21" spans="1:6" x14ac:dyDescent="0.2">
      <c r="A21" s="128" t="s">
        <v>543</v>
      </c>
      <c r="B21" s="129" t="s">
        <v>544</v>
      </c>
      <c r="C21" s="25"/>
      <c r="D21" s="128" t="s">
        <v>529</v>
      </c>
      <c r="E21" s="25"/>
      <c r="F21" s="131"/>
    </row>
    <row r="22" spans="1:6" x14ac:dyDescent="0.2">
      <c r="A22" s="4"/>
      <c r="B22" s="25"/>
      <c r="C22" s="25"/>
      <c r="D22" s="4"/>
      <c r="E22" s="25"/>
      <c r="F22" s="131"/>
    </row>
    <row r="23" spans="1:6" ht="15.75" customHeight="1" x14ac:dyDescent="0.25">
      <c r="A23" s="143" t="s">
        <v>545</v>
      </c>
      <c r="B23" s="144"/>
      <c r="C23" s="144"/>
      <c r="D23" s="4"/>
      <c r="E23" s="25"/>
      <c r="F23" s="131"/>
    </row>
    <row r="24" spans="1:6" x14ac:dyDescent="0.2">
      <c r="A24" s="128" t="s">
        <v>546</v>
      </c>
      <c r="B24" s="129" t="s">
        <v>525</v>
      </c>
      <c r="C24" s="25"/>
      <c r="D24" s="145" t="s">
        <v>547</v>
      </c>
      <c r="E24" s="25"/>
      <c r="F24" s="131"/>
    </row>
    <row r="25" spans="1:6" x14ac:dyDescent="0.2">
      <c r="A25" s="128" t="s">
        <v>548</v>
      </c>
      <c r="B25" s="129" t="s">
        <v>532</v>
      </c>
      <c r="C25" s="25"/>
      <c r="D25" s="145" t="s">
        <v>549</v>
      </c>
      <c r="E25" s="25"/>
      <c r="F25" s="131"/>
    </row>
    <row r="26" spans="1:6" x14ac:dyDescent="0.2">
      <c r="A26" s="134" t="s">
        <v>550</v>
      </c>
      <c r="B26" s="135" t="s">
        <v>551</v>
      </c>
      <c r="C26" s="136"/>
      <c r="D26" s="146" t="s">
        <v>552</v>
      </c>
      <c r="E26" s="136"/>
      <c r="F26" s="1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1"/>
  <sheetViews>
    <sheetView workbookViewId="0">
      <pane ySplit="1" topLeftCell="A2" activePane="bottomLeft" state="frozen"/>
      <selection pane="bottomLeft" activeCell="D4" sqref="D4"/>
    </sheetView>
  </sheetViews>
  <sheetFormatPr defaultColWidth="12.5703125" defaultRowHeight="15.75" customHeight="1" x14ac:dyDescent="0.2"/>
  <cols>
    <col min="1" max="1" width="24.85546875" customWidth="1"/>
    <col min="2" max="2" width="17.140625" customWidth="1"/>
  </cols>
  <sheetData>
    <row r="1" spans="1:3" ht="12.75" x14ac:dyDescent="0.2">
      <c r="A1" s="147" t="s">
        <v>553</v>
      </c>
      <c r="B1" s="147" t="s">
        <v>554</v>
      </c>
      <c r="C1" s="147" t="s">
        <v>555</v>
      </c>
    </row>
    <row r="2" spans="1:3" ht="75" customHeight="1" x14ac:dyDescent="0.2">
      <c r="A2" s="68" t="e">
        <f ca="1">_xludf.image("https://lh3.google.com/u/0/d/1GSPgTHsCPE2cwRmXmMs2YSg2U8dlClLZ ",1)</f>
        <v>#NAME?</v>
      </c>
      <c r="B2" s="69" t="s">
        <v>556</v>
      </c>
      <c r="C2" s="69" t="s">
        <v>557</v>
      </c>
    </row>
    <row r="3" spans="1:3" ht="75" customHeight="1" x14ac:dyDescent="0.2">
      <c r="A3" s="68" t="e">
        <f ca="1">_xludf.image("https://lh3.google.com/u/0/d/1Zj3HqBu-w84-DRk2vDCgA57LRhjaAlf2 ",1)</f>
        <v>#NAME?</v>
      </c>
      <c r="B3" s="69" t="s">
        <v>558</v>
      </c>
      <c r="C3" s="69" t="s">
        <v>557</v>
      </c>
    </row>
    <row r="4" spans="1:3" ht="75" customHeight="1" x14ac:dyDescent="0.2">
      <c r="A4" s="68" t="e">
        <f ca="1">_xludf.image("https://lh3.google.com/u/0/d/1a6omzyJmaGeaKoXBqPbM1-ZDjbutxmRz",1)</f>
        <v>#NAME?</v>
      </c>
      <c r="B4" s="69" t="s">
        <v>559</v>
      </c>
      <c r="C4" s="69" t="s">
        <v>557</v>
      </c>
    </row>
    <row r="5" spans="1:3" ht="75" customHeight="1" x14ac:dyDescent="0.2">
      <c r="A5" s="68" t="e">
        <f ca="1">_xludf.image("https://lh3.google.com/u/0/d/1arG87lw4s939XrHbqKnVn6X6UN1HDKkd",1)</f>
        <v>#NAME?</v>
      </c>
      <c r="B5" s="69" t="s">
        <v>560</v>
      </c>
      <c r="C5" s="69" t="s">
        <v>557</v>
      </c>
    </row>
    <row r="6" spans="1:3" ht="75" customHeight="1" x14ac:dyDescent="0.2">
      <c r="A6" s="68" t="e">
        <f ca="1">_xludf.image("https://lh3.google.com/u/0/d/1-mLgLsMBHOiVrBni1AnjmB_2MLy0HJ3H",1)</f>
        <v>#NAME?</v>
      </c>
      <c r="B6" s="69" t="s">
        <v>561</v>
      </c>
      <c r="C6" s="69" t="s">
        <v>557</v>
      </c>
    </row>
    <row r="7" spans="1:3" ht="75" customHeight="1" x14ac:dyDescent="0.2">
      <c r="A7" s="68" t="e">
        <f ca="1">_xludf.image("https://lh3.google.com/u/0/d/14LL1edBUUB_ZzyVSyaUktBl1MbYexgYW",1)</f>
        <v>#NAME?</v>
      </c>
      <c r="B7" s="69" t="s">
        <v>562</v>
      </c>
      <c r="C7" s="69" t="s">
        <v>557</v>
      </c>
    </row>
    <row r="8" spans="1:3" ht="75" customHeight="1" x14ac:dyDescent="0.2">
      <c r="A8" s="68" t="e">
        <f ca="1">_xludf.image("https://lh3.google.com/u/0/d/1bDITtYawtvI52xSIBpb7hqnKqAZhLexN",1)</f>
        <v>#NAME?</v>
      </c>
      <c r="B8" s="69" t="s">
        <v>563</v>
      </c>
      <c r="C8" s="69" t="s">
        <v>557</v>
      </c>
    </row>
    <row r="9" spans="1:3" ht="75" customHeight="1" x14ac:dyDescent="0.2">
      <c r="A9" s="68" t="e">
        <f ca="1">_xludf.image("https://lh3.google.com/u/0/d/1xSIt1ZGRWvfmrXkIL9eOZWAT7bzwieMW",1)</f>
        <v>#NAME?</v>
      </c>
      <c r="B9" s="69" t="s">
        <v>564</v>
      </c>
      <c r="C9" s="69" t="s">
        <v>557</v>
      </c>
    </row>
    <row r="10" spans="1:3" ht="75" customHeight="1" x14ac:dyDescent="0.2">
      <c r="A10" s="68" t="e">
        <f ca="1">_xludf.image("https://lh3.google.com/u/0/d/1tbjaVzaF_Yuisw8uiBps32hHPNpVYkzh",1)</f>
        <v>#NAME?</v>
      </c>
      <c r="B10" s="69" t="s">
        <v>565</v>
      </c>
      <c r="C10" s="69" t="s">
        <v>557</v>
      </c>
    </row>
    <row r="11" spans="1:3" ht="75" customHeight="1" x14ac:dyDescent="0.2">
      <c r="A11" s="68" t="e">
        <f ca="1">_xludf.image("https://lh3.google.com/u/0/d/1w0tKpSoxd5zZHkD3Sd29LXB_L_Hr5OgD",1)</f>
        <v>#NAME?</v>
      </c>
      <c r="B11" s="69" t="s">
        <v>566</v>
      </c>
      <c r="C11" s="69" t="s">
        <v>557</v>
      </c>
    </row>
    <row r="12" spans="1:3" ht="75" customHeight="1" x14ac:dyDescent="0.2">
      <c r="A12" s="68" t="e">
        <f ca="1">_xludf.image("https://lh3.google.com/u/0/d/1u1AG4hLrz8iQSeLOydIiYNZzc6otPtst ",1)</f>
        <v>#NAME?</v>
      </c>
      <c r="B12" s="69" t="s">
        <v>567</v>
      </c>
      <c r="C12" s="69" t="s">
        <v>557</v>
      </c>
    </row>
    <row r="13" spans="1:3" ht="75" customHeight="1" x14ac:dyDescent="0.2">
      <c r="A13" s="68" t="e">
        <f ca="1">_xludf.image("https://lh3.google.com/u/0/d/1adhOSVoWiQciRTv4ituYCOA4FPsHdElI",1)</f>
        <v>#NAME?</v>
      </c>
      <c r="B13" s="69" t="s">
        <v>568</v>
      </c>
      <c r="C13" s="69" t="s">
        <v>557</v>
      </c>
    </row>
    <row r="14" spans="1:3" ht="75" customHeight="1" x14ac:dyDescent="0.2">
      <c r="A14" s="68" t="e">
        <f ca="1">_xludf.image("https://lh3.google.com/u/0/d/1zL4cqM4pbn8xlU9qGsg-d3c5rHNfqYy9",1)</f>
        <v>#NAME?</v>
      </c>
      <c r="B14" s="69" t="s">
        <v>569</v>
      </c>
      <c r="C14" s="69" t="s">
        <v>557</v>
      </c>
    </row>
    <row r="15" spans="1:3" ht="75" customHeight="1" x14ac:dyDescent="0.2">
      <c r="A15" s="68" t="e">
        <f ca="1">_xludf.image("https://lh3.google.com/u/0/d/1B1Hdoyorz19YBZiMWxdw0JZU5I_fgSfx",1)</f>
        <v>#NAME?</v>
      </c>
      <c r="B15" s="69" t="s">
        <v>570</v>
      </c>
      <c r="C15" s="69" t="s">
        <v>557</v>
      </c>
    </row>
    <row r="16" spans="1:3" ht="75" customHeight="1" x14ac:dyDescent="0.2">
      <c r="A16" s="68" t="e">
        <f ca="1">_xludf.image("https://lh3.google.com/u/0/d/1EXWrTNnEZczoo2mgNDL6qJZL_UagscLu",1)</f>
        <v>#NAME?</v>
      </c>
      <c r="B16" s="69" t="s">
        <v>571</v>
      </c>
      <c r="C16" s="69" t="s">
        <v>557</v>
      </c>
    </row>
    <row r="17" spans="1:3" ht="75" customHeight="1" x14ac:dyDescent="0.2">
      <c r="A17" s="68" t="e">
        <f ca="1">_xludf.image("https://lh3.google.com/u/0/d/1mLac8b7daVOxfmc3jVuS51ixpsEIAiq9",1)</f>
        <v>#NAME?</v>
      </c>
      <c r="B17" s="69" t="s">
        <v>572</v>
      </c>
      <c r="C17" s="69" t="s">
        <v>557</v>
      </c>
    </row>
    <row r="18" spans="1:3" ht="75" customHeight="1" x14ac:dyDescent="0.2">
      <c r="A18" s="68" t="e">
        <f ca="1">_xludf.image("https://lh3.google.com/u/0/d/1WlAXzJiIVAa_rtalKxvyQBZhIDMORAs7",1)</f>
        <v>#NAME?</v>
      </c>
      <c r="B18" s="69" t="s">
        <v>573</v>
      </c>
      <c r="C18" s="69" t="s">
        <v>557</v>
      </c>
    </row>
    <row r="19" spans="1:3" ht="75" customHeight="1" x14ac:dyDescent="0.2">
      <c r="A19" s="68" t="e">
        <f ca="1">_xludf.image("https://lh3.google.com/u/0/d/1SlUVXuQuItMaIV51phu3hdtpiIz7tdgl",1)</f>
        <v>#NAME?</v>
      </c>
      <c r="B19" s="69" t="s">
        <v>574</v>
      </c>
      <c r="C19" s="69" t="s">
        <v>557</v>
      </c>
    </row>
    <row r="20" spans="1:3" ht="75" customHeight="1" x14ac:dyDescent="0.2">
      <c r="A20" s="68" t="e">
        <f ca="1">_xludf.image("https://lh3.google.com/u/0/d/1W0Q-PXBGdUp3VgRB-TbooDsAyEvin-eJ",1)</f>
        <v>#NAME?</v>
      </c>
      <c r="B20" s="69" t="s">
        <v>575</v>
      </c>
      <c r="C20" s="69" t="s">
        <v>576</v>
      </c>
    </row>
    <row r="21" spans="1:3" ht="75" customHeight="1" x14ac:dyDescent="0.2">
      <c r="A21" s="68" t="e">
        <f ca="1">_xludf.image("https://lh3.google.com/u/0/d/1zGKvBLyprQNNfNslUV8NpwxNPSRPq11Z",1)</f>
        <v>#NAME?</v>
      </c>
      <c r="B21" s="69" t="s">
        <v>577</v>
      </c>
      <c r="C21" s="69" t="s">
        <v>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63C1-61F8-4E12-9EEA-100D6F47C5C2}">
  <dimension ref="A1:B21"/>
  <sheetViews>
    <sheetView workbookViewId="0">
      <selection activeCell="H21" sqref="H21"/>
    </sheetView>
  </sheetViews>
  <sheetFormatPr defaultRowHeight="12.75" x14ac:dyDescent="0.2"/>
  <cols>
    <col min="1" max="1" width="16.140625" bestFit="1" customWidth="1"/>
    <col min="2" max="2" width="15" bestFit="1" customWidth="1"/>
  </cols>
  <sheetData>
    <row r="1" spans="1:2" x14ac:dyDescent="0.2">
      <c r="A1" s="183" t="s">
        <v>554</v>
      </c>
      <c r="B1" s="183" t="s">
        <v>555</v>
      </c>
    </row>
    <row r="2" spans="1:2" x14ac:dyDescent="0.2">
      <c r="A2" t="s">
        <v>556</v>
      </c>
      <c r="B2" t="s">
        <v>557</v>
      </c>
    </row>
    <row r="3" spans="1:2" x14ac:dyDescent="0.2">
      <c r="A3" t="s">
        <v>558</v>
      </c>
      <c r="B3" t="s">
        <v>557</v>
      </c>
    </row>
    <row r="4" spans="1:2" x14ac:dyDescent="0.2">
      <c r="A4" t="s">
        <v>559</v>
      </c>
      <c r="B4" t="s">
        <v>557</v>
      </c>
    </row>
    <row r="5" spans="1:2" x14ac:dyDescent="0.2">
      <c r="A5" t="s">
        <v>560</v>
      </c>
      <c r="B5" t="s">
        <v>557</v>
      </c>
    </row>
    <row r="6" spans="1:2" x14ac:dyDescent="0.2">
      <c r="A6" t="s">
        <v>561</v>
      </c>
      <c r="B6" t="s">
        <v>557</v>
      </c>
    </row>
    <row r="7" spans="1:2" x14ac:dyDescent="0.2">
      <c r="A7" t="s">
        <v>562</v>
      </c>
      <c r="B7" t="s">
        <v>557</v>
      </c>
    </row>
    <row r="8" spans="1:2" x14ac:dyDescent="0.2">
      <c r="A8" t="s">
        <v>563</v>
      </c>
      <c r="B8" t="s">
        <v>557</v>
      </c>
    </row>
    <row r="9" spans="1:2" x14ac:dyDescent="0.2">
      <c r="A9" t="s">
        <v>564</v>
      </c>
      <c r="B9" t="s">
        <v>557</v>
      </c>
    </row>
    <row r="10" spans="1:2" x14ac:dyDescent="0.2">
      <c r="A10" t="s">
        <v>565</v>
      </c>
      <c r="B10" t="s">
        <v>557</v>
      </c>
    </row>
    <row r="11" spans="1:2" x14ac:dyDescent="0.2">
      <c r="A11" t="s">
        <v>566</v>
      </c>
      <c r="B11" t="s">
        <v>557</v>
      </c>
    </row>
    <row r="12" spans="1:2" x14ac:dyDescent="0.2">
      <c r="A12" t="s">
        <v>567</v>
      </c>
      <c r="B12" t="s">
        <v>557</v>
      </c>
    </row>
    <row r="13" spans="1:2" x14ac:dyDescent="0.2">
      <c r="A13" t="s">
        <v>568</v>
      </c>
      <c r="B13" t="s">
        <v>557</v>
      </c>
    </row>
    <row r="14" spans="1:2" x14ac:dyDescent="0.2">
      <c r="A14" t="s">
        <v>569</v>
      </c>
      <c r="B14" t="s">
        <v>557</v>
      </c>
    </row>
    <row r="15" spans="1:2" x14ac:dyDescent="0.2">
      <c r="A15" t="s">
        <v>570</v>
      </c>
      <c r="B15" t="s">
        <v>557</v>
      </c>
    </row>
    <row r="16" spans="1:2" x14ac:dyDescent="0.2">
      <c r="A16" t="s">
        <v>571</v>
      </c>
      <c r="B16" t="s">
        <v>557</v>
      </c>
    </row>
    <row r="17" spans="1:2" x14ac:dyDescent="0.2">
      <c r="A17" t="s">
        <v>572</v>
      </c>
      <c r="B17" t="s">
        <v>557</v>
      </c>
    </row>
    <row r="18" spans="1:2" x14ac:dyDescent="0.2">
      <c r="A18" t="s">
        <v>573</v>
      </c>
      <c r="B18" t="s">
        <v>557</v>
      </c>
    </row>
    <row r="19" spans="1:2" x14ac:dyDescent="0.2">
      <c r="A19" t="s">
        <v>574</v>
      </c>
      <c r="B19" t="s">
        <v>557</v>
      </c>
    </row>
    <row r="20" spans="1:2" x14ac:dyDescent="0.2">
      <c r="A20" t="s">
        <v>575</v>
      </c>
      <c r="B20" t="s">
        <v>576</v>
      </c>
    </row>
    <row r="21" spans="1:2" x14ac:dyDescent="0.2">
      <c r="A21" t="s">
        <v>577</v>
      </c>
      <c r="B21" t="s">
        <v>576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3766-C5C0-4AC5-8C01-FFC7E3891EEA}">
  <dimension ref="A1:G28"/>
  <sheetViews>
    <sheetView workbookViewId="0">
      <selection activeCell="F2" sqref="F2:F28"/>
    </sheetView>
  </sheetViews>
  <sheetFormatPr defaultRowHeight="12.75" x14ac:dyDescent="0.2"/>
  <cols>
    <col min="1" max="1" width="27.42578125" bestFit="1" customWidth="1"/>
    <col min="2" max="2" width="31.7109375" bestFit="1" customWidth="1"/>
    <col min="3" max="3" width="30.28515625" bestFit="1" customWidth="1"/>
    <col min="4" max="4" width="7.28515625" bestFit="1" customWidth="1"/>
    <col min="5" max="5" width="7.42578125" bestFit="1" customWidth="1"/>
    <col min="6" max="6" width="5.7109375" bestFit="1" customWidth="1"/>
    <col min="7" max="7" width="10.5703125" bestFit="1" customWidth="1"/>
  </cols>
  <sheetData>
    <row r="1" spans="1:7" x14ac:dyDescent="0.2">
      <c r="A1" s="183" t="s">
        <v>555</v>
      </c>
      <c r="B1" s="183" t="s">
        <v>578</v>
      </c>
      <c r="C1" s="183" t="s">
        <v>579</v>
      </c>
      <c r="D1" s="183" t="s">
        <v>582</v>
      </c>
      <c r="E1" s="183" t="s">
        <v>583</v>
      </c>
      <c r="F1" s="183" t="s">
        <v>580</v>
      </c>
      <c r="G1" s="183" t="s">
        <v>584</v>
      </c>
    </row>
    <row r="2" spans="1:7" x14ac:dyDescent="0.2">
      <c r="A2" t="s">
        <v>8</v>
      </c>
      <c r="B2" t="s">
        <v>9</v>
      </c>
      <c r="C2" t="s">
        <v>10</v>
      </c>
      <c r="D2">
        <v>40</v>
      </c>
      <c r="E2">
        <v>300</v>
      </c>
      <c r="F2" t="s">
        <v>651</v>
      </c>
      <c r="G2">
        <v>2512000</v>
      </c>
    </row>
    <row r="3" spans="1:7" x14ac:dyDescent="0.2">
      <c r="A3" t="s">
        <v>8</v>
      </c>
      <c r="B3" t="s">
        <v>12</v>
      </c>
      <c r="C3" t="s">
        <v>13</v>
      </c>
      <c r="D3">
        <v>40</v>
      </c>
      <c r="E3">
        <v>600</v>
      </c>
      <c r="F3" t="s">
        <v>651</v>
      </c>
      <c r="G3">
        <v>5170000</v>
      </c>
    </row>
    <row r="4" spans="1:7" x14ac:dyDescent="0.2">
      <c r="A4" t="s">
        <v>8</v>
      </c>
      <c r="B4" t="s">
        <v>14</v>
      </c>
      <c r="C4" t="s">
        <v>13</v>
      </c>
      <c r="D4">
        <v>40</v>
      </c>
      <c r="E4">
        <v>600</v>
      </c>
      <c r="F4" t="s">
        <v>651</v>
      </c>
      <c r="G4">
        <v>5540000</v>
      </c>
    </row>
    <row r="5" spans="1:7" x14ac:dyDescent="0.2">
      <c r="A5" t="s">
        <v>8</v>
      </c>
      <c r="B5" t="s">
        <v>15</v>
      </c>
      <c r="C5" t="s">
        <v>13</v>
      </c>
      <c r="D5">
        <v>40</v>
      </c>
      <c r="E5">
        <v>600</v>
      </c>
      <c r="F5" t="s">
        <v>651</v>
      </c>
      <c r="G5">
        <v>5909000</v>
      </c>
    </row>
    <row r="6" spans="1:7" x14ac:dyDescent="0.2">
      <c r="A6" t="s">
        <v>8</v>
      </c>
      <c r="B6" t="s">
        <v>16</v>
      </c>
      <c r="C6" t="s">
        <v>13</v>
      </c>
      <c r="D6">
        <v>40</v>
      </c>
      <c r="E6">
        <v>600</v>
      </c>
      <c r="F6" t="s">
        <v>651</v>
      </c>
      <c r="G6">
        <v>6279000</v>
      </c>
    </row>
    <row r="7" spans="1:7" x14ac:dyDescent="0.2">
      <c r="A7" t="s">
        <v>17</v>
      </c>
      <c r="B7" t="s">
        <v>18</v>
      </c>
      <c r="C7" t="s">
        <v>19</v>
      </c>
      <c r="D7">
        <v>40</v>
      </c>
      <c r="E7">
        <v>600</v>
      </c>
      <c r="F7" t="s">
        <v>651</v>
      </c>
      <c r="G7">
        <v>6236000</v>
      </c>
    </row>
    <row r="8" spans="1:7" x14ac:dyDescent="0.2">
      <c r="A8" t="s">
        <v>17</v>
      </c>
      <c r="B8" t="s">
        <v>20</v>
      </c>
      <c r="C8" t="s">
        <v>19</v>
      </c>
      <c r="D8">
        <v>40</v>
      </c>
      <c r="E8">
        <v>700</v>
      </c>
      <c r="F8" t="s">
        <v>651</v>
      </c>
      <c r="G8">
        <v>7153000</v>
      </c>
    </row>
    <row r="9" spans="1:7" x14ac:dyDescent="0.2">
      <c r="A9" t="s">
        <v>17</v>
      </c>
      <c r="B9" t="s">
        <v>21</v>
      </c>
      <c r="C9" t="s">
        <v>19</v>
      </c>
      <c r="D9">
        <v>40</v>
      </c>
      <c r="E9">
        <v>800</v>
      </c>
      <c r="F9" t="s">
        <v>651</v>
      </c>
      <c r="G9">
        <v>8070000</v>
      </c>
    </row>
    <row r="10" spans="1:7" x14ac:dyDescent="0.2">
      <c r="A10" t="s">
        <v>17</v>
      </c>
      <c r="B10" t="s">
        <v>22</v>
      </c>
      <c r="C10" t="s">
        <v>19</v>
      </c>
      <c r="D10">
        <v>40</v>
      </c>
      <c r="E10">
        <v>900</v>
      </c>
      <c r="F10" t="s">
        <v>651</v>
      </c>
      <c r="G10">
        <v>8988000</v>
      </c>
    </row>
    <row r="11" spans="1:7" x14ac:dyDescent="0.2">
      <c r="A11" t="s">
        <v>17</v>
      </c>
      <c r="B11" t="s">
        <v>23</v>
      </c>
      <c r="C11" t="s">
        <v>19</v>
      </c>
      <c r="D11">
        <v>40</v>
      </c>
      <c r="E11">
        <v>1000</v>
      </c>
      <c r="F11" t="s">
        <v>651</v>
      </c>
      <c r="G11">
        <v>9905000</v>
      </c>
    </row>
    <row r="12" spans="1:7" x14ac:dyDescent="0.2">
      <c r="A12" t="s">
        <v>17</v>
      </c>
      <c r="B12" t="s">
        <v>24</v>
      </c>
      <c r="C12" t="s">
        <v>19</v>
      </c>
      <c r="D12">
        <v>40</v>
      </c>
      <c r="E12">
        <v>1100</v>
      </c>
      <c r="F12" t="s">
        <v>651</v>
      </c>
      <c r="G12">
        <v>10822000</v>
      </c>
    </row>
    <row r="13" spans="1:7" x14ac:dyDescent="0.2">
      <c r="A13" t="s">
        <v>17</v>
      </c>
      <c r="B13" t="s">
        <v>25</v>
      </c>
      <c r="C13" t="s">
        <v>19</v>
      </c>
      <c r="D13">
        <v>40</v>
      </c>
      <c r="E13">
        <v>1200</v>
      </c>
      <c r="F13" t="s">
        <v>651</v>
      </c>
      <c r="G13">
        <v>11739000</v>
      </c>
    </row>
    <row r="14" spans="1:7" x14ac:dyDescent="0.2">
      <c r="A14" t="s">
        <v>17</v>
      </c>
      <c r="B14" t="s">
        <v>26</v>
      </c>
      <c r="C14" t="s">
        <v>19</v>
      </c>
      <c r="D14">
        <v>40</v>
      </c>
      <c r="E14">
        <v>1300</v>
      </c>
      <c r="F14" t="s">
        <v>651</v>
      </c>
      <c r="G14">
        <v>12656000</v>
      </c>
    </row>
    <row r="15" spans="1:7" x14ac:dyDescent="0.2">
      <c r="A15" t="s">
        <v>17</v>
      </c>
      <c r="B15" t="s">
        <v>27</v>
      </c>
      <c r="C15" t="s">
        <v>19</v>
      </c>
      <c r="D15">
        <v>40</v>
      </c>
      <c r="E15">
        <v>1500</v>
      </c>
      <c r="F15" t="s">
        <v>651</v>
      </c>
      <c r="G15">
        <v>14489000</v>
      </c>
    </row>
    <row r="16" spans="1:7" x14ac:dyDescent="0.2">
      <c r="A16" t="s">
        <v>28</v>
      </c>
      <c r="B16" t="s">
        <v>29</v>
      </c>
      <c r="C16" t="s">
        <v>30</v>
      </c>
      <c r="D16">
        <v>40</v>
      </c>
      <c r="E16">
        <v>600</v>
      </c>
      <c r="F16" t="s">
        <v>651</v>
      </c>
      <c r="G16">
        <v>5198000</v>
      </c>
    </row>
    <row r="17" spans="1:7" x14ac:dyDescent="0.2">
      <c r="A17" t="s">
        <v>28</v>
      </c>
      <c r="B17" t="s">
        <v>31</v>
      </c>
      <c r="C17" t="s">
        <v>32</v>
      </c>
      <c r="D17">
        <v>40</v>
      </c>
      <c r="E17">
        <v>800</v>
      </c>
      <c r="F17" t="s">
        <v>651</v>
      </c>
      <c r="G17">
        <v>6726000</v>
      </c>
    </row>
    <row r="18" spans="1:7" x14ac:dyDescent="0.2">
      <c r="A18" t="s">
        <v>28</v>
      </c>
      <c r="B18" t="s">
        <v>33</v>
      </c>
      <c r="C18" t="s">
        <v>34</v>
      </c>
      <c r="D18">
        <v>40</v>
      </c>
      <c r="E18">
        <v>900</v>
      </c>
      <c r="F18" t="s">
        <v>651</v>
      </c>
      <c r="G18">
        <v>7490000</v>
      </c>
    </row>
    <row r="19" spans="1:7" x14ac:dyDescent="0.2">
      <c r="A19" t="s">
        <v>28</v>
      </c>
      <c r="B19" t="s">
        <v>35</v>
      </c>
      <c r="D19">
        <v>40</v>
      </c>
      <c r="E19">
        <v>1000</v>
      </c>
      <c r="F19" t="s">
        <v>651</v>
      </c>
      <c r="G19">
        <v>8255000</v>
      </c>
    </row>
    <row r="20" spans="1:7" x14ac:dyDescent="0.2">
      <c r="A20" t="s">
        <v>28</v>
      </c>
      <c r="B20" t="s">
        <v>36</v>
      </c>
      <c r="D20">
        <v>40</v>
      </c>
      <c r="E20">
        <v>1200</v>
      </c>
      <c r="F20" t="s">
        <v>651</v>
      </c>
      <c r="G20">
        <v>9782000</v>
      </c>
    </row>
    <row r="21" spans="1:7" x14ac:dyDescent="0.2">
      <c r="A21" t="s">
        <v>38</v>
      </c>
      <c r="B21" t="s">
        <v>40</v>
      </c>
      <c r="C21" t="s">
        <v>41</v>
      </c>
      <c r="E21">
        <v>200</v>
      </c>
      <c r="F21" t="s">
        <v>651</v>
      </c>
      <c r="G21">
        <v>1699000</v>
      </c>
    </row>
    <row r="22" spans="1:7" x14ac:dyDescent="0.2">
      <c r="A22" t="s">
        <v>38</v>
      </c>
      <c r="B22" t="s">
        <v>43</v>
      </c>
      <c r="C22" t="s">
        <v>41</v>
      </c>
      <c r="E22">
        <v>300</v>
      </c>
      <c r="F22" t="s">
        <v>651</v>
      </c>
      <c r="G22">
        <v>2549000</v>
      </c>
    </row>
    <row r="23" spans="1:7" x14ac:dyDescent="0.2">
      <c r="A23" t="s">
        <v>38</v>
      </c>
      <c r="B23" t="s">
        <v>44</v>
      </c>
      <c r="C23" t="s">
        <v>41</v>
      </c>
      <c r="E23">
        <v>400</v>
      </c>
      <c r="F23" t="s">
        <v>651</v>
      </c>
      <c r="G23">
        <v>3398000</v>
      </c>
    </row>
    <row r="24" spans="1:7" x14ac:dyDescent="0.2">
      <c r="A24" t="s">
        <v>38</v>
      </c>
      <c r="B24" t="s">
        <v>45</v>
      </c>
      <c r="C24" t="s">
        <v>41</v>
      </c>
      <c r="E24">
        <v>500</v>
      </c>
      <c r="F24" t="s">
        <v>651</v>
      </c>
      <c r="G24">
        <v>4246000</v>
      </c>
    </row>
    <row r="25" spans="1:7" x14ac:dyDescent="0.2">
      <c r="A25" t="s">
        <v>38</v>
      </c>
      <c r="B25" t="s">
        <v>46</v>
      </c>
      <c r="C25" t="s">
        <v>41</v>
      </c>
      <c r="E25">
        <v>600</v>
      </c>
      <c r="F25" t="s">
        <v>651</v>
      </c>
      <c r="G25">
        <v>5096000</v>
      </c>
    </row>
    <row r="26" spans="1:7" x14ac:dyDescent="0.2">
      <c r="A26" t="s">
        <v>38</v>
      </c>
      <c r="B26" t="s">
        <v>47</v>
      </c>
      <c r="C26" t="s">
        <v>41</v>
      </c>
      <c r="E26">
        <v>800</v>
      </c>
      <c r="F26" t="s">
        <v>651</v>
      </c>
      <c r="G26">
        <v>6793000</v>
      </c>
    </row>
    <row r="27" spans="1:7" x14ac:dyDescent="0.2">
      <c r="A27" t="s">
        <v>38</v>
      </c>
      <c r="B27" t="s">
        <v>48</v>
      </c>
      <c r="C27" t="s">
        <v>41</v>
      </c>
      <c r="E27">
        <v>900</v>
      </c>
      <c r="F27" t="s">
        <v>651</v>
      </c>
      <c r="G27">
        <v>7643000</v>
      </c>
    </row>
    <row r="28" spans="1:7" x14ac:dyDescent="0.2">
      <c r="A28" t="s">
        <v>38</v>
      </c>
      <c r="B28" t="s">
        <v>49</v>
      </c>
      <c r="C28" t="s">
        <v>41</v>
      </c>
      <c r="E28">
        <v>1000</v>
      </c>
      <c r="F28" t="s">
        <v>651</v>
      </c>
      <c r="G28">
        <v>8492000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6FA8-9E2D-48F2-A821-C57A38DC6039}">
  <dimension ref="A1:D25"/>
  <sheetViews>
    <sheetView tabSelected="1" workbookViewId="0">
      <selection activeCell="B27" sqref="B27"/>
    </sheetView>
  </sheetViews>
  <sheetFormatPr defaultRowHeight="12.75" x14ac:dyDescent="0.2"/>
  <cols>
    <col min="1" max="1" width="21.5703125" bestFit="1" customWidth="1"/>
    <col min="2" max="2" width="98.85546875" bestFit="1" customWidth="1"/>
    <col min="3" max="3" width="14.7109375" bestFit="1" customWidth="1"/>
    <col min="4" max="4" width="10.5703125" bestFit="1" customWidth="1"/>
  </cols>
  <sheetData>
    <row r="1" spans="1:4" x14ac:dyDescent="0.2">
      <c r="A1" s="183" t="s">
        <v>555</v>
      </c>
      <c r="B1" s="183" t="s">
        <v>578</v>
      </c>
      <c r="C1" s="183" t="s">
        <v>580</v>
      </c>
      <c r="D1" s="183" t="s">
        <v>584</v>
      </c>
    </row>
    <row r="2" spans="1:4" x14ac:dyDescent="0.2">
      <c r="A2" t="s">
        <v>581</v>
      </c>
      <c r="B2" t="s">
        <v>57</v>
      </c>
      <c r="C2" t="s">
        <v>651</v>
      </c>
      <c r="D2">
        <v>358000</v>
      </c>
    </row>
    <row r="3" spans="1:4" x14ac:dyDescent="0.2">
      <c r="A3" t="s">
        <v>581</v>
      </c>
      <c r="B3" t="s">
        <v>585</v>
      </c>
      <c r="C3" t="s">
        <v>651</v>
      </c>
      <c r="D3">
        <v>280000</v>
      </c>
    </row>
    <row r="4" spans="1:4" x14ac:dyDescent="0.2">
      <c r="A4" t="s">
        <v>581</v>
      </c>
      <c r="B4" t="s">
        <v>586</v>
      </c>
      <c r="C4" t="s">
        <v>651</v>
      </c>
      <c r="D4">
        <v>309000</v>
      </c>
    </row>
    <row r="5" spans="1:4" x14ac:dyDescent="0.2">
      <c r="A5" t="s">
        <v>581</v>
      </c>
      <c r="B5" t="s">
        <v>61</v>
      </c>
      <c r="C5" t="s">
        <v>651</v>
      </c>
      <c r="D5">
        <v>219000</v>
      </c>
    </row>
    <row r="6" spans="1:4" x14ac:dyDescent="0.2">
      <c r="A6" t="s">
        <v>581</v>
      </c>
      <c r="B6" t="s">
        <v>62</v>
      </c>
      <c r="C6" t="s">
        <v>651</v>
      </c>
      <c r="D6">
        <v>352000</v>
      </c>
    </row>
    <row r="7" spans="1:4" x14ac:dyDescent="0.2">
      <c r="A7" t="s">
        <v>581</v>
      </c>
      <c r="B7" t="s">
        <v>587</v>
      </c>
      <c r="C7" t="s">
        <v>651</v>
      </c>
      <c r="D7">
        <v>322000</v>
      </c>
    </row>
    <row r="8" spans="1:4" x14ac:dyDescent="0.2">
      <c r="A8" t="s">
        <v>581</v>
      </c>
      <c r="B8" t="s">
        <v>588</v>
      </c>
      <c r="C8" t="s">
        <v>652</v>
      </c>
      <c r="D8">
        <v>474000</v>
      </c>
    </row>
    <row r="9" spans="1:4" x14ac:dyDescent="0.2">
      <c r="A9" t="s">
        <v>581</v>
      </c>
      <c r="B9" t="s">
        <v>589</v>
      </c>
      <c r="C9" t="s">
        <v>652</v>
      </c>
      <c r="D9">
        <v>583000</v>
      </c>
    </row>
    <row r="10" spans="1:4" x14ac:dyDescent="0.2">
      <c r="A10" t="s">
        <v>581</v>
      </c>
      <c r="B10" t="s">
        <v>590</v>
      </c>
      <c r="C10" t="s">
        <v>652</v>
      </c>
      <c r="D10">
        <v>711000</v>
      </c>
    </row>
    <row r="11" spans="1:4" x14ac:dyDescent="0.2">
      <c r="A11" t="s">
        <v>591</v>
      </c>
      <c r="B11" t="s">
        <v>592</v>
      </c>
      <c r="C11" t="s">
        <v>652</v>
      </c>
      <c r="D11">
        <v>885000</v>
      </c>
    </row>
    <row r="12" spans="1:4" x14ac:dyDescent="0.2">
      <c r="A12" t="s">
        <v>591</v>
      </c>
      <c r="B12" t="s">
        <v>593</v>
      </c>
      <c r="C12" t="s">
        <v>652</v>
      </c>
      <c r="D12">
        <v>1263000</v>
      </c>
    </row>
    <row r="13" spans="1:4" x14ac:dyDescent="0.2">
      <c r="A13" t="s">
        <v>591</v>
      </c>
      <c r="B13" t="s">
        <v>594</v>
      </c>
      <c r="C13" t="s">
        <v>652</v>
      </c>
      <c r="D13">
        <v>255000</v>
      </c>
    </row>
    <row r="14" spans="1:4" x14ac:dyDescent="0.2">
      <c r="A14" t="s">
        <v>591</v>
      </c>
      <c r="B14" t="s">
        <v>595</v>
      </c>
      <c r="C14" t="s">
        <v>652</v>
      </c>
      <c r="D14">
        <v>189000</v>
      </c>
    </row>
    <row r="15" spans="1:4" x14ac:dyDescent="0.2">
      <c r="A15" t="s">
        <v>591</v>
      </c>
      <c r="B15" t="s">
        <v>596</v>
      </c>
      <c r="C15" t="s">
        <v>652</v>
      </c>
      <c r="D15">
        <v>59000</v>
      </c>
    </row>
    <row r="16" spans="1:4" x14ac:dyDescent="0.2">
      <c r="A16" t="s">
        <v>591</v>
      </c>
      <c r="B16" t="s">
        <v>597</v>
      </c>
      <c r="C16" t="s">
        <v>652</v>
      </c>
      <c r="D16">
        <v>843000</v>
      </c>
    </row>
    <row r="17" spans="1:4" x14ac:dyDescent="0.2">
      <c r="A17" t="s">
        <v>591</v>
      </c>
      <c r="B17" t="s">
        <v>598</v>
      </c>
      <c r="C17" t="s">
        <v>652</v>
      </c>
      <c r="D17">
        <v>915000</v>
      </c>
    </row>
    <row r="18" spans="1:4" x14ac:dyDescent="0.2">
      <c r="A18" t="s">
        <v>591</v>
      </c>
      <c r="B18" t="s">
        <v>599</v>
      </c>
      <c r="C18" t="s">
        <v>652</v>
      </c>
      <c r="D18">
        <v>743000</v>
      </c>
    </row>
    <row r="19" spans="1:4" x14ac:dyDescent="0.2">
      <c r="A19" t="s">
        <v>591</v>
      </c>
      <c r="B19" t="s">
        <v>600</v>
      </c>
      <c r="C19" t="s">
        <v>652</v>
      </c>
      <c r="D19">
        <v>763000</v>
      </c>
    </row>
    <row r="20" spans="1:4" x14ac:dyDescent="0.2">
      <c r="A20" t="s">
        <v>591</v>
      </c>
      <c r="B20" t="s">
        <v>601</v>
      </c>
      <c r="C20" t="s">
        <v>652</v>
      </c>
      <c r="D20">
        <v>1050000</v>
      </c>
    </row>
    <row r="21" spans="1:4" x14ac:dyDescent="0.2">
      <c r="A21" t="s">
        <v>81</v>
      </c>
      <c r="B21" t="s">
        <v>83</v>
      </c>
      <c r="C21" t="s">
        <v>652</v>
      </c>
      <c r="D21">
        <v>50000</v>
      </c>
    </row>
    <row r="22" spans="1:4" x14ac:dyDescent="0.2">
      <c r="A22" t="s">
        <v>81</v>
      </c>
      <c r="B22" t="s">
        <v>84</v>
      </c>
      <c r="C22" t="s">
        <v>652</v>
      </c>
      <c r="D22">
        <v>172000</v>
      </c>
    </row>
    <row r="23" spans="1:4" x14ac:dyDescent="0.2">
      <c r="A23" t="s">
        <v>81</v>
      </c>
      <c r="B23" t="s">
        <v>85</v>
      </c>
      <c r="C23" t="s">
        <v>652</v>
      </c>
      <c r="D23">
        <v>183000</v>
      </c>
    </row>
    <row r="24" spans="1:4" x14ac:dyDescent="0.2">
      <c r="A24" t="s">
        <v>81</v>
      </c>
      <c r="B24" t="s">
        <v>86</v>
      </c>
      <c r="C24" t="s">
        <v>652</v>
      </c>
      <c r="D24">
        <v>573000</v>
      </c>
    </row>
    <row r="25" spans="1:4" x14ac:dyDescent="0.2">
      <c r="A25" t="s">
        <v>81</v>
      </c>
      <c r="B25" t="s">
        <v>87</v>
      </c>
      <c r="C25" t="s">
        <v>652</v>
      </c>
      <c r="D25">
        <v>412000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BA8C-15F4-4DA6-8BD7-723FB5BD0A10}">
  <dimension ref="A1:C118"/>
  <sheetViews>
    <sheetView workbookViewId="0">
      <selection activeCell="B57" sqref="B57"/>
    </sheetView>
  </sheetViews>
  <sheetFormatPr defaultRowHeight="12.75" x14ac:dyDescent="0.2"/>
  <cols>
    <col min="1" max="1" width="24.85546875" bestFit="1" customWidth="1"/>
    <col min="2" max="2" width="132.28515625" bestFit="1" customWidth="1"/>
    <col min="3" max="3" width="10.5703125" bestFit="1" customWidth="1"/>
  </cols>
  <sheetData>
    <row r="1" spans="1:3" x14ac:dyDescent="0.2">
      <c r="A1" s="183" t="s">
        <v>555</v>
      </c>
      <c r="B1" s="183" t="s">
        <v>578</v>
      </c>
      <c r="C1" s="183" t="s">
        <v>584</v>
      </c>
    </row>
    <row r="2" spans="1:3" x14ac:dyDescent="0.2">
      <c r="A2" t="s">
        <v>264</v>
      </c>
      <c r="B2" t="s">
        <v>265</v>
      </c>
      <c r="C2">
        <v>3395000</v>
      </c>
    </row>
    <row r="3" spans="1:3" x14ac:dyDescent="0.2">
      <c r="A3" t="s">
        <v>264</v>
      </c>
      <c r="B3" t="s">
        <v>266</v>
      </c>
      <c r="C3">
        <v>4031000</v>
      </c>
    </row>
    <row r="4" spans="1:3" x14ac:dyDescent="0.2">
      <c r="A4" t="s">
        <v>264</v>
      </c>
      <c r="B4" t="s">
        <v>267</v>
      </c>
      <c r="C4">
        <v>5834000</v>
      </c>
    </row>
    <row r="5" spans="1:3" x14ac:dyDescent="0.2">
      <c r="A5" t="s">
        <v>264</v>
      </c>
      <c r="B5" t="s">
        <v>268</v>
      </c>
      <c r="C5">
        <v>6682000</v>
      </c>
    </row>
    <row r="6" spans="1:3" x14ac:dyDescent="0.2">
      <c r="A6" t="s">
        <v>264</v>
      </c>
      <c r="B6" t="s">
        <v>269</v>
      </c>
      <c r="C6">
        <v>2440000</v>
      </c>
    </row>
    <row r="7" spans="1:3" x14ac:dyDescent="0.2">
      <c r="A7" t="s">
        <v>264</v>
      </c>
      <c r="B7" t="s">
        <v>270</v>
      </c>
      <c r="C7">
        <v>1804000</v>
      </c>
    </row>
    <row r="8" spans="1:3" x14ac:dyDescent="0.2">
      <c r="A8" t="s">
        <v>264</v>
      </c>
      <c r="B8" t="s">
        <v>271</v>
      </c>
      <c r="C8">
        <v>1592000</v>
      </c>
    </row>
    <row r="9" spans="1:3" x14ac:dyDescent="0.2">
      <c r="A9" t="s">
        <v>264</v>
      </c>
      <c r="B9" t="s">
        <v>272</v>
      </c>
      <c r="C9">
        <v>179000</v>
      </c>
    </row>
    <row r="10" spans="1:3" x14ac:dyDescent="0.2">
      <c r="A10" t="s">
        <v>264</v>
      </c>
      <c r="B10" t="s">
        <v>273</v>
      </c>
      <c r="C10">
        <v>254000</v>
      </c>
    </row>
    <row r="11" spans="1:3" x14ac:dyDescent="0.2">
      <c r="A11" t="s">
        <v>264</v>
      </c>
      <c r="B11" t="s">
        <v>274</v>
      </c>
      <c r="C11">
        <v>467000</v>
      </c>
    </row>
    <row r="12" spans="1:3" x14ac:dyDescent="0.2">
      <c r="A12" t="s">
        <v>264</v>
      </c>
      <c r="B12" t="s">
        <v>275</v>
      </c>
      <c r="C12">
        <v>559000</v>
      </c>
    </row>
    <row r="13" spans="1:3" x14ac:dyDescent="0.2">
      <c r="A13" t="s">
        <v>264</v>
      </c>
      <c r="B13" t="s">
        <v>276</v>
      </c>
      <c r="C13">
        <v>652000</v>
      </c>
    </row>
    <row r="14" spans="1:3" x14ac:dyDescent="0.2">
      <c r="A14" t="s">
        <v>264</v>
      </c>
      <c r="B14" t="s">
        <v>277</v>
      </c>
      <c r="C14">
        <v>926000</v>
      </c>
    </row>
    <row r="15" spans="1:3" x14ac:dyDescent="0.2">
      <c r="A15" t="s">
        <v>264</v>
      </c>
      <c r="B15" t="s">
        <v>278</v>
      </c>
      <c r="C15">
        <v>1115000</v>
      </c>
    </row>
    <row r="16" spans="1:3" x14ac:dyDescent="0.2">
      <c r="A16" t="s">
        <v>264</v>
      </c>
      <c r="B16" t="s">
        <v>279</v>
      </c>
      <c r="C16">
        <v>2133000</v>
      </c>
    </row>
    <row r="17" spans="1:3" x14ac:dyDescent="0.2">
      <c r="A17" t="s">
        <v>264</v>
      </c>
      <c r="B17" t="s">
        <v>280</v>
      </c>
      <c r="C17">
        <v>2318000</v>
      </c>
    </row>
    <row r="18" spans="1:3" x14ac:dyDescent="0.2">
      <c r="A18" t="s">
        <v>264</v>
      </c>
      <c r="B18" t="s">
        <v>281</v>
      </c>
      <c r="C18">
        <v>2318000</v>
      </c>
    </row>
    <row r="19" spans="1:3" x14ac:dyDescent="0.2">
      <c r="A19" t="s">
        <v>264</v>
      </c>
      <c r="B19" t="s">
        <v>282</v>
      </c>
      <c r="C19">
        <v>926000</v>
      </c>
    </row>
    <row r="20" spans="1:3" x14ac:dyDescent="0.2">
      <c r="A20" t="s">
        <v>264</v>
      </c>
      <c r="B20" t="s">
        <v>283</v>
      </c>
      <c r="C20">
        <v>1235000</v>
      </c>
    </row>
    <row r="21" spans="1:3" x14ac:dyDescent="0.2">
      <c r="A21" t="s">
        <v>264</v>
      </c>
      <c r="B21" t="s">
        <v>284</v>
      </c>
      <c r="C21">
        <v>1691000</v>
      </c>
    </row>
    <row r="22" spans="1:3" x14ac:dyDescent="0.2">
      <c r="A22" t="s">
        <v>264</v>
      </c>
      <c r="B22" t="s">
        <v>286</v>
      </c>
      <c r="C22">
        <v>2308000</v>
      </c>
    </row>
    <row r="23" spans="1:3" x14ac:dyDescent="0.2">
      <c r="A23" t="s">
        <v>287</v>
      </c>
      <c r="B23" t="s">
        <v>288</v>
      </c>
      <c r="C23">
        <v>7663000</v>
      </c>
    </row>
    <row r="24" spans="1:3" x14ac:dyDescent="0.2">
      <c r="A24" t="s">
        <v>287</v>
      </c>
      <c r="B24" t="s">
        <v>615</v>
      </c>
      <c r="C24">
        <v>604000</v>
      </c>
    </row>
    <row r="25" spans="1:3" x14ac:dyDescent="0.2">
      <c r="A25" t="s">
        <v>287</v>
      </c>
      <c r="B25" t="s">
        <v>616</v>
      </c>
      <c r="C25">
        <v>1663000</v>
      </c>
    </row>
    <row r="26" spans="1:3" x14ac:dyDescent="0.2">
      <c r="A26" t="s">
        <v>287</v>
      </c>
      <c r="B26" t="s">
        <v>291</v>
      </c>
      <c r="C26">
        <v>2205000</v>
      </c>
    </row>
    <row r="27" spans="1:3" x14ac:dyDescent="0.2">
      <c r="A27" t="s">
        <v>287</v>
      </c>
      <c r="B27" t="s">
        <v>292</v>
      </c>
      <c r="C27">
        <v>3449000</v>
      </c>
    </row>
    <row r="28" spans="1:3" x14ac:dyDescent="0.2">
      <c r="A28" t="s">
        <v>287</v>
      </c>
      <c r="B28" t="s">
        <v>617</v>
      </c>
      <c r="C28">
        <v>3503000</v>
      </c>
    </row>
    <row r="29" spans="1:3" x14ac:dyDescent="0.2">
      <c r="A29" t="s">
        <v>287</v>
      </c>
      <c r="B29" t="s">
        <v>618</v>
      </c>
      <c r="C29">
        <v>2638000</v>
      </c>
    </row>
    <row r="30" spans="1:3" x14ac:dyDescent="0.2">
      <c r="A30" t="s">
        <v>287</v>
      </c>
      <c r="B30" t="s">
        <v>619</v>
      </c>
      <c r="C30">
        <v>2070000</v>
      </c>
    </row>
    <row r="31" spans="1:3" x14ac:dyDescent="0.2">
      <c r="A31" t="s">
        <v>287</v>
      </c>
      <c r="B31" t="s">
        <v>620</v>
      </c>
      <c r="C31">
        <v>2626000</v>
      </c>
    </row>
    <row r="32" spans="1:3" x14ac:dyDescent="0.2">
      <c r="A32" t="s">
        <v>287</v>
      </c>
      <c r="B32" t="s">
        <v>297</v>
      </c>
      <c r="C32">
        <v>4261000</v>
      </c>
    </row>
    <row r="33" spans="1:3" x14ac:dyDescent="0.2">
      <c r="A33" t="s">
        <v>287</v>
      </c>
      <c r="B33" t="s">
        <v>298</v>
      </c>
      <c r="C33">
        <v>4040000</v>
      </c>
    </row>
    <row r="34" spans="1:3" x14ac:dyDescent="0.2">
      <c r="A34" t="s">
        <v>287</v>
      </c>
      <c r="B34" t="s">
        <v>300</v>
      </c>
      <c r="C34">
        <v>4501000</v>
      </c>
    </row>
    <row r="35" spans="1:3" x14ac:dyDescent="0.2">
      <c r="A35" t="s">
        <v>287</v>
      </c>
      <c r="B35" t="s">
        <v>301</v>
      </c>
      <c r="C35">
        <v>3929000</v>
      </c>
    </row>
    <row r="36" spans="1:3" x14ac:dyDescent="0.2">
      <c r="A36" t="s">
        <v>287</v>
      </c>
      <c r="B36" t="s">
        <v>621</v>
      </c>
      <c r="C36">
        <v>256000</v>
      </c>
    </row>
    <row r="37" spans="1:3" x14ac:dyDescent="0.2">
      <c r="A37" t="s">
        <v>287</v>
      </c>
      <c r="B37" t="s">
        <v>622</v>
      </c>
      <c r="C37">
        <v>1149000</v>
      </c>
    </row>
    <row r="38" spans="1:3" x14ac:dyDescent="0.2">
      <c r="A38" t="s">
        <v>287</v>
      </c>
      <c r="B38" t="s">
        <v>623</v>
      </c>
      <c r="C38">
        <v>1349000</v>
      </c>
    </row>
    <row r="39" spans="1:3" x14ac:dyDescent="0.2">
      <c r="A39" t="s">
        <v>287</v>
      </c>
      <c r="B39" t="s">
        <v>305</v>
      </c>
      <c r="C39">
        <v>577000</v>
      </c>
    </row>
    <row r="40" spans="1:3" x14ac:dyDescent="0.2">
      <c r="A40" t="s">
        <v>287</v>
      </c>
      <c r="B40" t="s">
        <v>306</v>
      </c>
      <c r="C40">
        <v>4734000</v>
      </c>
    </row>
    <row r="41" spans="1:3" x14ac:dyDescent="0.2">
      <c r="A41" t="s">
        <v>287</v>
      </c>
      <c r="B41" t="s">
        <v>624</v>
      </c>
      <c r="C41">
        <v>625000</v>
      </c>
    </row>
    <row r="42" spans="1:3" x14ac:dyDescent="0.2">
      <c r="A42" t="s">
        <v>287</v>
      </c>
      <c r="B42" t="s">
        <v>308</v>
      </c>
      <c r="C42">
        <v>3503000</v>
      </c>
    </row>
    <row r="43" spans="1:3" x14ac:dyDescent="0.2">
      <c r="A43" t="s">
        <v>287</v>
      </c>
      <c r="B43" t="s">
        <v>625</v>
      </c>
      <c r="C43">
        <v>3689000</v>
      </c>
    </row>
    <row r="44" spans="1:3" x14ac:dyDescent="0.2">
      <c r="A44" t="s">
        <v>287</v>
      </c>
      <c r="B44" t="s">
        <v>310</v>
      </c>
      <c r="C44">
        <v>4357000</v>
      </c>
    </row>
    <row r="45" spans="1:3" x14ac:dyDescent="0.2">
      <c r="A45" t="s">
        <v>287</v>
      </c>
      <c r="B45" t="s">
        <v>311</v>
      </c>
      <c r="C45">
        <v>10983000</v>
      </c>
    </row>
    <row r="46" spans="1:3" x14ac:dyDescent="0.2">
      <c r="A46" t="s">
        <v>287</v>
      </c>
      <c r="B46" t="s">
        <v>312</v>
      </c>
      <c r="C46">
        <v>10983000</v>
      </c>
    </row>
    <row r="47" spans="1:3" x14ac:dyDescent="0.2">
      <c r="A47" t="s">
        <v>287</v>
      </c>
      <c r="B47" t="s">
        <v>313</v>
      </c>
      <c r="C47">
        <v>2568000</v>
      </c>
    </row>
    <row r="48" spans="1:3" x14ac:dyDescent="0.2">
      <c r="A48" t="s">
        <v>314</v>
      </c>
      <c r="B48" t="s">
        <v>315</v>
      </c>
      <c r="C48">
        <v>967000</v>
      </c>
    </row>
    <row r="49" spans="1:3" x14ac:dyDescent="0.2">
      <c r="A49" t="s">
        <v>314</v>
      </c>
      <c r="B49" t="s">
        <v>316</v>
      </c>
      <c r="C49">
        <v>4625000</v>
      </c>
    </row>
    <row r="50" spans="1:3" x14ac:dyDescent="0.2">
      <c r="A50" t="s">
        <v>314</v>
      </c>
      <c r="B50" t="s">
        <v>317</v>
      </c>
      <c r="C50">
        <v>1224000</v>
      </c>
    </row>
    <row r="51" spans="1:3" x14ac:dyDescent="0.2">
      <c r="A51" t="s">
        <v>314</v>
      </c>
      <c r="B51" t="s">
        <v>318</v>
      </c>
      <c r="C51">
        <v>1609000</v>
      </c>
    </row>
    <row r="52" spans="1:3" x14ac:dyDescent="0.2">
      <c r="A52" t="s">
        <v>319</v>
      </c>
      <c r="B52" t="s">
        <v>320</v>
      </c>
      <c r="C52">
        <v>5664000</v>
      </c>
    </row>
    <row r="53" spans="1:3" x14ac:dyDescent="0.2">
      <c r="A53" t="s">
        <v>319</v>
      </c>
      <c r="B53" t="s">
        <v>626</v>
      </c>
      <c r="C53">
        <v>3921000</v>
      </c>
    </row>
    <row r="54" spans="1:3" x14ac:dyDescent="0.2">
      <c r="A54" t="s">
        <v>319</v>
      </c>
      <c r="B54" t="s">
        <v>627</v>
      </c>
      <c r="C54">
        <v>6125000</v>
      </c>
    </row>
    <row r="55" spans="1:3" x14ac:dyDescent="0.2">
      <c r="A55" t="s">
        <v>319</v>
      </c>
      <c r="B55" t="s">
        <v>323</v>
      </c>
      <c r="C55">
        <v>12798000</v>
      </c>
    </row>
    <row r="56" spans="1:3" x14ac:dyDescent="0.2">
      <c r="A56" t="s">
        <v>319</v>
      </c>
      <c r="B56" t="s">
        <v>324</v>
      </c>
      <c r="C56">
        <v>13293000</v>
      </c>
    </row>
    <row r="57" spans="1:3" x14ac:dyDescent="0.2">
      <c r="A57" t="s">
        <v>319</v>
      </c>
      <c r="B57" t="s">
        <v>628</v>
      </c>
      <c r="C57">
        <v>7048000</v>
      </c>
    </row>
    <row r="58" spans="1:3" x14ac:dyDescent="0.2">
      <c r="A58" t="s">
        <v>326</v>
      </c>
      <c r="B58" t="s">
        <v>629</v>
      </c>
      <c r="C58">
        <v>1273000</v>
      </c>
    </row>
    <row r="59" spans="1:3" x14ac:dyDescent="0.2">
      <c r="A59" t="s">
        <v>326</v>
      </c>
      <c r="B59" t="s">
        <v>630</v>
      </c>
      <c r="C59">
        <v>135000</v>
      </c>
    </row>
    <row r="60" spans="1:3" x14ac:dyDescent="0.2">
      <c r="A60" t="s">
        <v>326</v>
      </c>
      <c r="B60" t="s">
        <v>631</v>
      </c>
      <c r="C60">
        <v>1041000</v>
      </c>
    </row>
    <row r="61" spans="1:3" x14ac:dyDescent="0.2">
      <c r="A61" t="s">
        <v>326</v>
      </c>
      <c r="B61" t="s">
        <v>632</v>
      </c>
      <c r="C61">
        <v>417000</v>
      </c>
    </row>
    <row r="62" spans="1:3" x14ac:dyDescent="0.2">
      <c r="A62" t="s">
        <v>654</v>
      </c>
      <c r="B62" t="s">
        <v>633</v>
      </c>
      <c r="C62">
        <v>13275000</v>
      </c>
    </row>
    <row r="63" spans="1:3" x14ac:dyDescent="0.2">
      <c r="A63" t="s">
        <v>654</v>
      </c>
      <c r="B63" t="s">
        <v>634</v>
      </c>
      <c r="C63">
        <v>4349000</v>
      </c>
    </row>
    <row r="64" spans="1:3" x14ac:dyDescent="0.2">
      <c r="A64" t="s">
        <v>654</v>
      </c>
      <c r="B64" t="s">
        <v>635</v>
      </c>
      <c r="C64">
        <v>3303000</v>
      </c>
    </row>
    <row r="65" spans="1:3" x14ac:dyDescent="0.2">
      <c r="A65" t="s">
        <v>654</v>
      </c>
      <c r="B65" t="s">
        <v>636</v>
      </c>
      <c r="C65">
        <v>1434000</v>
      </c>
    </row>
    <row r="66" spans="1:3" x14ac:dyDescent="0.2">
      <c r="A66" t="s">
        <v>654</v>
      </c>
      <c r="B66" t="s">
        <v>637</v>
      </c>
      <c r="C66">
        <v>3248000</v>
      </c>
    </row>
    <row r="67" spans="1:3" x14ac:dyDescent="0.2">
      <c r="A67" t="s">
        <v>654</v>
      </c>
      <c r="B67" t="s">
        <v>638</v>
      </c>
      <c r="C67">
        <v>13903000</v>
      </c>
    </row>
    <row r="68" spans="1:3" x14ac:dyDescent="0.2">
      <c r="A68" t="s">
        <v>654</v>
      </c>
      <c r="B68" t="s">
        <v>639</v>
      </c>
      <c r="C68">
        <v>640000</v>
      </c>
    </row>
    <row r="69" spans="1:3" x14ac:dyDescent="0.2">
      <c r="A69" t="s">
        <v>654</v>
      </c>
      <c r="B69" t="s">
        <v>640</v>
      </c>
      <c r="C69">
        <v>7770000</v>
      </c>
    </row>
    <row r="70" spans="1:3" x14ac:dyDescent="0.2">
      <c r="A70" t="s">
        <v>340</v>
      </c>
      <c r="B70" t="s">
        <v>341</v>
      </c>
      <c r="C70">
        <v>4328000</v>
      </c>
    </row>
    <row r="71" spans="1:3" x14ac:dyDescent="0.2">
      <c r="A71" t="s">
        <v>340</v>
      </c>
      <c r="B71" t="s">
        <v>342</v>
      </c>
      <c r="C71">
        <v>6632000</v>
      </c>
    </row>
    <row r="72" spans="1:3" x14ac:dyDescent="0.2">
      <c r="A72" t="s">
        <v>340</v>
      </c>
      <c r="B72" t="s">
        <v>343</v>
      </c>
      <c r="C72">
        <v>8268000</v>
      </c>
    </row>
    <row r="73" spans="1:3" x14ac:dyDescent="0.2">
      <c r="A73" t="s">
        <v>340</v>
      </c>
      <c r="B73" t="s">
        <v>344</v>
      </c>
      <c r="C73">
        <v>1636000</v>
      </c>
    </row>
    <row r="74" spans="1:3" x14ac:dyDescent="0.2">
      <c r="A74" t="s">
        <v>340</v>
      </c>
      <c r="B74" t="s">
        <v>345</v>
      </c>
      <c r="C74">
        <v>9228000</v>
      </c>
    </row>
    <row r="75" spans="1:3" x14ac:dyDescent="0.2">
      <c r="A75" t="s">
        <v>340</v>
      </c>
      <c r="B75" t="s">
        <v>346</v>
      </c>
      <c r="C75">
        <v>3364000</v>
      </c>
    </row>
    <row r="76" spans="1:3" x14ac:dyDescent="0.2">
      <c r="A76" t="s">
        <v>340</v>
      </c>
      <c r="B76" t="s">
        <v>347</v>
      </c>
      <c r="C76">
        <v>22394000</v>
      </c>
    </row>
    <row r="77" spans="1:3" x14ac:dyDescent="0.2">
      <c r="A77" t="s">
        <v>340</v>
      </c>
      <c r="B77" t="s">
        <v>348</v>
      </c>
      <c r="C77">
        <v>2308000</v>
      </c>
    </row>
    <row r="78" spans="1:3" x14ac:dyDescent="0.2">
      <c r="A78" t="s">
        <v>340</v>
      </c>
      <c r="B78" t="s">
        <v>349</v>
      </c>
      <c r="C78">
        <v>1156000</v>
      </c>
    </row>
    <row r="79" spans="1:3" x14ac:dyDescent="0.2">
      <c r="A79" t="s">
        <v>340</v>
      </c>
      <c r="B79" t="s">
        <v>344</v>
      </c>
      <c r="C79">
        <v>975000</v>
      </c>
    </row>
    <row r="80" spans="1:3" x14ac:dyDescent="0.2">
      <c r="A80" t="s">
        <v>340</v>
      </c>
      <c r="B80" t="s">
        <v>350</v>
      </c>
      <c r="C80">
        <v>9999000</v>
      </c>
    </row>
    <row r="81" spans="1:3" x14ac:dyDescent="0.2">
      <c r="A81" t="s">
        <v>340</v>
      </c>
      <c r="B81" t="s">
        <v>351</v>
      </c>
      <c r="C81">
        <v>10287000</v>
      </c>
    </row>
    <row r="82" spans="1:3" x14ac:dyDescent="0.2">
      <c r="A82" t="s">
        <v>340</v>
      </c>
      <c r="B82" t="s">
        <v>352</v>
      </c>
      <c r="C82">
        <v>42672000</v>
      </c>
    </row>
    <row r="83" spans="1:3" x14ac:dyDescent="0.2">
      <c r="A83" t="s">
        <v>340</v>
      </c>
      <c r="B83" t="s">
        <v>353</v>
      </c>
      <c r="C83">
        <v>7212000</v>
      </c>
    </row>
    <row r="84" spans="1:3" x14ac:dyDescent="0.2">
      <c r="A84" t="s">
        <v>354</v>
      </c>
      <c r="B84" t="s">
        <v>355</v>
      </c>
      <c r="C84">
        <v>1746000</v>
      </c>
    </row>
    <row r="85" spans="1:3" x14ac:dyDescent="0.2">
      <c r="A85" t="s">
        <v>354</v>
      </c>
      <c r="B85" t="s">
        <v>356</v>
      </c>
      <c r="C85">
        <v>9025000</v>
      </c>
    </row>
    <row r="86" spans="1:3" x14ac:dyDescent="0.2">
      <c r="A86" t="s">
        <v>354</v>
      </c>
      <c r="B86" t="s">
        <v>357</v>
      </c>
      <c r="C86">
        <v>31311000</v>
      </c>
    </row>
    <row r="87" spans="1:3" x14ac:dyDescent="0.2">
      <c r="A87" t="s">
        <v>354</v>
      </c>
      <c r="B87" t="s">
        <v>358</v>
      </c>
      <c r="C87">
        <v>18330000</v>
      </c>
    </row>
    <row r="88" spans="1:3" x14ac:dyDescent="0.2">
      <c r="A88" t="s">
        <v>354</v>
      </c>
      <c r="B88" t="s">
        <v>359</v>
      </c>
      <c r="C88">
        <v>15942000</v>
      </c>
    </row>
    <row r="89" spans="1:3" x14ac:dyDescent="0.2">
      <c r="A89" t="s">
        <v>354</v>
      </c>
      <c r="B89" t="s">
        <v>360</v>
      </c>
      <c r="C89">
        <v>15942000</v>
      </c>
    </row>
    <row r="90" spans="1:3" x14ac:dyDescent="0.2">
      <c r="A90" t="s">
        <v>354</v>
      </c>
      <c r="B90" t="s">
        <v>361</v>
      </c>
      <c r="C90">
        <v>19644000</v>
      </c>
    </row>
    <row r="91" spans="1:3" x14ac:dyDescent="0.2">
      <c r="A91" t="s">
        <v>362</v>
      </c>
      <c r="B91" t="s">
        <v>363</v>
      </c>
      <c r="C91">
        <v>6909000</v>
      </c>
    </row>
    <row r="92" spans="1:3" x14ac:dyDescent="0.2">
      <c r="A92" t="s">
        <v>362</v>
      </c>
      <c r="B92" t="s">
        <v>364</v>
      </c>
      <c r="C92">
        <v>6246000</v>
      </c>
    </row>
    <row r="93" spans="1:3" x14ac:dyDescent="0.2">
      <c r="A93" t="s">
        <v>362</v>
      </c>
      <c r="B93" t="s">
        <v>365</v>
      </c>
      <c r="C93">
        <v>5761000</v>
      </c>
    </row>
    <row r="94" spans="1:3" x14ac:dyDescent="0.2">
      <c r="A94" t="s">
        <v>362</v>
      </c>
      <c r="B94" t="s">
        <v>366</v>
      </c>
      <c r="C94">
        <v>14254000</v>
      </c>
    </row>
    <row r="95" spans="1:3" x14ac:dyDescent="0.2">
      <c r="A95" t="s">
        <v>362</v>
      </c>
      <c r="B95" t="s">
        <v>367</v>
      </c>
      <c r="C95">
        <v>14405000</v>
      </c>
    </row>
    <row r="96" spans="1:3" x14ac:dyDescent="0.2">
      <c r="A96" t="s">
        <v>362</v>
      </c>
      <c r="B96" t="s">
        <v>368</v>
      </c>
      <c r="C96">
        <v>14819000</v>
      </c>
    </row>
    <row r="97" spans="1:3" x14ac:dyDescent="0.2">
      <c r="A97" t="s">
        <v>362</v>
      </c>
      <c r="B97" t="s">
        <v>369</v>
      </c>
      <c r="C97">
        <v>16557000</v>
      </c>
    </row>
    <row r="98" spans="1:3" x14ac:dyDescent="0.2">
      <c r="A98" t="s">
        <v>362</v>
      </c>
      <c r="B98" t="s">
        <v>370</v>
      </c>
      <c r="C98">
        <v>20728000</v>
      </c>
    </row>
    <row r="99" spans="1:3" x14ac:dyDescent="0.2">
      <c r="A99" t="s">
        <v>362</v>
      </c>
      <c r="B99" t="s">
        <v>371</v>
      </c>
      <c r="C99">
        <v>26769000</v>
      </c>
    </row>
    <row r="100" spans="1:3" x14ac:dyDescent="0.2">
      <c r="A100" t="s">
        <v>362</v>
      </c>
      <c r="B100" t="s">
        <v>372</v>
      </c>
      <c r="C100">
        <v>22643000</v>
      </c>
    </row>
    <row r="101" spans="1:3" x14ac:dyDescent="0.2">
      <c r="A101" t="s">
        <v>362</v>
      </c>
      <c r="B101" t="s">
        <v>373</v>
      </c>
      <c r="C101">
        <v>52775000</v>
      </c>
    </row>
    <row r="102" spans="1:3" x14ac:dyDescent="0.2">
      <c r="A102" t="s">
        <v>362</v>
      </c>
      <c r="B102" t="s">
        <v>374</v>
      </c>
      <c r="C102">
        <v>34412000</v>
      </c>
    </row>
    <row r="103" spans="1:3" x14ac:dyDescent="0.2">
      <c r="A103" t="s">
        <v>362</v>
      </c>
      <c r="B103" t="s">
        <v>375</v>
      </c>
      <c r="C103">
        <v>15038000</v>
      </c>
    </row>
    <row r="104" spans="1:3" x14ac:dyDescent="0.2">
      <c r="A104" t="s">
        <v>362</v>
      </c>
      <c r="B104" t="s">
        <v>376</v>
      </c>
      <c r="C104">
        <v>15038000</v>
      </c>
    </row>
    <row r="105" spans="1:3" x14ac:dyDescent="0.2">
      <c r="A105" t="s">
        <v>362</v>
      </c>
      <c r="B105" t="s">
        <v>377</v>
      </c>
      <c r="C105">
        <v>29538000</v>
      </c>
    </row>
    <row r="106" spans="1:3" x14ac:dyDescent="0.2">
      <c r="A106" t="s">
        <v>362</v>
      </c>
      <c r="B106" t="s">
        <v>378</v>
      </c>
      <c r="C106">
        <v>52240000</v>
      </c>
    </row>
    <row r="107" spans="1:3" x14ac:dyDescent="0.2">
      <c r="A107" t="s">
        <v>362</v>
      </c>
      <c r="B107" t="s">
        <v>379</v>
      </c>
      <c r="C107">
        <v>10758000</v>
      </c>
    </row>
    <row r="108" spans="1:3" x14ac:dyDescent="0.2">
      <c r="A108" t="s">
        <v>362</v>
      </c>
      <c r="B108" t="s">
        <v>641</v>
      </c>
      <c r="C108">
        <v>15384000</v>
      </c>
    </row>
    <row r="109" spans="1:3" x14ac:dyDescent="0.2">
      <c r="A109" t="s">
        <v>362</v>
      </c>
      <c r="B109" t="s">
        <v>642</v>
      </c>
      <c r="C109">
        <v>8996000</v>
      </c>
    </row>
    <row r="110" spans="1:3" x14ac:dyDescent="0.2">
      <c r="A110" t="s">
        <v>362</v>
      </c>
      <c r="B110" t="s">
        <v>382</v>
      </c>
      <c r="C110">
        <v>858000</v>
      </c>
    </row>
    <row r="111" spans="1:3" x14ac:dyDescent="0.2">
      <c r="A111" t="s">
        <v>362</v>
      </c>
      <c r="B111" t="s">
        <v>383</v>
      </c>
      <c r="C111">
        <v>1123000</v>
      </c>
    </row>
    <row r="112" spans="1:3" x14ac:dyDescent="0.2">
      <c r="A112" t="s">
        <v>362</v>
      </c>
      <c r="B112" t="s">
        <v>384</v>
      </c>
      <c r="C112">
        <v>858000</v>
      </c>
    </row>
    <row r="113" spans="1:3" x14ac:dyDescent="0.2">
      <c r="A113" t="s">
        <v>362</v>
      </c>
      <c r="B113" t="s">
        <v>385</v>
      </c>
      <c r="C113">
        <v>3186000</v>
      </c>
    </row>
    <row r="114" spans="1:3" x14ac:dyDescent="0.2">
      <c r="A114" t="s">
        <v>386</v>
      </c>
      <c r="B114" t="s">
        <v>643</v>
      </c>
      <c r="C114">
        <v>2140000</v>
      </c>
    </row>
    <row r="115" spans="1:3" x14ac:dyDescent="0.2">
      <c r="A115" t="s">
        <v>386</v>
      </c>
      <c r="B115" t="s">
        <v>644</v>
      </c>
      <c r="C115">
        <v>952000</v>
      </c>
    </row>
    <row r="116" spans="1:3" x14ac:dyDescent="0.2">
      <c r="A116" t="s">
        <v>386</v>
      </c>
      <c r="B116" t="s">
        <v>645</v>
      </c>
      <c r="C116">
        <v>812000</v>
      </c>
    </row>
    <row r="117" spans="1:3" x14ac:dyDescent="0.2">
      <c r="A117" t="s">
        <v>386</v>
      </c>
      <c r="B117" t="s">
        <v>646</v>
      </c>
      <c r="C117">
        <v>869000</v>
      </c>
    </row>
    <row r="118" spans="1:3" x14ac:dyDescent="0.2">
      <c r="A118" t="s">
        <v>386</v>
      </c>
      <c r="B118" t="s">
        <v>391</v>
      </c>
      <c r="C118">
        <v>1125000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E2FD-BA53-44BB-9311-74793CBCC1CE}">
  <dimension ref="A1:C138"/>
  <sheetViews>
    <sheetView workbookViewId="0">
      <selection activeCell="A2" sqref="A2:A4"/>
    </sheetView>
  </sheetViews>
  <sheetFormatPr defaultRowHeight="12.75" x14ac:dyDescent="0.2"/>
  <cols>
    <col min="1" max="1" width="28.42578125" bestFit="1" customWidth="1"/>
    <col min="2" max="2" width="105.28515625" bestFit="1" customWidth="1"/>
    <col min="3" max="3" width="10.5703125" bestFit="1" customWidth="1"/>
  </cols>
  <sheetData>
    <row r="1" spans="1:3" x14ac:dyDescent="0.2">
      <c r="A1" s="183" t="s">
        <v>555</v>
      </c>
      <c r="B1" s="183" t="s">
        <v>578</v>
      </c>
      <c r="C1" s="183" t="s">
        <v>584</v>
      </c>
    </row>
    <row r="2" spans="1:3" x14ac:dyDescent="0.2">
      <c r="A2" t="s">
        <v>653</v>
      </c>
      <c r="B2" t="s">
        <v>91</v>
      </c>
      <c r="C2">
        <v>57000</v>
      </c>
    </row>
    <row r="3" spans="1:3" x14ac:dyDescent="0.2">
      <c r="A3" t="s">
        <v>653</v>
      </c>
      <c r="B3" t="s">
        <v>92</v>
      </c>
      <c r="C3">
        <v>128000</v>
      </c>
    </row>
    <row r="4" spans="1:3" x14ac:dyDescent="0.2">
      <c r="A4" t="s">
        <v>653</v>
      </c>
      <c r="B4" t="s">
        <v>93</v>
      </c>
      <c r="C4">
        <v>255000</v>
      </c>
    </row>
    <row r="5" spans="1:3" x14ac:dyDescent="0.2">
      <c r="A5" t="s">
        <v>602</v>
      </c>
      <c r="B5" t="s">
        <v>96</v>
      </c>
      <c r="C5">
        <v>3680000</v>
      </c>
    </row>
    <row r="6" spans="1:3" x14ac:dyDescent="0.2">
      <c r="A6" t="s">
        <v>602</v>
      </c>
      <c r="B6" t="s">
        <v>97</v>
      </c>
      <c r="C6">
        <v>3840000</v>
      </c>
    </row>
    <row r="7" spans="1:3" x14ac:dyDescent="0.2">
      <c r="A7" t="s">
        <v>602</v>
      </c>
      <c r="B7" t="s">
        <v>98</v>
      </c>
      <c r="C7">
        <v>3990000</v>
      </c>
    </row>
    <row r="8" spans="1:3" x14ac:dyDescent="0.2">
      <c r="A8" t="s">
        <v>602</v>
      </c>
      <c r="B8" t="s">
        <v>99</v>
      </c>
      <c r="C8">
        <v>4150000</v>
      </c>
    </row>
    <row r="9" spans="1:3" x14ac:dyDescent="0.2">
      <c r="A9" t="s">
        <v>602</v>
      </c>
      <c r="B9" t="s">
        <v>100</v>
      </c>
      <c r="C9">
        <v>4470000</v>
      </c>
    </row>
    <row r="10" spans="1:3" x14ac:dyDescent="0.2">
      <c r="A10" t="s">
        <v>602</v>
      </c>
      <c r="B10" t="s">
        <v>101</v>
      </c>
      <c r="C10">
        <v>4630000</v>
      </c>
    </row>
    <row r="11" spans="1:3" x14ac:dyDescent="0.2">
      <c r="A11" t="s">
        <v>602</v>
      </c>
      <c r="B11" t="s">
        <v>102</v>
      </c>
      <c r="C11">
        <v>4790000</v>
      </c>
    </row>
    <row r="12" spans="1:3" x14ac:dyDescent="0.2">
      <c r="A12" t="s">
        <v>602</v>
      </c>
      <c r="B12" t="s">
        <v>103</v>
      </c>
      <c r="C12">
        <v>5110000</v>
      </c>
    </row>
    <row r="13" spans="1:3" x14ac:dyDescent="0.2">
      <c r="A13" t="s">
        <v>602</v>
      </c>
      <c r="B13" t="s">
        <v>104</v>
      </c>
      <c r="C13">
        <v>5420000</v>
      </c>
    </row>
    <row r="14" spans="1:3" x14ac:dyDescent="0.2">
      <c r="A14" t="s">
        <v>602</v>
      </c>
      <c r="B14" t="s">
        <v>105</v>
      </c>
      <c r="C14">
        <v>5740000</v>
      </c>
    </row>
    <row r="15" spans="1:3" x14ac:dyDescent="0.2">
      <c r="A15" t="s">
        <v>602</v>
      </c>
      <c r="B15" t="s">
        <v>106</v>
      </c>
      <c r="C15">
        <v>6060000</v>
      </c>
    </row>
    <row r="16" spans="1:3" x14ac:dyDescent="0.2">
      <c r="A16" t="s">
        <v>603</v>
      </c>
      <c r="B16" t="s">
        <v>108</v>
      </c>
      <c r="C16">
        <v>4390000</v>
      </c>
    </row>
    <row r="17" spans="1:3" x14ac:dyDescent="0.2">
      <c r="A17" t="s">
        <v>603</v>
      </c>
      <c r="B17" t="s">
        <v>109</v>
      </c>
      <c r="C17">
        <v>5110000</v>
      </c>
    </row>
    <row r="18" spans="1:3" x14ac:dyDescent="0.2">
      <c r="A18" t="s">
        <v>603</v>
      </c>
      <c r="B18" t="s">
        <v>110</v>
      </c>
      <c r="C18">
        <v>5470000</v>
      </c>
    </row>
    <row r="19" spans="1:3" x14ac:dyDescent="0.2">
      <c r="A19" t="s">
        <v>603</v>
      </c>
      <c r="B19" t="s">
        <v>111</v>
      </c>
      <c r="C19">
        <v>5690000</v>
      </c>
    </row>
    <row r="20" spans="1:3" x14ac:dyDescent="0.2">
      <c r="A20" t="s">
        <v>603</v>
      </c>
      <c r="B20" t="s">
        <v>112</v>
      </c>
      <c r="C20">
        <v>5830000</v>
      </c>
    </row>
    <row r="21" spans="1:3" x14ac:dyDescent="0.2">
      <c r="A21" t="s">
        <v>603</v>
      </c>
      <c r="B21" t="s">
        <v>113</v>
      </c>
      <c r="C21">
        <v>6190000</v>
      </c>
    </row>
    <row r="22" spans="1:3" x14ac:dyDescent="0.2">
      <c r="A22" t="s">
        <v>603</v>
      </c>
      <c r="B22" t="s">
        <v>114</v>
      </c>
      <c r="C22">
        <v>6550000</v>
      </c>
    </row>
    <row r="23" spans="1:3" x14ac:dyDescent="0.2">
      <c r="A23" t="s">
        <v>604</v>
      </c>
      <c r="B23" t="s">
        <v>117</v>
      </c>
      <c r="C23">
        <v>1145000</v>
      </c>
    </row>
    <row r="24" spans="1:3" x14ac:dyDescent="0.2">
      <c r="A24" t="s">
        <v>604</v>
      </c>
      <c r="B24" t="s">
        <v>118</v>
      </c>
      <c r="C24">
        <v>1153000</v>
      </c>
    </row>
    <row r="25" spans="1:3" x14ac:dyDescent="0.2">
      <c r="A25" t="s">
        <v>604</v>
      </c>
      <c r="B25" t="s">
        <v>119</v>
      </c>
      <c r="C25">
        <v>1196000</v>
      </c>
    </row>
    <row r="26" spans="1:3" x14ac:dyDescent="0.2">
      <c r="A26" t="s">
        <v>604</v>
      </c>
      <c r="B26" t="s">
        <v>120</v>
      </c>
      <c r="C26">
        <v>1349000</v>
      </c>
    </row>
    <row r="27" spans="1:3" x14ac:dyDescent="0.2">
      <c r="A27" t="s">
        <v>604</v>
      </c>
      <c r="B27" t="s">
        <v>121</v>
      </c>
      <c r="C27">
        <v>1451000</v>
      </c>
    </row>
    <row r="28" spans="1:3" x14ac:dyDescent="0.2">
      <c r="A28" t="s">
        <v>604</v>
      </c>
      <c r="B28" t="s">
        <v>122</v>
      </c>
      <c r="C28">
        <v>1554000</v>
      </c>
    </row>
    <row r="29" spans="1:3" x14ac:dyDescent="0.2">
      <c r="A29" t="s">
        <v>604</v>
      </c>
      <c r="B29" t="s">
        <v>123</v>
      </c>
      <c r="C29">
        <v>1758000</v>
      </c>
    </row>
    <row r="30" spans="1:3" x14ac:dyDescent="0.2">
      <c r="A30" t="s">
        <v>605</v>
      </c>
      <c r="B30" t="s">
        <v>125</v>
      </c>
      <c r="C30">
        <v>2545000</v>
      </c>
    </row>
    <row r="31" spans="1:3" x14ac:dyDescent="0.2">
      <c r="A31" t="s">
        <v>605</v>
      </c>
      <c r="B31" t="s">
        <v>126</v>
      </c>
      <c r="C31">
        <v>2553000</v>
      </c>
    </row>
    <row r="32" spans="1:3" x14ac:dyDescent="0.2">
      <c r="A32" t="s">
        <v>605</v>
      </c>
      <c r="B32" t="s">
        <v>127</v>
      </c>
      <c r="C32">
        <v>2596000</v>
      </c>
    </row>
    <row r="33" spans="1:3" x14ac:dyDescent="0.2">
      <c r="A33" t="s">
        <v>605</v>
      </c>
      <c r="B33" t="s">
        <v>128</v>
      </c>
      <c r="C33">
        <v>2749000</v>
      </c>
    </row>
    <row r="34" spans="1:3" x14ac:dyDescent="0.2">
      <c r="A34" t="s">
        <v>605</v>
      </c>
      <c r="B34" t="s">
        <v>129</v>
      </c>
      <c r="C34">
        <v>2766000</v>
      </c>
    </row>
    <row r="35" spans="1:3" x14ac:dyDescent="0.2">
      <c r="A35" t="s">
        <v>605</v>
      </c>
      <c r="B35" t="s">
        <v>130</v>
      </c>
      <c r="C35">
        <v>2562000</v>
      </c>
    </row>
    <row r="36" spans="1:3" x14ac:dyDescent="0.2">
      <c r="A36" t="s">
        <v>605</v>
      </c>
      <c r="B36" t="s">
        <v>131</v>
      </c>
      <c r="C36">
        <v>2604000</v>
      </c>
    </row>
    <row r="37" spans="1:3" x14ac:dyDescent="0.2">
      <c r="A37" t="s">
        <v>605</v>
      </c>
      <c r="B37" t="s">
        <v>132</v>
      </c>
      <c r="C37">
        <v>2757000</v>
      </c>
    </row>
    <row r="38" spans="1:3" x14ac:dyDescent="0.2">
      <c r="A38" t="s">
        <v>605</v>
      </c>
      <c r="B38" t="s">
        <v>133</v>
      </c>
      <c r="C38">
        <v>2774000</v>
      </c>
    </row>
    <row r="39" spans="1:3" x14ac:dyDescent="0.2">
      <c r="A39" t="s">
        <v>605</v>
      </c>
      <c r="B39" t="s">
        <v>134</v>
      </c>
      <c r="C39">
        <v>2647000</v>
      </c>
    </row>
    <row r="40" spans="1:3" x14ac:dyDescent="0.2">
      <c r="A40" t="s">
        <v>605</v>
      </c>
      <c r="B40" t="s">
        <v>135</v>
      </c>
      <c r="C40">
        <v>2800000</v>
      </c>
    </row>
    <row r="41" spans="1:3" x14ac:dyDescent="0.2">
      <c r="A41" t="s">
        <v>605</v>
      </c>
      <c r="B41" t="s">
        <v>136</v>
      </c>
      <c r="C41">
        <v>2817000</v>
      </c>
    </row>
    <row r="42" spans="1:3" x14ac:dyDescent="0.2">
      <c r="A42" t="s">
        <v>605</v>
      </c>
      <c r="B42" t="s">
        <v>137</v>
      </c>
      <c r="C42">
        <v>2953000</v>
      </c>
    </row>
    <row r="43" spans="1:3" x14ac:dyDescent="0.2">
      <c r="A43" t="s">
        <v>605</v>
      </c>
      <c r="B43" t="s">
        <v>138</v>
      </c>
      <c r="C43">
        <v>2970000</v>
      </c>
    </row>
    <row r="44" spans="1:3" x14ac:dyDescent="0.2">
      <c r="A44" t="s">
        <v>605</v>
      </c>
      <c r="B44" t="s">
        <v>139</v>
      </c>
      <c r="C44">
        <v>2987000</v>
      </c>
    </row>
    <row r="45" spans="1:3" x14ac:dyDescent="0.2">
      <c r="A45" t="s">
        <v>606</v>
      </c>
      <c r="B45" t="s">
        <v>142</v>
      </c>
      <c r="C45">
        <v>600000</v>
      </c>
    </row>
    <row r="46" spans="1:3" x14ac:dyDescent="0.2">
      <c r="A46" t="s">
        <v>606</v>
      </c>
      <c r="B46" t="s">
        <v>143</v>
      </c>
      <c r="C46">
        <v>605000</v>
      </c>
    </row>
    <row r="47" spans="1:3" x14ac:dyDescent="0.2">
      <c r="A47" t="s">
        <v>606</v>
      </c>
      <c r="B47" t="s">
        <v>144</v>
      </c>
      <c r="C47">
        <v>630000</v>
      </c>
    </row>
    <row r="48" spans="1:3" x14ac:dyDescent="0.2">
      <c r="A48" t="s">
        <v>606</v>
      </c>
      <c r="B48" t="s">
        <v>145</v>
      </c>
      <c r="C48">
        <v>718000</v>
      </c>
    </row>
    <row r="49" spans="1:3" x14ac:dyDescent="0.2">
      <c r="A49" t="s">
        <v>606</v>
      </c>
      <c r="B49" t="s">
        <v>146</v>
      </c>
      <c r="C49">
        <v>993000</v>
      </c>
    </row>
    <row r="50" spans="1:3" x14ac:dyDescent="0.2">
      <c r="A50" t="s">
        <v>606</v>
      </c>
      <c r="B50" t="s">
        <v>147</v>
      </c>
      <c r="C50">
        <v>1052000</v>
      </c>
    </row>
    <row r="51" spans="1:3" x14ac:dyDescent="0.2">
      <c r="A51" t="s">
        <v>606</v>
      </c>
      <c r="B51" t="s">
        <v>148</v>
      </c>
      <c r="C51">
        <v>1170000</v>
      </c>
    </row>
    <row r="52" spans="1:3" x14ac:dyDescent="0.2">
      <c r="A52" t="s">
        <v>607</v>
      </c>
      <c r="B52" t="s">
        <v>150</v>
      </c>
      <c r="C52">
        <v>1200000</v>
      </c>
    </row>
    <row r="53" spans="1:3" x14ac:dyDescent="0.2">
      <c r="A53" t="s">
        <v>607</v>
      </c>
      <c r="B53" t="s">
        <v>151</v>
      </c>
      <c r="C53">
        <v>1205000</v>
      </c>
    </row>
    <row r="54" spans="1:3" x14ac:dyDescent="0.2">
      <c r="A54" t="s">
        <v>607</v>
      </c>
      <c r="B54" t="s">
        <v>152</v>
      </c>
      <c r="C54">
        <v>1230000</v>
      </c>
    </row>
    <row r="55" spans="1:3" x14ac:dyDescent="0.2">
      <c r="A55" t="s">
        <v>607</v>
      </c>
      <c r="B55" t="s">
        <v>153</v>
      </c>
      <c r="C55">
        <v>1534000</v>
      </c>
    </row>
    <row r="56" spans="1:3" x14ac:dyDescent="0.2">
      <c r="A56" t="s">
        <v>607</v>
      </c>
      <c r="B56" t="s">
        <v>154</v>
      </c>
      <c r="C56">
        <v>1543000</v>
      </c>
    </row>
    <row r="57" spans="1:3" x14ac:dyDescent="0.2">
      <c r="A57" t="s">
        <v>607</v>
      </c>
      <c r="B57" t="s">
        <v>155</v>
      </c>
      <c r="C57">
        <v>1210000</v>
      </c>
    </row>
    <row r="58" spans="1:3" x14ac:dyDescent="0.2">
      <c r="A58" t="s">
        <v>607</v>
      </c>
      <c r="B58" t="s">
        <v>156</v>
      </c>
      <c r="C58">
        <v>1235000</v>
      </c>
    </row>
    <row r="59" spans="1:3" x14ac:dyDescent="0.2">
      <c r="A59" t="s">
        <v>607</v>
      </c>
      <c r="B59" t="s">
        <v>157</v>
      </c>
      <c r="C59">
        <v>1538000</v>
      </c>
    </row>
    <row r="60" spans="1:3" x14ac:dyDescent="0.2">
      <c r="A60" t="s">
        <v>607</v>
      </c>
      <c r="B60" t="s">
        <v>158</v>
      </c>
      <c r="C60">
        <v>1548000</v>
      </c>
    </row>
    <row r="61" spans="1:3" x14ac:dyDescent="0.2">
      <c r="A61" t="s">
        <v>607</v>
      </c>
      <c r="B61" t="s">
        <v>159</v>
      </c>
      <c r="C61">
        <v>1259000</v>
      </c>
    </row>
    <row r="62" spans="1:3" x14ac:dyDescent="0.2">
      <c r="A62" t="s">
        <v>607</v>
      </c>
      <c r="B62" t="s">
        <v>160</v>
      </c>
      <c r="C62">
        <v>1563000</v>
      </c>
    </row>
    <row r="63" spans="1:3" x14ac:dyDescent="0.2">
      <c r="A63" t="s">
        <v>607</v>
      </c>
      <c r="B63" t="s">
        <v>161</v>
      </c>
      <c r="C63">
        <v>1573000</v>
      </c>
    </row>
    <row r="64" spans="1:3" x14ac:dyDescent="0.2">
      <c r="A64" t="s">
        <v>607</v>
      </c>
      <c r="B64" t="s">
        <v>162</v>
      </c>
      <c r="C64">
        <v>1867000</v>
      </c>
    </row>
    <row r="65" spans="1:3" x14ac:dyDescent="0.2">
      <c r="A65" t="s">
        <v>607</v>
      </c>
      <c r="B65" t="s">
        <v>163</v>
      </c>
      <c r="C65">
        <v>1877000</v>
      </c>
    </row>
    <row r="66" spans="1:3" x14ac:dyDescent="0.2">
      <c r="A66" t="s">
        <v>607</v>
      </c>
      <c r="B66" t="s">
        <v>164</v>
      </c>
      <c r="C66">
        <v>1886000</v>
      </c>
    </row>
    <row r="67" spans="1:3" x14ac:dyDescent="0.2">
      <c r="A67" t="s">
        <v>606</v>
      </c>
      <c r="B67" t="s">
        <v>168</v>
      </c>
      <c r="C67">
        <v>88000</v>
      </c>
    </row>
    <row r="68" spans="1:3" x14ac:dyDescent="0.2">
      <c r="A68" t="s">
        <v>606</v>
      </c>
      <c r="B68" t="s">
        <v>169</v>
      </c>
      <c r="C68">
        <v>94000</v>
      </c>
    </row>
    <row r="69" spans="1:3" x14ac:dyDescent="0.2">
      <c r="A69" t="s">
        <v>606</v>
      </c>
      <c r="B69" t="s">
        <v>170</v>
      </c>
      <c r="C69">
        <v>105000</v>
      </c>
    </row>
    <row r="70" spans="1:3" x14ac:dyDescent="0.2">
      <c r="A70" t="s">
        <v>606</v>
      </c>
      <c r="B70" t="s">
        <v>171</v>
      </c>
      <c r="C70">
        <v>137000</v>
      </c>
    </row>
    <row r="71" spans="1:3" x14ac:dyDescent="0.2">
      <c r="A71" t="s">
        <v>606</v>
      </c>
      <c r="B71" t="s">
        <v>172</v>
      </c>
      <c r="C71">
        <v>147000</v>
      </c>
    </row>
    <row r="72" spans="1:3" x14ac:dyDescent="0.2">
      <c r="A72" t="s">
        <v>607</v>
      </c>
      <c r="B72" t="s">
        <v>174</v>
      </c>
      <c r="C72">
        <v>287000</v>
      </c>
    </row>
    <row r="73" spans="1:3" x14ac:dyDescent="0.2">
      <c r="A73" t="s">
        <v>607</v>
      </c>
      <c r="B73" t="s">
        <v>175</v>
      </c>
      <c r="C73">
        <v>292000</v>
      </c>
    </row>
    <row r="74" spans="1:3" x14ac:dyDescent="0.2">
      <c r="A74" t="s">
        <v>607</v>
      </c>
      <c r="B74" t="s">
        <v>176</v>
      </c>
      <c r="C74">
        <v>303000</v>
      </c>
    </row>
    <row r="75" spans="1:3" x14ac:dyDescent="0.2">
      <c r="A75" t="s">
        <v>607</v>
      </c>
      <c r="B75" t="s">
        <v>178</v>
      </c>
      <c r="C75">
        <v>335000</v>
      </c>
    </row>
    <row r="76" spans="1:3" x14ac:dyDescent="0.2">
      <c r="A76" t="s">
        <v>607</v>
      </c>
      <c r="B76" t="s">
        <v>179</v>
      </c>
      <c r="C76">
        <v>346000</v>
      </c>
    </row>
    <row r="77" spans="1:3" x14ac:dyDescent="0.2">
      <c r="A77" t="s">
        <v>607</v>
      </c>
      <c r="B77" t="s">
        <v>180</v>
      </c>
      <c r="C77">
        <v>297000</v>
      </c>
    </row>
    <row r="78" spans="1:3" x14ac:dyDescent="0.2">
      <c r="A78" t="s">
        <v>607</v>
      </c>
      <c r="B78" t="s">
        <v>181</v>
      </c>
      <c r="C78">
        <v>308000</v>
      </c>
    </row>
    <row r="79" spans="1:3" x14ac:dyDescent="0.2">
      <c r="A79" t="s">
        <v>607</v>
      </c>
      <c r="B79" t="s">
        <v>182</v>
      </c>
      <c r="C79">
        <v>340000</v>
      </c>
    </row>
    <row r="80" spans="1:3" x14ac:dyDescent="0.2">
      <c r="A80" t="s">
        <v>607</v>
      </c>
      <c r="B80" t="s">
        <v>183</v>
      </c>
      <c r="C80">
        <v>351000</v>
      </c>
    </row>
    <row r="81" spans="1:3" x14ac:dyDescent="0.2">
      <c r="A81" t="s">
        <v>607</v>
      </c>
      <c r="B81" t="s">
        <v>184</v>
      </c>
      <c r="C81">
        <v>319000</v>
      </c>
    </row>
    <row r="82" spans="1:3" x14ac:dyDescent="0.2">
      <c r="A82" t="s">
        <v>607</v>
      </c>
      <c r="B82" t="s">
        <v>185</v>
      </c>
      <c r="C82">
        <v>351000</v>
      </c>
    </row>
    <row r="83" spans="1:3" x14ac:dyDescent="0.2">
      <c r="A83" t="s">
        <v>607</v>
      </c>
      <c r="B83" t="s">
        <v>186</v>
      </c>
      <c r="C83">
        <v>362000</v>
      </c>
    </row>
    <row r="84" spans="1:3" x14ac:dyDescent="0.2">
      <c r="A84" t="s">
        <v>607</v>
      </c>
      <c r="B84" t="s">
        <v>187</v>
      </c>
      <c r="C84">
        <v>383000</v>
      </c>
    </row>
    <row r="85" spans="1:3" x14ac:dyDescent="0.2">
      <c r="A85" t="s">
        <v>607</v>
      </c>
      <c r="B85" t="s">
        <v>188</v>
      </c>
      <c r="C85">
        <v>394000</v>
      </c>
    </row>
    <row r="86" spans="1:3" x14ac:dyDescent="0.2">
      <c r="A86" t="s">
        <v>607</v>
      </c>
      <c r="B86" t="s">
        <v>189</v>
      </c>
      <c r="C86">
        <v>405000</v>
      </c>
    </row>
    <row r="87" spans="1:3" x14ac:dyDescent="0.2">
      <c r="A87" t="s">
        <v>192</v>
      </c>
      <c r="B87" t="s">
        <v>193</v>
      </c>
      <c r="C87">
        <v>294000</v>
      </c>
    </row>
    <row r="88" spans="1:3" x14ac:dyDescent="0.2">
      <c r="A88" t="s">
        <v>192</v>
      </c>
      <c r="B88" t="s">
        <v>194</v>
      </c>
      <c r="C88">
        <v>308000</v>
      </c>
    </row>
    <row r="89" spans="1:3" x14ac:dyDescent="0.2">
      <c r="A89" t="s">
        <v>192</v>
      </c>
      <c r="B89" t="s">
        <v>195</v>
      </c>
      <c r="C89">
        <v>337000</v>
      </c>
    </row>
    <row r="90" spans="1:3" x14ac:dyDescent="0.2">
      <c r="A90" t="s">
        <v>192</v>
      </c>
      <c r="B90" t="s">
        <v>196</v>
      </c>
      <c r="C90">
        <v>422000</v>
      </c>
    </row>
    <row r="91" spans="1:3" x14ac:dyDescent="0.2">
      <c r="A91" t="s">
        <v>192</v>
      </c>
      <c r="B91" t="s">
        <v>197</v>
      </c>
      <c r="C91">
        <v>451000</v>
      </c>
    </row>
    <row r="92" spans="1:3" x14ac:dyDescent="0.2">
      <c r="A92" t="s">
        <v>192</v>
      </c>
      <c r="B92" t="s">
        <v>198</v>
      </c>
      <c r="C92">
        <v>507000</v>
      </c>
    </row>
    <row r="93" spans="1:3" x14ac:dyDescent="0.2">
      <c r="A93" t="s">
        <v>192</v>
      </c>
      <c r="B93" t="s">
        <v>201</v>
      </c>
      <c r="C93">
        <v>933000</v>
      </c>
    </row>
    <row r="94" spans="1:3" x14ac:dyDescent="0.2">
      <c r="A94" t="s">
        <v>192</v>
      </c>
      <c r="B94" t="s">
        <v>203</v>
      </c>
      <c r="C94">
        <v>266000</v>
      </c>
    </row>
    <row r="95" spans="1:3" x14ac:dyDescent="0.2">
      <c r="A95" t="s">
        <v>192</v>
      </c>
      <c r="B95" t="s">
        <v>204</v>
      </c>
      <c r="C95">
        <v>515000</v>
      </c>
    </row>
    <row r="96" spans="1:3" x14ac:dyDescent="0.2">
      <c r="A96" t="s">
        <v>192</v>
      </c>
      <c r="B96" t="s">
        <v>206</v>
      </c>
      <c r="C96">
        <v>174000</v>
      </c>
    </row>
    <row r="97" spans="1:3" x14ac:dyDescent="0.2">
      <c r="A97" t="s">
        <v>192</v>
      </c>
      <c r="B97" t="s">
        <v>207</v>
      </c>
      <c r="C97">
        <v>369000</v>
      </c>
    </row>
    <row r="98" spans="1:3" x14ac:dyDescent="0.2">
      <c r="A98" t="s">
        <v>192</v>
      </c>
      <c r="B98" t="s">
        <v>208</v>
      </c>
      <c r="C98">
        <v>1355000</v>
      </c>
    </row>
    <row r="99" spans="1:3" x14ac:dyDescent="0.2">
      <c r="A99" t="s">
        <v>192</v>
      </c>
      <c r="B99" t="s">
        <v>209</v>
      </c>
      <c r="C99">
        <v>2140000</v>
      </c>
    </row>
    <row r="100" spans="1:3" x14ac:dyDescent="0.2">
      <c r="A100" t="s">
        <v>192</v>
      </c>
      <c r="B100" t="s">
        <v>608</v>
      </c>
      <c r="C100">
        <v>533000</v>
      </c>
    </row>
    <row r="101" spans="1:3" x14ac:dyDescent="0.2">
      <c r="A101" t="s">
        <v>192</v>
      </c>
      <c r="B101" t="s">
        <v>211</v>
      </c>
      <c r="C101">
        <v>564000</v>
      </c>
    </row>
    <row r="102" spans="1:3" x14ac:dyDescent="0.2">
      <c r="A102" t="s">
        <v>192</v>
      </c>
      <c r="B102" t="s">
        <v>212</v>
      </c>
      <c r="C102">
        <v>306000</v>
      </c>
    </row>
    <row r="103" spans="1:3" x14ac:dyDescent="0.2">
      <c r="A103" t="s">
        <v>192</v>
      </c>
      <c r="B103" t="s">
        <v>213</v>
      </c>
      <c r="C103">
        <v>317000</v>
      </c>
    </row>
    <row r="104" spans="1:3" x14ac:dyDescent="0.2">
      <c r="A104" t="s">
        <v>192</v>
      </c>
      <c r="B104" t="s">
        <v>214</v>
      </c>
      <c r="C104">
        <v>74000</v>
      </c>
    </row>
    <row r="105" spans="1:3" x14ac:dyDescent="0.2">
      <c r="A105" t="s">
        <v>192</v>
      </c>
      <c r="B105" t="s">
        <v>216</v>
      </c>
      <c r="C105">
        <v>3150000</v>
      </c>
    </row>
    <row r="106" spans="1:3" x14ac:dyDescent="0.2">
      <c r="A106" t="s">
        <v>192</v>
      </c>
      <c r="B106" t="s">
        <v>217</v>
      </c>
      <c r="C106">
        <v>12455000</v>
      </c>
    </row>
    <row r="107" spans="1:3" x14ac:dyDescent="0.2">
      <c r="A107" t="s">
        <v>192</v>
      </c>
      <c r="B107" t="s">
        <v>218</v>
      </c>
      <c r="C107">
        <v>20365000</v>
      </c>
    </row>
    <row r="108" spans="1:3" x14ac:dyDescent="0.2">
      <c r="A108" t="s">
        <v>192</v>
      </c>
      <c r="B108" t="s">
        <v>219</v>
      </c>
      <c r="C108">
        <v>69600000</v>
      </c>
    </row>
    <row r="109" spans="1:3" x14ac:dyDescent="0.2">
      <c r="A109" t="s">
        <v>192</v>
      </c>
      <c r="B109" t="s">
        <v>609</v>
      </c>
      <c r="C109">
        <v>43000000</v>
      </c>
    </row>
    <row r="110" spans="1:3" x14ac:dyDescent="0.2">
      <c r="A110" t="s">
        <v>192</v>
      </c>
      <c r="B110" t="s">
        <v>221</v>
      </c>
      <c r="C110">
        <v>33542000</v>
      </c>
    </row>
    <row r="111" spans="1:3" x14ac:dyDescent="0.2">
      <c r="A111" t="s">
        <v>192</v>
      </c>
      <c r="B111" t="s">
        <v>222</v>
      </c>
      <c r="C111">
        <v>26810000</v>
      </c>
    </row>
    <row r="112" spans="1:3" x14ac:dyDescent="0.2">
      <c r="A112" t="s">
        <v>192</v>
      </c>
      <c r="B112" t="s">
        <v>223</v>
      </c>
      <c r="C112">
        <v>1639000</v>
      </c>
    </row>
    <row r="113" spans="1:3" x14ac:dyDescent="0.2">
      <c r="A113" t="s">
        <v>192</v>
      </c>
      <c r="B113" t="s">
        <v>224</v>
      </c>
      <c r="C113">
        <v>10800000</v>
      </c>
    </row>
    <row r="114" spans="1:3" x14ac:dyDescent="0.2">
      <c r="A114" t="s">
        <v>192</v>
      </c>
      <c r="B114" t="s">
        <v>610</v>
      </c>
      <c r="C114">
        <v>11950000</v>
      </c>
    </row>
    <row r="115" spans="1:3" x14ac:dyDescent="0.2">
      <c r="A115" t="s">
        <v>192</v>
      </c>
      <c r="B115" t="s">
        <v>226</v>
      </c>
      <c r="C115">
        <v>51205000</v>
      </c>
    </row>
    <row r="116" spans="1:3" x14ac:dyDescent="0.2">
      <c r="A116" t="s">
        <v>192</v>
      </c>
      <c r="B116" t="s">
        <v>227</v>
      </c>
      <c r="C116">
        <v>56674000</v>
      </c>
    </row>
    <row r="117" spans="1:3" x14ac:dyDescent="0.2">
      <c r="A117" t="s">
        <v>192</v>
      </c>
      <c r="B117" t="s">
        <v>231</v>
      </c>
      <c r="C117">
        <v>132390000</v>
      </c>
    </row>
    <row r="118" spans="1:3" x14ac:dyDescent="0.2">
      <c r="A118" t="s">
        <v>192</v>
      </c>
      <c r="B118" t="s">
        <v>232</v>
      </c>
      <c r="C118">
        <v>37700000</v>
      </c>
    </row>
    <row r="119" spans="1:3" x14ac:dyDescent="0.2">
      <c r="A119" t="s">
        <v>192</v>
      </c>
      <c r="B119" t="s">
        <v>234</v>
      </c>
      <c r="C119">
        <v>7663000</v>
      </c>
    </row>
    <row r="120" spans="1:3" x14ac:dyDescent="0.2">
      <c r="A120" t="s">
        <v>192</v>
      </c>
      <c r="B120" t="s">
        <v>235</v>
      </c>
      <c r="C120">
        <v>32111000</v>
      </c>
    </row>
    <row r="121" spans="1:3" x14ac:dyDescent="0.2">
      <c r="A121" t="s">
        <v>192</v>
      </c>
      <c r="B121" t="s">
        <v>236</v>
      </c>
      <c r="C121">
        <v>71007000</v>
      </c>
    </row>
    <row r="122" spans="1:3" x14ac:dyDescent="0.2">
      <c r="A122" t="s">
        <v>192</v>
      </c>
      <c r="B122" t="s">
        <v>237</v>
      </c>
      <c r="C122">
        <v>10671000</v>
      </c>
    </row>
    <row r="123" spans="1:3" x14ac:dyDescent="0.2">
      <c r="A123" t="s">
        <v>192</v>
      </c>
      <c r="B123" t="s">
        <v>238</v>
      </c>
      <c r="C123">
        <v>23988000</v>
      </c>
    </row>
    <row r="124" spans="1:3" x14ac:dyDescent="0.2">
      <c r="A124" t="s">
        <v>192</v>
      </c>
      <c r="B124" t="s">
        <v>240</v>
      </c>
      <c r="C124">
        <v>1982000</v>
      </c>
    </row>
    <row r="125" spans="1:3" x14ac:dyDescent="0.2">
      <c r="A125" t="s">
        <v>192</v>
      </c>
      <c r="B125" t="s">
        <v>242</v>
      </c>
      <c r="C125">
        <v>6350000</v>
      </c>
    </row>
    <row r="126" spans="1:3" x14ac:dyDescent="0.2">
      <c r="A126" t="s">
        <v>192</v>
      </c>
      <c r="B126" t="s">
        <v>244</v>
      </c>
      <c r="C126">
        <v>890000</v>
      </c>
    </row>
    <row r="127" spans="1:3" x14ac:dyDescent="0.2">
      <c r="A127" t="s">
        <v>192</v>
      </c>
      <c r="B127" t="s">
        <v>246</v>
      </c>
      <c r="C127">
        <v>939000</v>
      </c>
    </row>
    <row r="128" spans="1:3" x14ac:dyDescent="0.2">
      <c r="A128" t="s">
        <v>192</v>
      </c>
      <c r="B128" t="s">
        <v>248</v>
      </c>
      <c r="C128">
        <v>1121000</v>
      </c>
    </row>
    <row r="129" spans="1:3" x14ac:dyDescent="0.2">
      <c r="A129" t="s">
        <v>192</v>
      </c>
      <c r="B129" t="s">
        <v>249</v>
      </c>
      <c r="C129">
        <v>1195000</v>
      </c>
    </row>
    <row r="130" spans="1:3" x14ac:dyDescent="0.2">
      <c r="A130" t="s">
        <v>192</v>
      </c>
      <c r="B130" t="s">
        <v>250</v>
      </c>
      <c r="C130">
        <v>1806000</v>
      </c>
    </row>
    <row r="131" spans="1:3" x14ac:dyDescent="0.2">
      <c r="A131" t="s">
        <v>192</v>
      </c>
      <c r="B131" t="s">
        <v>252</v>
      </c>
      <c r="C131">
        <v>2508000</v>
      </c>
    </row>
    <row r="132" spans="1:3" x14ac:dyDescent="0.2">
      <c r="A132" t="s">
        <v>192</v>
      </c>
      <c r="B132" t="s">
        <v>611</v>
      </c>
      <c r="C132">
        <v>50000</v>
      </c>
    </row>
    <row r="133" spans="1:3" x14ac:dyDescent="0.2">
      <c r="A133" t="s">
        <v>192</v>
      </c>
      <c r="B133" t="s">
        <v>612</v>
      </c>
      <c r="C133">
        <v>2143000</v>
      </c>
    </row>
    <row r="134" spans="1:3" x14ac:dyDescent="0.2">
      <c r="A134" t="s">
        <v>192</v>
      </c>
      <c r="B134" t="s">
        <v>613</v>
      </c>
      <c r="C134">
        <v>2942000</v>
      </c>
    </row>
    <row r="135" spans="1:3" x14ac:dyDescent="0.2">
      <c r="A135" t="s">
        <v>192</v>
      </c>
      <c r="B135" t="s">
        <v>614</v>
      </c>
      <c r="C135">
        <v>400000</v>
      </c>
    </row>
    <row r="136" spans="1:3" x14ac:dyDescent="0.2">
      <c r="A136" t="s">
        <v>192</v>
      </c>
      <c r="B136" t="s">
        <v>257</v>
      </c>
      <c r="C136">
        <v>500000</v>
      </c>
    </row>
    <row r="137" spans="1:3" x14ac:dyDescent="0.2">
      <c r="A137" t="s">
        <v>192</v>
      </c>
      <c r="B137" t="s">
        <v>258</v>
      </c>
      <c r="C137">
        <v>56000</v>
      </c>
    </row>
    <row r="138" spans="1:3" x14ac:dyDescent="0.2">
      <c r="A138" t="s">
        <v>192</v>
      </c>
      <c r="B138" t="s">
        <v>259</v>
      </c>
      <c r="C138">
        <v>44000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98DF-3BB6-479C-A79E-D9795CE24301}">
  <dimension ref="A1:D100"/>
  <sheetViews>
    <sheetView topLeftCell="A81" workbookViewId="0">
      <selection activeCell="F25" sqref="F25"/>
    </sheetView>
  </sheetViews>
  <sheetFormatPr defaultRowHeight="12.75" x14ac:dyDescent="0.2"/>
  <cols>
    <col min="1" max="1" width="18.42578125" bestFit="1" customWidth="1"/>
    <col min="2" max="2" width="14" bestFit="1" customWidth="1"/>
    <col min="3" max="3" width="26.42578125" bestFit="1" customWidth="1"/>
    <col min="4" max="4" width="10.5703125" bestFit="1" customWidth="1"/>
  </cols>
  <sheetData>
    <row r="1" spans="1:4" x14ac:dyDescent="0.2">
      <c r="A1" s="183" t="s">
        <v>555</v>
      </c>
      <c r="B1" s="183" t="s">
        <v>578</v>
      </c>
      <c r="C1" s="183" t="s">
        <v>647</v>
      </c>
      <c r="D1" s="183" t="s">
        <v>584</v>
      </c>
    </row>
    <row r="2" spans="1:4" x14ac:dyDescent="0.2">
      <c r="A2" t="s">
        <v>405</v>
      </c>
      <c r="B2" t="s">
        <v>648</v>
      </c>
      <c r="C2" t="s">
        <v>408</v>
      </c>
      <c r="D2">
        <v>197000</v>
      </c>
    </row>
    <row r="3" spans="1:4" x14ac:dyDescent="0.2">
      <c r="A3" t="s">
        <v>405</v>
      </c>
      <c r="B3" t="s">
        <v>648</v>
      </c>
      <c r="D3">
        <v>120000</v>
      </c>
    </row>
    <row r="4" spans="1:4" x14ac:dyDescent="0.2">
      <c r="A4" t="s">
        <v>405</v>
      </c>
      <c r="B4" t="s">
        <v>648</v>
      </c>
      <c r="D4">
        <v>122000</v>
      </c>
    </row>
    <row r="5" spans="1:4" x14ac:dyDescent="0.2">
      <c r="A5" t="s">
        <v>405</v>
      </c>
      <c r="B5" t="s">
        <v>648</v>
      </c>
      <c r="D5">
        <v>130000</v>
      </c>
    </row>
    <row r="6" spans="1:4" x14ac:dyDescent="0.2">
      <c r="A6" t="s">
        <v>405</v>
      </c>
      <c r="B6" t="s">
        <v>648</v>
      </c>
      <c r="D6">
        <v>150000</v>
      </c>
    </row>
    <row r="7" spans="1:4" x14ac:dyDescent="0.2">
      <c r="A7" t="s">
        <v>405</v>
      </c>
      <c r="B7" t="s">
        <v>648</v>
      </c>
      <c r="D7">
        <v>120000</v>
      </c>
    </row>
    <row r="8" spans="1:4" x14ac:dyDescent="0.2">
      <c r="A8" t="s">
        <v>405</v>
      </c>
      <c r="B8" t="s">
        <v>648</v>
      </c>
      <c r="D8">
        <v>110000</v>
      </c>
    </row>
    <row r="9" spans="1:4" x14ac:dyDescent="0.2">
      <c r="A9" t="s">
        <v>405</v>
      </c>
      <c r="B9" t="s">
        <v>648</v>
      </c>
      <c r="D9">
        <v>90000</v>
      </c>
    </row>
    <row r="10" spans="1:4" x14ac:dyDescent="0.2">
      <c r="A10" t="s">
        <v>405</v>
      </c>
      <c r="B10" t="s">
        <v>648</v>
      </c>
      <c r="D10">
        <v>80000</v>
      </c>
    </row>
    <row r="11" spans="1:4" x14ac:dyDescent="0.2">
      <c r="A11" t="s">
        <v>405</v>
      </c>
      <c r="B11" t="s">
        <v>648</v>
      </c>
      <c r="D11">
        <v>417000</v>
      </c>
    </row>
    <row r="12" spans="1:4" x14ac:dyDescent="0.2">
      <c r="A12" t="s">
        <v>405</v>
      </c>
      <c r="B12" t="s">
        <v>648</v>
      </c>
      <c r="D12">
        <v>264000</v>
      </c>
    </row>
    <row r="13" spans="1:4" x14ac:dyDescent="0.2">
      <c r="A13" t="s">
        <v>405</v>
      </c>
      <c r="B13" t="s">
        <v>648</v>
      </c>
      <c r="D13">
        <v>180000</v>
      </c>
    </row>
    <row r="14" spans="1:4" x14ac:dyDescent="0.2">
      <c r="A14" t="s">
        <v>405</v>
      </c>
      <c r="B14" t="s">
        <v>648</v>
      </c>
      <c r="D14">
        <v>600000</v>
      </c>
    </row>
    <row r="15" spans="1:4" x14ac:dyDescent="0.2">
      <c r="A15" t="s">
        <v>405</v>
      </c>
      <c r="B15" t="s">
        <v>648</v>
      </c>
      <c r="D15">
        <v>600000</v>
      </c>
    </row>
    <row r="16" spans="1:4" x14ac:dyDescent="0.2">
      <c r="A16" t="s">
        <v>405</v>
      </c>
      <c r="B16" t="s">
        <v>648</v>
      </c>
      <c r="D16">
        <v>225000</v>
      </c>
    </row>
    <row r="17" spans="1:4" x14ac:dyDescent="0.2">
      <c r="A17" t="s">
        <v>405</v>
      </c>
      <c r="B17" t="s">
        <v>648</v>
      </c>
      <c r="D17">
        <v>97000</v>
      </c>
    </row>
    <row r="18" spans="1:4" x14ac:dyDescent="0.2">
      <c r="A18" t="s">
        <v>405</v>
      </c>
      <c r="B18" t="s">
        <v>648</v>
      </c>
      <c r="D18">
        <v>529000</v>
      </c>
    </row>
    <row r="19" spans="1:4" x14ac:dyDescent="0.2">
      <c r="A19" t="s">
        <v>405</v>
      </c>
      <c r="B19" t="s">
        <v>648</v>
      </c>
      <c r="D19">
        <v>616000</v>
      </c>
    </row>
    <row r="20" spans="1:4" x14ac:dyDescent="0.2">
      <c r="A20" t="s">
        <v>405</v>
      </c>
      <c r="B20" t="s">
        <v>648</v>
      </c>
      <c r="D20">
        <v>95000</v>
      </c>
    </row>
    <row r="21" spans="1:4" x14ac:dyDescent="0.2">
      <c r="A21" t="s">
        <v>405</v>
      </c>
      <c r="B21" t="s">
        <v>648</v>
      </c>
      <c r="D21">
        <v>135000</v>
      </c>
    </row>
    <row r="22" spans="1:4" x14ac:dyDescent="0.2">
      <c r="A22" t="s">
        <v>405</v>
      </c>
      <c r="B22" t="s">
        <v>648</v>
      </c>
      <c r="D22">
        <v>121000</v>
      </c>
    </row>
    <row r="23" spans="1:4" x14ac:dyDescent="0.2">
      <c r="A23" t="s">
        <v>405</v>
      </c>
      <c r="B23" t="s">
        <v>648</v>
      </c>
      <c r="D23">
        <v>248000</v>
      </c>
    </row>
    <row r="24" spans="1:4" x14ac:dyDescent="0.2">
      <c r="A24" t="s">
        <v>405</v>
      </c>
      <c r="B24" t="s">
        <v>648</v>
      </c>
      <c r="D24">
        <v>37000</v>
      </c>
    </row>
    <row r="25" spans="1:4" x14ac:dyDescent="0.2">
      <c r="A25" t="s">
        <v>431</v>
      </c>
      <c r="B25" t="s">
        <v>648</v>
      </c>
      <c r="D25">
        <v>591000</v>
      </c>
    </row>
    <row r="26" spans="1:4" x14ac:dyDescent="0.2">
      <c r="A26" t="s">
        <v>431</v>
      </c>
      <c r="B26" t="s">
        <v>648</v>
      </c>
      <c r="D26">
        <v>350000</v>
      </c>
    </row>
    <row r="27" spans="1:4" x14ac:dyDescent="0.2">
      <c r="A27" t="s">
        <v>431</v>
      </c>
      <c r="B27" t="s">
        <v>648</v>
      </c>
      <c r="D27">
        <v>253000</v>
      </c>
    </row>
    <row r="28" spans="1:4" x14ac:dyDescent="0.2">
      <c r="A28" t="s">
        <v>431</v>
      </c>
      <c r="B28" t="s">
        <v>648</v>
      </c>
      <c r="D28">
        <v>432000</v>
      </c>
    </row>
    <row r="29" spans="1:4" x14ac:dyDescent="0.2">
      <c r="A29" t="s">
        <v>431</v>
      </c>
      <c r="B29" t="s">
        <v>648</v>
      </c>
      <c r="D29">
        <v>388000</v>
      </c>
    </row>
    <row r="30" spans="1:4" x14ac:dyDescent="0.2">
      <c r="A30" t="s">
        <v>431</v>
      </c>
      <c r="B30" t="s">
        <v>648</v>
      </c>
      <c r="D30">
        <v>379000</v>
      </c>
    </row>
    <row r="31" spans="1:4" x14ac:dyDescent="0.2">
      <c r="A31" t="s">
        <v>431</v>
      </c>
      <c r="B31" t="s">
        <v>648</v>
      </c>
      <c r="D31">
        <v>424000</v>
      </c>
    </row>
    <row r="32" spans="1:4" x14ac:dyDescent="0.2">
      <c r="A32" t="s">
        <v>431</v>
      </c>
      <c r="B32" t="s">
        <v>648</v>
      </c>
      <c r="D32">
        <v>187000</v>
      </c>
    </row>
    <row r="33" spans="1:4" x14ac:dyDescent="0.2">
      <c r="A33" t="s">
        <v>431</v>
      </c>
      <c r="B33" t="s">
        <v>648</v>
      </c>
      <c r="D33">
        <v>20000</v>
      </c>
    </row>
    <row r="34" spans="1:4" x14ac:dyDescent="0.2">
      <c r="A34" t="s">
        <v>431</v>
      </c>
      <c r="B34" t="s">
        <v>648</v>
      </c>
      <c r="D34">
        <v>107000</v>
      </c>
    </row>
    <row r="35" spans="1:4" x14ac:dyDescent="0.2">
      <c r="A35" t="s">
        <v>431</v>
      </c>
      <c r="B35" t="s">
        <v>648</v>
      </c>
      <c r="C35" t="s">
        <v>444</v>
      </c>
      <c r="D35">
        <v>2057000</v>
      </c>
    </row>
    <row r="36" spans="1:4" x14ac:dyDescent="0.2">
      <c r="A36" t="s">
        <v>431</v>
      </c>
      <c r="B36" t="s">
        <v>648</v>
      </c>
      <c r="D36">
        <v>281000</v>
      </c>
    </row>
    <row r="37" spans="1:4" x14ac:dyDescent="0.2">
      <c r="A37" t="s">
        <v>431</v>
      </c>
      <c r="B37" t="s">
        <v>648</v>
      </c>
      <c r="D37">
        <v>125000</v>
      </c>
    </row>
    <row r="38" spans="1:4" x14ac:dyDescent="0.2">
      <c r="A38" t="s">
        <v>431</v>
      </c>
      <c r="B38" t="s">
        <v>648</v>
      </c>
      <c r="C38" t="s">
        <v>444</v>
      </c>
      <c r="D38">
        <v>197000</v>
      </c>
    </row>
    <row r="39" spans="1:4" x14ac:dyDescent="0.2">
      <c r="A39" t="s">
        <v>431</v>
      </c>
      <c r="B39" t="s">
        <v>648</v>
      </c>
      <c r="D39">
        <v>173000</v>
      </c>
    </row>
    <row r="40" spans="1:4" x14ac:dyDescent="0.2">
      <c r="A40" t="s">
        <v>431</v>
      </c>
      <c r="B40" t="s">
        <v>648</v>
      </c>
      <c r="C40" t="s">
        <v>444</v>
      </c>
      <c r="D40">
        <v>89000</v>
      </c>
    </row>
    <row r="41" spans="1:4" x14ac:dyDescent="0.2">
      <c r="A41" t="s">
        <v>431</v>
      </c>
      <c r="B41" t="s">
        <v>648</v>
      </c>
      <c r="D41">
        <v>447000</v>
      </c>
    </row>
    <row r="42" spans="1:4" x14ac:dyDescent="0.2">
      <c r="A42" t="s">
        <v>431</v>
      </c>
      <c r="B42" t="s">
        <v>648</v>
      </c>
      <c r="D42">
        <v>239000</v>
      </c>
    </row>
    <row r="43" spans="1:4" x14ac:dyDescent="0.2">
      <c r="A43" t="s">
        <v>431</v>
      </c>
      <c r="B43" t="s">
        <v>648</v>
      </c>
      <c r="D43">
        <v>399000</v>
      </c>
    </row>
    <row r="44" spans="1:4" x14ac:dyDescent="0.2">
      <c r="A44" t="s">
        <v>431</v>
      </c>
      <c r="B44" t="s">
        <v>648</v>
      </c>
      <c r="D44">
        <v>345000</v>
      </c>
    </row>
    <row r="45" spans="1:4" x14ac:dyDescent="0.2">
      <c r="A45" t="s">
        <v>431</v>
      </c>
      <c r="B45" t="s">
        <v>648</v>
      </c>
      <c r="D45">
        <v>101000</v>
      </c>
    </row>
    <row r="46" spans="1:4" x14ac:dyDescent="0.2">
      <c r="A46" t="s">
        <v>431</v>
      </c>
      <c r="B46" t="s">
        <v>648</v>
      </c>
      <c r="D46">
        <v>69000</v>
      </c>
    </row>
    <row r="47" spans="1:4" x14ac:dyDescent="0.2">
      <c r="A47" t="s">
        <v>431</v>
      </c>
      <c r="B47" t="s">
        <v>648</v>
      </c>
      <c r="C47" t="s">
        <v>444</v>
      </c>
      <c r="D47">
        <v>49000</v>
      </c>
    </row>
    <row r="48" spans="1:4" x14ac:dyDescent="0.2">
      <c r="A48" t="s">
        <v>431</v>
      </c>
      <c r="B48" t="s">
        <v>648</v>
      </c>
      <c r="D48">
        <v>185000</v>
      </c>
    </row>
    <row r="49" spans="1:4" x14ac:dyDescent="0.2">
      <c r="A49" t="s">
        <v>431</v>
      </c>
      <c r="B49" t="s">
        <v>648</v>
      </c>
      <c r="C49" t="s">
        <v>444</v>
      </c>
      <c r="D49">
        <v>206000</v>
      </c>
    </row>
    <row r="50" spans="1:4" x14ac:dyDescent="0.2">
      <c r="A50" t="s">
        <v>431</v>
      </c>
      <c r="B50" t="s">
        <v>648</v>
      </c>
      <c r="D50">
        <v>409000</v>
      </c>
    </row>
    <row r="51" spans="1:4" x14ac:dyDescent="0.2">
      <c r="A51" t="s">
        <v>431</v>
      </c>
      <c r="B51" t="s">
        <v>648</v>
      </c>
      <c r="D51">
        <v>378000</v>
      </c>
    </row>
    <row r="52" spans="1:4" x14ac:dyDescent="0.2">
      <c r="A52" t="s">
        <v>431</v>
      </c>
      <c r="B52" t="s">
        <v>648</v>
      </c>
      <c r="D52">
        <v>241000</v>
      </c>
    </row>
    <row r="53" spans="1:4" x14ac:dyDescent="0.2">
      <c r="A53" t="s">
        <v>431</v>
      </c>
      <c r="B53" t="s">
        <v>648</v>
      </c>
      <c r="D53">
        <v>90000</v>
      </c>
    </row>
    <row r="54" spans="1:4" x14ac:dyDescent="0.2">
      <c r="A54" t="s">
        <v>431</v>
      </c>
      <c r="B54" t="s">
        <v>648</v>
      </c>
      <c r="D54">
        <v>251000</v>
      </c>
    </row>
    <row r="55" spans="1:4" x14ac:dyDescent="0.2">
      <c r="A55" t="s">
        <v>431</v>
      </c>
      <c r="B55" t="s">
        <v>648</v>
      </c>
      <c r="D55">
        <v>321000</v>
      </c>
    </row>
    <row r="56" spans="1:4" x14ac:dyDescent="0.2">
      <c r="A56" t="s">
        <v>431</v>
      </c>
      <c r="B56" t="s">
        <v>648</v>
      </c>
      <c r="D56">
        <v>516000</v>
      </c>
    </row>
    <row r="57" spans="1:4" x14ac:dyDescent="0.2">
      <c r="A57" t="s">
        <v>431</v>
      </c>
      <c r="B57" t="s">
        <v>648</v>
      </c>
      <c r="D57">
        <v>300000</v>
      </c>
    </row>
    <row r="58" spans="1:4" x14ac:dyDescent="0.2">
      <c r="A58" t="s">
        <v>431</v>
      </c>
      <c r="B58" t="s">
        <v>648</v>
      </c>
      <c r="D58">
        <v>409000</v>
      </c>
    </row>
    <row r="59" spans="1:4" x14ac:dyDescent="0.2">
      <c r="A59" t="s">
        <v>431</v>
      </c>
      <c r="B59" t="s">
        <v>648</v>
      </c>
      <c r="D59">
        <v>368000</v>
      </c>
    </row>
    <row r="60" spans="1:4" x14ac:dyDescent="0.2">
      <c r="A60" t="s">
        <v>431</v>
      </c>
      <c r="B60" t="s">
        <v>648</v>
      </c>
      <c r="D60">
        <v>126000</v>
      </c>
    </row>
    <row r="61" spans="1:4" x14ac:dyDescent="0.2">
      <c r="A61" t="s">
        <v>431</v>
      </c>
      <c r="B61" t="s">
        <v>648</v>
      </c>
      <c r="D61">
        <v>1472000</v>
      </c>
    </row>
    <row r="62" spans="1:4" x14ac:dyDescent="0.2">
      <c r="A62" t="s">
        <v>431</v>
      </c>
      <c r="B62" t="s">
        <v>648</v>
      </c>
      <c r="D62">
        <v>380000</v>
      </c>
    </row>
    <row r="63" spans="1:4" x14ac:dyDescent="0.2">
      <c r="A63" t="s">
        <v>431</v>
      </c>
      <c r="B63" t="s">
        <v>648</v>
      </c>
      <c r="D63">
        <v>143000</v>
      </c>
    </row>
    <row r="64" spans="1:4" x14ac:dyDescent="0.2">
      <c r="A64" t="s">
        <v>431</v>
      </c>
      <c r="B64" t="s">
        <v>648</v>
      </c>
      <c r="D64">
        <v>278000</v>
      </c>
    </row>
    <row r="65" spans="1:4" x14ac:dyDescent="0.2">
      <c r="A65" t="s">
        <v>431</v>
      </c>
      <c r="B65" t="s">
        <v>648</v>
      </c>
      <c r="D65">
        <v>241000</v>
      </c>
    </row>
    <row r="66" spans="1:4" x14ac:dyDescent="0.2">
      <c r="A66" t="s">
        <v>431</v>
      </c>
      <c r="B66" t="s">
        <v>648</v>
      </c>
      <c r="D66">
        <v>159000</v>
      </c>
    </row>
    <row r="67" spans="1:4" x14ac:dyDescent="0.2">
      <c r="A67" t="s">
        <v>431</v>
      </c>
      <c r="B67" t="s">
        <v>648</v>
      </c>
      <c r="D67">
        <v>62000</v>
      </c>
    </row>
    <row r="68" spans="1:4" x14ac:dyDescent="0.2">
      <c r="A68" t="s">
        <v>431</v>
      </c>
      <c r="B68" t="s">
        <v>648</v>
      </c>
      <c r="D68">
        <v>27000</v>
      </c>
    </row>
    <row r="69" spans="1:4" x14ac:dyDescent="0.2">
      <c r="A69" t="s">
        <v>431</v>
      </c>
      <c r="B69" t="s">
        <v>648</v>
      </c>
      <c r="D69">
        <v>52000</v>
      </c>
    </row>
    <row r="70" spans="1:4" x14ac:dyDescent="0.2">
      <c r="A70" t="s">
        <v>431</v>
      </c>
      <c r="B70" t="s">
        <v>648</v>
      </c>
      <c r="D70">
        <v>55000</v>
      </c>
    </row>
    <row r="71" spans="1:4" x14ac:dyDescent="0.2">
      <c r="A71" t="s">
        <v>431</v>
      </c>
      <c r="B71" t="s">
        <v>648</v>
      </c>
      <c r="C71" t="s">
        <v>444</v>
      </c>
      <c r="D71">
        <v>482000</v>
      </c>
    </row>
    <row r="72" spans="1:4" x14ac:dyDescent="0.2">
      <c r="A72" t="s">
        <v>431</v>
      </c>
      <c r="B72" t="s">
        <v>648</v>
      </c>
      <c r="D72">
        <v>238000</v>
      </c>
    </row>
    <row r="73" spans="1:4" x14ac:dyDescent="0.2">
      <c r="A73" t="s">
        <v>431</v>
      </c>
      <c r="B73" t="s">
        <v>648</v>
      </c>
      <c r="D73">
        <v>739000</v>
      </c>
    </row>
    <row r="74" spans="1:4" x14ac:dyDescent="0.2">
      <c r="A74" t="s">
        <v>431</v>
      </c>
      <c r="B74" t="s">
        <v>648</v>
      </c>
      <c r="D74">
        <v>401000</v>
      </c>
    </row>
    <row r="75" spans="1:4" x14ac:dyDescent="0.2">
      <c r="A75" t="s">
        <v>431</v>
      </c>
      <c r="B75" t="s">
        <v>648</v>
      </c>
      <c r="D75">
        <v>289000</v>
      </c>
    </row>
    <row r="76" spans="1:4" x14ac:dyDescent="0.2">
      <c r="A76" t="s">
        <v>431</v>
      </c>
      <c r="B76" t="s">
        <v>648</v>
      </c>
      <c r="D76">
        <v>55000</v>
      </c>
    </row>
    <row r="77" spans="1:4" x14ac:dyDescent="0.2">
      <c r="A77" t="s">
        <v>431</v>
      </c>
      <c r="B77" t="s">
        <v>648</v>
      </c>
      <c r="D77">
        <v>337000</v>
      </c>
    </row>
    <row r="78" spans="1:4" x14ac:dyDescent="0.2">
      <c r="A78" t="s">
        <v>431</v>
      </c>
      <c r="B78" t="s">
        <v>648</v>
      </c>
      <c r="D78">
        <v>272000</v>
      </c>
    </row>
    <row r="79" spans="1:4" x14ac:dyDescent="0.2">
      <c r="A79" t="s">
        <v>431</v>
      </c>
      <c r="B79" t="s">
        <v>648</v>
      </c>
      <c r="D79">
        <v>463000</v>
      </c>
    </row>
    <row r="80" spans="1:4" x14ac:dyDescent="0.2">
      <c r="A80" t="s">
        <v>431</v>
      </c>
      <c r="B80" t="s">
        <v>648</v>
      </c>
      <c r="D80">
        <v>62000</v>
      </c>
    </row>
    <row r="81" spans="1:4" x14ac:dyDescent="0.2">
      <c r="A81" t="s">
        <v>431</v>
      </c>
      <c r="B81" t="s">
        <v>648</v>
      </c>
      <c r="D81">
        <v>75000</v>
      </c>
    </row>
    <row r="82" spans="1:4" x14ac:dyDescent="0.2">
      <c r="A82" t="s">
        <v>431</v>
      </c>
      <c r="B82" t="s">
        <v>648</v>
      </c>
      <c r="C82" t="s">
        <v>444</v>
      </c>
      <c r="D82">
        <v>179000</v>
      </c>
    </row>
    <row r="83" spans="1:4" x14ac:dyDescent="0.2">
      <c r="A83" t="s">
        <v>431</v>
      </c>
      <c r="B83" t="s">
        <v>648</v>
      </c>
      <c r="C83" t="s">
        <v>444</v>
      </c>
      <c r="D83">
        <v>179000</v>
      </c>
    </row>
    <row r="84" spans="1:4" x14ac:dyDescent="0.2">
      <c r="A84" t="s">
        <v>431</v>
      </c>
      <c r="B84" t="s">
        <v>648</v>
      </c>
      <c r="D84">
        <v>359000</v>
      </c>
    </row>
    <row r="85" spans="1:4" x14ac:dyDescent="0.2">
      <c r="A85" t="s">
        <v>431</v>
      </c>
      <c r="B85" t="s">
        <v>648</v>
      </c>
      <c r="D85">
        <v>359000</v>
      </c>
    </row>
    <row r="86" spans="1:4" x14ac:dyDescent="0.2">
      <c r="A86" t="s">
        <v>431</v>
      </c>
      <c r="B86" t="s">
        <v>648</v>
      </c>
      <c r="D86">
        <v>193000</v>
      </c>
    </row>
    <row r="87" spans="1:4" x14ac:dyDescent="0.2">
      <c r="A87" t="s">
        <v>431</v>
      </c>
      <c r="B87" t="s">
        <v>648</v>
      </c>
      <c r="D87">
        <v>198000</v>
      </c>
    </row>
    <row r="88" spans="1:4" x14ac:dyDescent="0.2">
      <c r="A88" t="s">
        <v>431</v>
      </c>
      <c r="B88" t="s">
        <v>648</v>
      </c>
      <c r="D88">
        <v>376000</v>
      </c>
    </row>
    <row r="89" spans="1:4" x14ac:dyDescent="0.2">
      <c r="A89" t="s">
        <v>431</v>
      </c>
      <c r="B89" t="s">
        <v>648</v>
      </c>
      <c r="D89">
        <v>573000</v>
      </c>
    </row>
    <row r="90" spans="1:4" x14ac:dyDescent="0.2">
      <c r="A90" t="s">
        <v>431</v>
      </c>
      <c r="B90" t="s">
        <v>648</v>
      </c>
      <c r="C90" t="s">
        <v>444</v>
      </c>
      <c r="D90">
        <v>372000</v>
      </c>
    </row>
    <row r="91" spans="1:4" x14ac:dyDescent="0.2">
      <c r="A91" t="s">
        <v>431</v>
      </c>
      <c r="B91" t="s">
        <v>648</v>
      </c>
      <c r="D91">
        <v>131000</v>
      </c>
    </row>
    <row r="92" spans="1:4" x14ac:dyDescent="0.2">
      <c r="A92" t="s">
        <v>431</v>
      </c>
      <c r="B92" t="s">
        <v>648</v>
      </c>
      <c r="D92">
        <v>39000</v>
      </c>
    </row>
    <row r="93" spans="1:4" x14ac:dyDescent="0.2">
      <c r="A93" t="s">
        <v>431</v>
      </c>
      <c r="B93" t="s">
        <v>648</v>
      </c>
      <c r="D93">
        <v>51000</v>
      </c>
    </row>
    <row r="94" spans="1:4" x14ac:dyDescent="0.2">
      <c r="A94" t="s">
        <v>431</v>
      </c>
      <c r="B94" t="s">
        <v>648</v>
      </c>
      <c r="D94">
        <v>67000</v>
      </c>
    </row>
    <row r="95" spans="1:4" x14ac:dyDescent="0.2">
      <c r="A95" t="s">
        <v>431</v>
      </c>
      <c r="B95" t="s">
        <v>648</v>
      </c>
      <c r="C95" t="s">
        <v>444</v>
      </c>
      <c r="D95">
        <v>89000</v>
      </c>
    </row>
    <row r="96" spans="1:4" x14ac:dyDescent="0.2">
      <c r="A96" t="s">
        <v>431</v>
      </c>
      <c r="B96" t="s">
        <v>648</v>
      </c>
      <c r="D96">
        <v>282000</v>
      </c>
    </row>
    <row r="97" spans="1:4" x14ac:dyDescent="0.2">
      <c r="A97" t="s">
        <v>431</v>
      </c>
      <c r="B97" t="s">
        <v>648</v>
      </c>
      <c r="D97">
        <v>3119000</v>
      </c>
    </row>
    <row r="98" spans="1:4" x14ac:dyDescent="0.2">
      <c r="A98" t="s">
        <v>431</v>
      </c>
      <c r="B98" t="s">
        <v>648</v>
      </c>
      <c r="D98">
        <v>1399000</v>
      </c>
    </row>
    <row r="99" spans="1:4" x14ac:dyDescent="0.2">
      <c r="A99" t="s">
        <v>431</v>
      </c>
      <c r="B99" t="s">
        <v>648</v>
      </c>
      <c r="C99" t="s">
        <v>444</v>
      </c>
      <c r="D99">
        <v>993000</v>
      </c>
    </row>
    <row r="100" spans="1:4" x14ac:dyDescent="0.2">
      <c r="A100" t="s">
        <v>431</v>
      </c>
      <c r="B100" t="s">
        <v>648</v>
      </c>
      <c r="C100" t="s">
        <v>444</v>
      </c>
      <c r="D100">
        <v>768000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AC1-2174-4559-BC40-74C097024926}">
  <dimension ref="A1:C16"/>
  <sheetViews>
    <sheetView workbookViewId="0"/>
  </sheetViews>
  <sheetFormatPr defaultRowHeight="12.75" x14ac:dyDescent="0.2"/>
  <cols>
    <col min="1" max="1" width="31.85546875" bestFit="1" customWidth="1"/>
    <col min="2" max="2" width="18" bestFit="1" customWidth="1"/>
    <col min="3" max="3" width="17.28515625" bestFit="1" customWidth="1"/>
  </cols>
  <sheetData>
    <row r="1" spans="1:3" x14ac:dyDescent="0.2">
      <c r="A1" s="183" t="s">
        <v>555</v>
      </c>
      <c r="B1" s="183" t="s">
        <v>649</v>
      </c>
      <c r="C1" s="183" t="s">
        <v>650</v>
      </c>
    </row>
    <row r="2" spans="1:3" x14ac:dyDescent="0.2">
      <c r="A2" t="s">
        <v>513</v>
      </c>
      <c r="B2" t="s">
        <v>515</v>
      </c>
      <c r="C2" s="184">
        <v>5880000</v>
      </c>
    </row>
    <row r="3" spans="1:3" x14ac:dyDescent="0.2">
      <c r="A3" t="s">
        <v>513</v>
      </c>
      <c r="B3" t="s">
        <v>518</v>
      </c>
      <c r="C3" s="184">
        <v>6980000</v>
      </c>
    </row>
    <row r="4" spans="1:3" x14ac:dyDescent="0.2">
      <c r="A4" t="s">
        <v>513</v>
      </c>
      <c r="B4" t="s">
        <v>521</v>
      </c>
      <c r="C4" s="184">
        <v>5980000</v>
      </c>
    </row>
    <row r="5" spans="1:3" x14ac:dyDescent="0.2">
      <c r="A5" t="s">
        <v>513</v>
      </c>
      <c r="B5" t="s">
        <v>524</v>
      </c>
      <c r="C5" s="184">
        <v>4780000</v>
      </c>
    </row>
    <row r="6" spans="1:3" x14ac:dyDescent="0.2">
      <c r="A6" t="s">
        <v>513</v>
      </c>
      <c r="B6" t="s">
        <v>527</v>
      </c>
      <c r="C6" s="184">
        <v>475000</v>
      </c>
    </row>
    <row r="7" spans="1:3" x14ac:dyDescent="0.2">
      <c r="A7" t="s">
        <v>530</v>
      </c>
      <c r="B7" t="s">
        <v>515</v>
      </c>
      <c r="C7" s="184">
        <v>6080000</v>
      </c>
    </row>
    <row r="8" spans="1:3" x14ac:dyDescent="0.2">
      <c r="A8" t="s">
        <v>530</v>
      </c>
      <c r="B8" t="s">
        <v>518</v>
      </c>
      <c r="C8" s="184">
        <v>7180000</v>
      </c>
    </row>
    <row r="9" spans="1:3" x14ac:dyDescent="0.2">
      <c r="A9" t="s">
        <v>530</v>
      </c>
      <c r="B9" t="s">
        <v>521</v>
      </c>
      <c r="C9" s="184">
        <v>6180000</v>
      </c>
    </row>
    <row r="10" spans="1:3" x14ac:dyDescent="0.2">
      <c r="A10" t="s">
        <v>534</v>
      </c>
      <c r="B10" t="s">
        <v>535</v>
      </c>
      <c r="C10" s="184">
        <v>2980000</v>
      </c>
    </row>
    <row r="11" spans="1:3" x14ac:dyDescent="0.2">
      <c r="A11" t="s">
        <v>534</v>
      </c>
      <c r="B11" t="s">
        <v>538</v>
      </c>
      <c r="C11" s="184">
        <v>3180000</v>
      </c>
    </row>
    <row r="12" spans="1:3" x14ac:dyDescent="0.2">
      <c r="A12" t="s">
        <v>534</v>
      </c>
      <c r="B12" t="s">
        <v>540</v>
      </c>
      <c r="C12" s="184">
        <v>2680000</v>
      </c>
    </row>
    <row r="13" spans="1:3" x14ac:dyDescent="0.2">
      <c r="A13" t="s">
        <v>534</v>
      </c>
      <c r="B13" t="s">
        <v>543</v>
      </c>
      <c r="C13" s="184">
        <v>2880000</v>
      </c>
    </row>
    <row r="14" spans="1:3" x14ac:dyDescent="0.2">
      <c r="A14" t="s">
        <v>545</v>
      </c>
      <c r="B14" t="s">
        <v>546</v>
      </c>
      <c r="C14" s="184">
        <v>4780000</v>
      </c>
    </row>
    <row r="15" spans="1:3" x14ac:dyDescent="0.2">
      <c r="A15" t="s">
        <v>545</v>
      </c>
      <c r="B15" t="s">
        <v>548</v>
      </c>
      <c r="C15" s="184">
        <v>7180000</v>
      </c>
    </row>
    <row r="16" spans="1:3" x14ac:dyDescent="0.2">
      <c r="A16" t="s">
        <v>545</v>
      </c>
      <c r="B16" t="s">
        <v>550</v>
      </c>
      <c r="C16" s="184">
        <v>7380000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SOLIDSURFACE</vt:lpstr>
      <vt:lpstr>LIGHTING</vt:lpstr>
      <vt:lpstr>ACC WD</vt:lpstr>
      <vt:lpstr>ACC KIT</vt:lpstr>
      <vt:lpstr>Handles</vt:lpstr>
      <vt:lpstr>Mirror with LED</vt:lpstr>
      <vt:lpstr>FLUTE GLASS OPTIONS GALLERY</vt:lpstr>
      <vt:lpstr>Flute Glass Simple</vt:lpstr>
      <vt:lpstr>Solid Surface Simple</vt:lpstr>
      <vt:lpstr>Lighting Simple</vt:lpstr>
      <vt:lpstr>Kitchen Acc Simple</vt:lpstr>
      <vt:lpstr>Wardrobe Acc Simple</vt:lpstr>
      <vt:lpstr>Handles Simple</vt:lpstr>
      <vt:lpstr>Mirror LED 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Untario</cp:lastModifiedBy>
  <dcterms:modified xsi:type="dcterms:W3CDTF">2026-06-09T09:25:47Z</dcterms:modified>
</cp:coreProperties>
</file>