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eral\Documents\pCloud\WORK\MulyaOne\SM Price List\"/>
    </mc:Choice>
  </mc:AlternateContent>
  <xr:revisionPtr revIDLastSave="0" documentId="13_ncr:1_{F96CAB7F-7154-4977-B08D-42316F0CC841}" xr6:coauthVersionLast="47" xr6:coauthVersionMax="47" xr10:uidLastSave="{00000000-0000-0000-0000-000000000000}"/>
  <bookViews>
    <workbookView xWindow="-120" yWindow="-120" windowWidth="29040" windowHeight="15720" tabRatio="747" activeTab="5" xr2:uid="{00000000-000D-0000-FFFF-FFFF00000000}"/>
  </bookViews>
  <sheets>
    <sheet name="BASE UNIT" sheetId="1" r:id="rId1"/>
    <sheet name="WALL UNIT" sheetId="2" r:id="rId2"/>
    <sheet name="TALL UNIT" sheetId="3" r:id="rId3"/>
    <sheet name="WU TU Glass Doors" sheetId="4" r:id="rId4"/>
    <sheet name="ARTDECO" sheetId="5" r:id="rId5"/>
    <sheet name="Ornament Artdeco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  <c r="D7" i="6"/>
  <c r="C7" i="6"/>
  <c r="D6" i="6"/>
  <c r="C6" i="6"/>
  <c r="D5" i="6"/>
  <c r="C5" i="6"/>
  <c r="C4" i="6"/>
  <c r="A347" i="5"/>
  <c r="A341" i="5"/>
  <c r="A337" i="5"/>
  <c r="A331" i="5"/>
  <c r="A327" i="5"/>
  <c r="A323" i="5"/>
  <c r="A319" i="5"/>
  <c r="A315" i="5"/>
  <c r="A307" i="5"/>
  <c r="A299" i="5"/>
  <c r="A295" i="5"/>
  <c r="A291" i="5"/>
  <c r="A287" i="5"/>
  <c r="A277" i="5"/>
  <c r="A268" i="5"/>
  <c r="A250" i="5"/>
  <c r="A248" i="5"/>
  <c r="A246" i="5"/>
  <c r="A244" i="5"/>
  <c r="A242" i="5"/>
  <c r="A234" i="5"/>
  <c r="A222" i="5"/>
  <c r="A210" i="5"/>
  <c r="A198" i="5"/>
  <c r="A192" i="5"/>
  <c r="A186" i="5"/>
  <c r="A180" i="5"/>
  <c r="A166" i="5"/>
  <c r="A152" i="5"/>
  <c r="A138" i="5"/>
  <c r="A124" i="5"/>
  <c r="A109" i="5"/>
  <c r="A98" i="5"/>
  <c r="A88" i="5"/>
  <c r="A84" i="5"/>
  <c r="A78" i="5"/>
  <c r="A71" i="5"/>
  <c r="A63" i="5"/>
  <c r="A57" i="5"/>
  <c r="A50" i="5"/>
  <c r="A43" i="5"/>
  <c r="A37" i="5"/>
  <c r="A31" i="5"/>
  <c r="A8" i="5"/>
  <c r="A7" i="5"/>
  <c r="A125" i="4"/>
  <c r="A117" i="4"/>
  <c r="A103" i="4"/>
  <c r="A92" i="4"/>
  <c r="A81" i="4"/>
  <c r="A70" i="4"/>
  <c r="A64" i="4"/>
  <c r="A50" i="4"/>
  <c r="A36" i="4"/>
  <c r="A22" i="4"/>
  <c r="A8" i="4"/>
  <c r="A87" i="3"/>
  <c r="A85" i="3"/>
  <c r="A78" i="3"/>
  <c r="A73" i="3"/>
  <c r="A72" i="3"/>
  <c r="A68" i="3"/>
  <c r="A62" i="3"/>
  <c r="A58" i="3"/>
  <c r="A52" i="3"/>
  <c r="A48" i="3"/>
  <c r="A44" i="3"/>
  <c r="A40" i="3"/>
  <c r="A36" i="3"/>
  <c r="A28" i="3"/>
  <c r="A20" i="3"/>
  <c r="A16" i="3"/>
  <c r="A12" i="3"/>
  <c r="A8" i="3"/>
  <c r="A153" i="2"/>
  <c r="A144" i="2"/>
  <c r="A126" i="2"/>
  <c r="A118" i="2"/>
  <c r="A106" i="2"/>
  <c r="A94" i="2"/>
  <c r="A82" i="2"/>
  <c r="A76" i="2"/>
  <c r="A70" i="2"/>
  <c r="A64" i="2"/>
  <c r="A50" i="2"/>
  <c r="A36" i="2"/>
  <c r="A22" i="2"/>
  <c r="A8" i="2"/>
  <c r="C110" i="1"/>
  <c r="A110" i="1"/>
  <c r="C99" i="1"/>
  <c r="A99" i="1"/>
  <c r="C89" i="1"/>
  <c r="A89" i="1"/>
  <c r="A85" i="1"/>
  <c r="A79" i="1"/>
  <c r="A72" i="1"/>
  <c r="C64" i="1"/>
  <c r="A64" i="1"/>
  <c r="C58" i="1"/>
  <c r="A58" i="1"/>
  <c r="A51" i="1"/>
  <c r="A44" i="1"/>
  <c r="A38" i="1"/>
  <c r="A32" i="1"/>
  <c r="A9" i="1"/>
  <c r="A8" i="1"/>
</calcChain>
</file>

<file path=xl/sharedStrings.xml><?xml version="1.0" encoding="utf-8"?>
<sst xmlns="http://schemas.openxmlformats.org/spreadsheetml/2006/main" count="1367" uniqueCount="462">
  <si>
    <t>Stella mobili</t>
  </si>
  <si>
    <t>B A S E    U N I T    P R I C E</t>
  </si>
  <si>
    <t>S H O W R O O M   P R I C E  -  JUNE 2026</t>
  </si>
  <si>
    <t>HANDLE &amp; PPN EXCLUDE</t>
  </si>
  <si>
    <t>usually for flat PVC</t>
  </si>
  <si>
    <t>min w.300 h.240 jadi riquadra</t>
  </si>
  <si>
    <t>SPECIAL PANELS</t>
  </si>
  <si>
    <t>DIMENSIONS</t>
  </si>
  <si>
    <t>TZ
(High Gloss &amp; Satin)</t>
  </si>
  <si>
    <t>Classic Doors
PVC</t>
  </si>
  <si>
    <t>Classic Glass
Doors PVC</t>
  </si>
  <si>
    <t>Classic Doors
Painted</t>
  </si>
  <si>
    <t>Classic Glass
Doors Painted</t>
  </si>
  <si>
    <t>Riquadra
Panel</t>
  </si>
  <si>
    <t>Riquadra
Glass</t>
  </si>
  <si>
    <t>J-Handle</t>
  </si>
  <si>
    <t>DISCONTINUED
PREMIUM PANELS</t>
  </si>
  <si>
    <t>DISCONTINUED PANELS</t>
  </si>
  <si>
    <t>Vanguard P30 (White)</t>
  </si>
  <si>
    <t>Collalto Gold</t>
  </si>
  <si>
    <t>Collalto Silver / Platin</t>
  </si>
  <si>
    <t>Argento</t>
  </si>
  <si>
    <t>Irridio</t>
  </si>
  <si>
    <t>Fittipaldi (Sable LR29)</t>
  </si>
  <si>
    <t>Patrese (Sable)</t>
  </si>
  <si>
    <t>Ascari (Sable)</t>
  </si>
  <si>
    <t>Madre Perla (Reflex FA68)</t>
  </si>
  <si>
    <t>Madre Perlato (Reflex FA84)</t>
  </si>
  <si>
    <t>Old America (Tranche LM09)</t>
  </si>
  <si>
    <t>Madre Metallo (Reflex FB35)</t>
  </si>
  <si>
    <t>Caffè (UB01) (Primo Fiore / Ecopelle)</t>
  </si>
  <si>
    <t>Visone (UA94) (Primo Fiore)</t>
  </si>
  <si>
    <t>Ancona Walnut S.1055</t>
  </si>
  <si>
    <t>Lapland Elm</t>
  </si>
  <si>
    <t>Andesh Ash</t>
  </si>
  <si>
    <t>Ancona Walnut S.1051</t>
  </si>
  <si>
    <t>Ancona Walnut S.1052</t>
  </si>
  <si>
    <t>Florence Pine</t>
  </si>
  <si>
    <t>Lisbon Oak</t>
  </si>
  <si>
    <t>Tosca</t>
  </si>
  <si>
    <t>Ancona Walnut S.1054</t>
  </si>
  <si>
    <t>Autumn YMLD004</t>
  </si>
  <si>
    <t>Autumn YMLD002</t>
  </si>
  <si>
    <t>Autumn YDH103</t>
  </si>
  <si>
    <t>Terra Walnut</t>
  </si>
  <si>
    <t>Swiss Elm White</t>
  </si>
  <si>
    <t>Swiss Elm Amber 18mm</t>
  </si>
  <si>
    <t>Eukalyptus</t>
  </si>
  <si>
    <t>Sandstone High Gloss</t>
  </si>
  <si>
    <t>DESCRIPTION</t>
  </si>
  <si>
    <t>D</t>
  </si>
  <si>
    <t>H</t>
  </si>
  <si>
    <t>W</t>
  </si>
  <si>
    <t>standard</t>
  </si>
  <si>
    <t>gola</t>
  </si>
  <si>
    <t>BASE UNIT SHELF</t>
  </si>
  <si>
    <t>Base Unit with 1 Shelf.
Depth without door, Height without leg adjuster
(total standard height is 840mm or 740mm+100mm Leg before top).
W.900 uses 2 doors.</t>
  </si>
  <si>
    <t>BU Shelf w.300</t>
  </si>
  <si>
    <t>BU Shelf w.450</t>
  </si>
  <si>
    <t>BU Shelf w.600</t>
  </si>
  <si>
    <t>BU Shelf w.900</t>
  </si>
  <si>
    <t>Corner BU Shelf w.1050 (Door w.450)</t>
  </si>
  <si>
    <t>BU Shelf w.300 d.320</t>
  </si>
  <si>
    <t>BU Shelf w.450 d.320</t>
  </si>
  <si>
    <t>BU Shelf w.600 d.320</t>
  </si>
  <si>
    <t>BU Shelf w.900 d.320</t>
  </si>
  <si>
    <t>BU Shelf w.300 h.1095 for BAR</t>
  </si>
  <si>
    <t>BU Shelf w.450 h.1095 for BAR</t>
  </si>
  <si>
    <t>BU Shelf w.600 h.1095 for BAR</t>
  </si>
  <si>
    <t>BU Shelf w.900 h.1095 for BAR</t>
  </si>
  <si>
    <t>BU Shelf w.300 h.1095 d.320 for BAR</t>
  </si>
  <si>
    <t>BU Shelf w.450 h.1095 d.320 for BAR</t>
  </si>
  <si>
    <t>BU Shelf w.600 h.1095 d.320 for BAR</t>
  </si>
  <si>
    <t>BU Shelf w.900 h.1095 d.320 for BAR</t>
  </si>
  <si>
    <t>BU Shelf w.300 h.600</t>
  </si>
  <si>
    <t>BU Shelf w.450 h.600</t>
  </si>
  <si>
    <t>BU Shelf w.600 h.600</t>
  </si>
  <si>
    <t>BU Shelf w.900 h.600</t>
  </si>
  <si>
    <t>Corner BU Shelf w.1050 h.600 (Door.450)</t>
  </si>
  <si>
    <t>Base Unit 4 Drawers</t>
  </si>
  <si>
    <t>flat face drawers</t>
  </si>
  <si>
    <t>BLUM Legrabox Runners. Depth cannot be compromised</t>
  </si>
  <si>
    <t>BU 4 Drawers w.300</t>
  </si>
  <si>
    <t>BU 4 Drawers w.450</t>
  </si>
  <si>
    <t>BU 4 Drawers w.600</t>
  </si>
  <si>
    <t>BU 4 Drawers w.900</t>
  </si>
  <si>
    <t>Base Unit 3 Drawers</t>
  </si>
  <si>
    <t>only the large
drawer is
riquadra</t>
  </si>
  <si>
    <t>BU 3 Drawers w.300</t>
  </si>
  <si>
    <t>BU 3 Drawers w.450</t>
  </si>
  <si>
    <t>BU 3 Drawers w.600</t>
  </si>
  <si>
    <t>BU 3 Drawers w.900</t>
  </si>
  <si>
    <t>Base Unit 2 Drawers</t>
  </si>
  <si>
    <t>BU 2 Drawers w.300</t>
  </si>
  <si>
    <t>BU 2 Drawers w.450</t>
  </si>
  <si>
    <t>BU 2 Drawers w.600</t>
  </si>
  <si>
    <t>BU 2 Drawers w.900</t>
  </si>
  <si>
    <t>BU 2 Drawers w.1200</t>
  </si>
  <si>
    <t>Base Unit 2 Drawers with Inner</t>
  </si>
  <si>
    <t>BLUM Legrabox Runners. Depth cannot be compromised, cutlery exclude</t>
  </si>
  <si>
    <t>BU 2 Drawers w.300 with inner</t>
  </si>
  <si>
    <t>BU 2 Drawers w.450 with inner</t>
  </si>
  <si>
    <t>BU 2 Drawers w.600 with inner</t>
  </si>
  <si>
    <t>BU 2 Drawers w.900 with inner</t>
  </si>
  <si>
    <t>BU 2 Drawers w.1200 with inner</t>
  </si>
  <si>
    <t>Base Unit 1 Drawer + Shelf</t>
  </si>
  <si>
    <t>only the swing
door is riquadra</t>
  </si>
  <si>
    <t>BLUM Legrabox Runners. with 1 shelf
Depth cannot be compromised, swing door with tip-on for gola type</t>
  </si>
  <si>
    <t>BU Drawer+Shelf w.300</t>
  </si>
  <si>
    <t>BU Drawer+Shelf w.450</t>
  </si>
  <si>
    <t>BU Drawer+Shelf w.600</t>
  </si>
  <si>
    <t>BU Drawer+Shelf w.900</t>
  </si>
  <si>
    <t>Base Unit Empty (for Baskets)</t>
  </si>
  <si>
    <t>Depth cannot be compromised. Double check accessory size</t>
  </si>
  <si>
    <t>BU Empty Pull-out Basket w.150</t>
  </si>
  <si>
    <t>BU Empty Pull-out Basket w.300</t>
  </si>
  <si>
    <t>BU Empty Pull-out Basket w.450</t>
  </si>
  <si>
    <t>BU Empty Pull-out Basket w.600</t>
  </si>
  <si>
    <t>BU Empty Pull-out Basket w.900</t>
  </si>
  <si>
    <t>usually for swivel trays</t>
  </si>
  <si>
    <t>Corner BU Empty Pull-out Basket w.1050</t>
  </si>
  <si>
    <t>Base Unit Pull-Out Legrabox</t>
  </si>
  <si>
    <t>Depth cannot be compromised.</t>
  </si>
  <si>
    <t>BU Pull-out Legrabox w.150</t>
  </si>
  <si>
    <t>BU Pull-out Legrabox w.200</t>
  </si>
  <si>
    <t>BU Pull-out Legrabox w.300</t>
  </si>
  <si>
    <t>BU Pull-out Legrabox w.450</t>
  </si>
  <si>
    <t>BU Pull-out Legrabox w.600</t>
  </si>
  <si>
    <t>Base Unit for Gas</t>
  </si>
  <si>
    <t>include solid surface tray</t>
  </si>
  <si>
    <t>BU Gas w.450 (Include SS Tray)</t>
  </si>
  <si>
    <t>BU Gas w.600 (Include SS Tray)</t>
  </si>
  <si>
    <t>Solid Surface Pull Out Tray only w.450</t>
  </si>
  <si>
    <t>Solid Surface Pull Out Tray only w.600</t>
  </si>
  <si>
    <t>Base Unit for Oven</t>
  </si>
  <si>
    <t>ada filler dummy (antara di bawah atau atas)</t>
  </si>
  <si>
    <t>BU Oven w.600</t>
  </si>
  <si>
    <t>BU Oven w.900</t>
  </si>
  <si>
    <t>Base Unit for Sink</t>
  </si>
  <si>
    <t>no back panel, only back gate.
Panel cabinet equipped with bottom foil d.530 (gate maju)
Fibreboard HPL but make sure not end cabinet (not strong enough to hold hinges)</t>
  </si>
  <si>
    <t>BU Sink panel w.600 (Include alumunium tray)</t>
  </si>
  <si>
    <t>BU Sink panel w.900 (Include alumunium tray)</t>
  </si>
  <si>
    <t>BU Sink panel w.1200 (Include alumunium tray)</t>
  </si>
  <si>
    <t>Alumunium Tray for cabinet w.900-1200</t>
  </si>
  <si>
    <t>Alumunium Tray for cabinet w.600-850</t>
  </si>
  <si>
    <t>don't use as end cabinet</t>
  </si>
  <si>
    <t>BU Sink fibreboard w.600 (white only)</t>
  </si>
  <si>
    <t>BU Sink fibreboard w.900 (white only)</t>
  </si>
  <si>
    <t>BU Sink fibreboard w.1200 (white only)</t>
  </si>
  <si>
    <t>Base Unit Open Shelf</t>
  </si>
  <si>
    <t>BU Open Shelf d.620 w.300</t>
  </si>
  <si>
    <t>BU Open Shelf d.620 w.450</t>
  </si>
  <si>
    <t>BU Open Shelf d.620 w.600</t>
  </si>
  <si>
    <t>BU Open Shelf d.620 w.900</t>
  </si>
  <si>
    <t>BU Terminal Open Shelf</t>
  </si>
  <si>
    <t>BU Open Shelf d.320 w.300</t>
  </si>
  <si>
    <t>BU Open Shelf d.320 w.450</t>
  </si>
  <si>
    <t>BU Open Shelf d.320 w.600</t>
  </si>
  <si>
    <t>BU Open Shelf d.320 w.900</t>
  </si>
  <si>
    <t>Complimentaries</t>
  </si>
  <si>
    <t>End Panel d.620 h.600</t>
  </si>
  <si>
    <t>End Panel d.620 h.740</t>
  </si>
  <si>
    <t>End Panel d.620 h.850</t>
  </si>
  <si>
    <t>End Panel d.620 h.1100</t>
  </si>
  <si>
    <t>Filler Panel w.100 h.840</t>
  </si>
  <si>
    <t>Filler Panel w.100 h.1100</t>
  </si>
  <si>
    <t>Plinth PVC h.100 (Black, White, CA, DUM, PVC)</t>
  </si>
  <si>
    <t>LM</t>
  </si>
  <si>
    <t>i3 drawer</t>
  </si>
  <si>
    <t>i6 drawer</t>
  </si>
  <si>
    <t>BLUM Space Step Drawer w.450 h.250</t>
  </si>
  <si>
    <t>BLUM Space Step Drawer w.600 h.250</t>
  </si>
  <si>
    <t>BLUM Space Step Drawer w.900 h.250</t>
  </si>
  <si>
    <t>W A L L    U N I T    P R I C E</t>
  </si>
  <si>
    <t>FLAP UP DOOR
Blum Aventos HK</t>
  </si>
  <si>
    <t>For cabinet heights of up to 600 mm and cabinet widths of 900 mm.
spare space above top panel at least 80 mm</t>
  </si>
  <si>
    <t>Wall Unit Flap Up tip-on / blumotion h.360 w.450</t>
  </si>
  <si>
    <t>Wall Unit Flap Up tip-on / blumotion h.360 w.600</t>
  </si>
  <si>
    <t>Wall Unit Flap Up tip-on / blumotion h.360 w.900</t>
  </si>
  <si>
    <t>Wall Unit Flap Up tip-on / blumotion h.563 w.450</t>
  </si>
  <si>
    <t>Wall Unit Flap Up tip-on / blumotion h.563 w.600</t>
  </si>
  <si>
    <t>Wall Unit Flap Up tip-on / blumotion h.563 w.900</t>
  </si>
  <si>
    <t>Wall Unit Flap Up servo-drive h.360 w.450</t>
  </si>
  <si>
    <t>Wall Unit Flap Up servo-drive h.360 w.600</t>
  </si>
  <si>
    <t>Wall Unit Flap Up servo-drive h.360 w.900</t>
  </si>
  <si>
    <t>Wall Unit Flap Up servo-drive h.563 w.450</t>
  </si>
  <si>
    <t>Wall Unit Flap Up servo-drive h.563 w.600</t>
  </si>
  <si>
    <t>Wall Unit Flap Up servo-drive h.563 w.900</t>
  </si>
  <si>
    <t>SLANT UP DOOR
Blum Aventos HS</t>
  </si>
  <si>
    <t>For cabinet heights of 350 to 600 mm and cabinet widths of up to 900 mm.
No tip-on option. Must have space at least 20cm above top panel</t>
  </si>
  <si>
    <t>Wall Unit Slant Up blumotion h.360 w.450</t>
  </si>
  <si>
    <t>Wall Unit Slant Up blumotion h.360 w.600</t>
  </si>
  <si>
    <t>Wall Unit Slant Up blumotion h.360 w.900</t>
  </si>
  <si>
    <t>Wall Unit Slant Up blumotion h.600 w.450</t>
  </si>
  <si>
    <t>Wall Unit Slant Up blumotion h.600 w.600</t>
  </si>
  <si>
    <t>Wall Unit Slant Up blumotion h.600 w.900</t>
  </si>
  <si>
    <t>Wall Unit Slant Up servo-drive h.360 w.450</t>
  </si>
  <si>
    <t>Wall Unit Slant Up servo-drive h.360 w.600</t>
  </si>
  <si>
    <t>Wall Unit Slant Up servo-drive h.360 w.900</t>
  </si>
  <si>
    <t>Wall Unit Slant Up servo-drive h.600 w.450</t>
  </si>
  <si>
    <t>Wall Unit Slant Up servo-drive h.600 w.600</t>
  </si>
  <si>
    <t>Wall Unit Slant Up servo-drive h.600 w.900</t>
  </si>
  <si>
    <t>LIFT UP DOOR
Blum Aventos HL</t>
  </si>
  <si>
    <t>For cabinet heights of 300 to 600 mm and cabinet widths of up to 900 mm.
No tip-on option</t>
  </si>
  <si>
    <t>Wall Unit Lift Up blumotion h.360 w.450</t>
  </si>
  <si>
    <t>Wall Unit Lift Up blumotion h.360 w.600</t>
  </si>
  <si>
    <t>Wall Unit Lift Up blumotion h.360 w.900</t>
  </si>
  <si>
    <t>Wall Unit Lift Up blumotion h.600 w.450</t>
  </si>
  <si>
    <t>Wall Unit Lift Up blumotion h.600 w.600</t>
  </si>
  <si>
    <t>Wall Unit Lift Up blumotion h.600 w.900</t>
  </si>
  <si>
    <t>Wall Unit Lift Up servo-drive h.360 w.450</t>
  </si>
  <si>
    <t>Wall Unit Lift Up servo-drive h.360 w.600</t>
  </si>
  <si>
    <t>Wall Unit Lift Up servo-drive h.360 w.900</t>
  </si>
  <si>
    <t>Wall Unit Lift Up servo-drive h.600 w.450</t>
  </si>
  <si>
    <t>Wall Unit Lift Up servo-drive h.600 w.600</t>
  </si>
  <si>
    <t>Wall Unit Lift Up servo-drive h.600 w.900</t>
  </si>
  <si>
    <t>FOLD UP DOOR
Blum Aventos HF</t>
  </si>
  <si>
    <t>For cabinet heights of 723 to 978 mm and cabinet widths of up to 900 mm.
No tip-on option. Must have space at least 260 mm above top to open fully</t>
  </si>
  <si>
    <t>Wall Unit Fold Up blumotion h.723 w.450</t>
  </si>
  <si>
    <t>Wall Unit Fold Up blumotion h.723 w.600</t>
  </si>
  <si>
    <t>Wall Unit Fold Up blumotion h.723 w.900</t>
  </si>
  <si>
    <t>Wall Unit Fold Up blumotion h.978 w.450</t>
  </si>
  <si>
    <t>Wall Unit Fold Up blumotion h.978 w.600</t>
  </si>
  <si>
    <t>Wall Unit Fold Up blumotion h.978 w.900</t>
  </si>
  <si>
    <t>Wall Unit Fold Up servo-drive h.723 w.450</t>
  </si>
  <si>
    <t>Wall Unit Fold Up servo-drive h.723 w.600</t>
  </si>
  <si>
    <t>Wall Unit Fold Up servo-drive h.723 w.900</t>
  </si>
  <si>
    <t>Wall Unit Fold Up servo-drive h.978 w.450</t>
  </si>
  <si>
    <t>Wall Unit Fold Up servo-drive h.978 w.600</t>
  </si>
  <si>
    <t>Wall Unit Fold Up servo-drive h.978 w.900</t>
  </si>
  <si>
    <t>Wall Unit Above Fridges</t>
  </si>
  <si>
    <t>Swing Door (not flap)</t>
  </si>
  <si>
    <t>untuk modul h.2168</t>
  </si>
  <si>
    <t>WU Above Fridge h.350 w.700</t>
  </si>
  <si>
    <t>WU Above Fridge h.350 w.920</t>
  </si>
  <si>
    <t>untuk modul h.2400</t>
  </si>
  <si>
    <t>WU Above Fridge h.550 w.700</t>
  </si>
  <si>
    <t>WU Above Fridge h.550 w.920</t>
  </si>
  <si>
    <t>Wall Unit Shelf H.600</t>
  </si>
  <si>
    <t>1 shelf</t>
  </si>
  <si>
    <t>Wall Unit Panel Shelf h.600 w.300</t>
  </si>
  <si>
    <t>Wall Unit Panel Shelf h.600 w.450</t>
  </si>
  <si>
    <t>Wall Unit Panel Shelf h.600 w.600</t>
  </si>
  <si>
    <t>Wall Unit Panel Shelf h.600 w.900</t>
  </si>
  <si>
    <t>Corner WU Bifold Panel Shelf h.600 w.650x650</t>
  </si>
  <si>
    <t>Corner Wall Unit Panel Shelf h.600 w.1050</t>
  </si>
  <si>
    <t>Wall Unit Crystal Glass Shelf h.600 w.300</t>
  </si>
  <si>
    <t>Wall Unit Crystal Glass Shelf h.600 w.450</t>
  </si>
  <si>
    <t>Wall Unit Crystal Glass Shelf h.600 w.600</t>
  </si>
  <si>
    <t>Wall Unit Crystal Glass Shelf h.600 w.900</t>
  </si>
  <si>
    <t>Wall Unit Shelf H.723</t>
  </si>
  <si>
    <t>Wall Unit Panel Shelf h.723 w.300</t>
  </si>
  <si>
    <t>Wall Unit Panel Shelf h.723 w.450</t>
  </si>
  <si>
    <t>Wall Unit Panel Shelf h.723 w.600</t>
  </si>
  <si>
    <t>Wall Unit Panel Shelf h.723 w.900</t>
  </si>
  <si>
    <t>Corner WU Bifold Panel Shelf h.723 w.650x650</t>
  </si>
  <si>
    <t>Corner Wall Unit Panel Shelf h.723 w.1050</t>
  </si>
  <si>
    <t>Wall Unit Crystal Glass Shelf h.723 w.300</t>
  </si>
  <si>
    <t>Wall Unit Crystal Glass Shelf h.723 w.450</t>
  </si>
  <si>
    <t>Wall Unit Crystal Glass Shelf h.723 w.600</t>
  </si>
  <si>
    <t>Wall Unit Crystal Glass Shelf h.723 w.900</t>
  </si>
  <si>
    <t>Wall Unit Shelf H.978</t>
  </si>
  <si>
    <t>2 shelves</t>
  </si>
  <si>
    <t>Wall Unit Panel Shelf h.978 w.300</t>
  </si>
  <si>
    <t>Wall Unit Panel Shelf h.978 w.450</t>
  </si>
  <si>
    <t>Wall Unit Panel Shelf h.978 w.600</t>
  </si>
  <si>
    <t>Wall Unit Panel Shelf h.978 w.900</t>
  </si>
  <si>
    <t>Corner WU Bifold Panel Shelf h.978 w.650x650</t>
  </si>
  <si>
    <t>Corner Wall Unit Panel Shelf h.978 w.1050</t>
  </si>
  <si>
    <t>Wall Unit Crystal Glass Shelf h.978 w.300</t>
  </si>
  <si>
    <t>Wall Unit Crystal Glass Shelf h.978 w.450</t>
  </si>
  <si>
    <t>Wall Unit Crystal Glass Shelf h.978 w.600</t>
  </si>
  <si>
    <t>Wall Unit Crystal Glass Shelf h.978 w.900</t>
  </si>
  <si>
    <t>Wall Unit Shelf H.1200</t>
  </si>
  <si>
    <t>3 shelves</t>
  </si>
  <si>
    <t>Wall Unit Panel Shelf h.1200 w.300</t>
  </si>
  <si>
    <t>Wall Unit Panel Shelf h.1200 w.450</t>
  </si>
  <si>
    <t>Wall Unit Panel Shelf h.1200 w.600</t>
  </si>
  <si>
    <t>Wall Unit Panel Shelf h.1200 w.900</t>
  </si>
  <si>
    <t>Corner WU Bifold Panel Shelf h.1200 w.650x650</t>
  </si>
  <si>
    <t>Corner Wall Unit Panel Shelf h.1200 w.1050</t>
  </si>
  <si>
    <t>Wall Unit Crystal Glass Shelf h.1200 w.300</t>
  </si>
  <si>
    <t>Wall Unit Crystal Glass Shelf h.1200 w.450</t>
  </si>
  <si>
    <t>Wall Unit Crystal Glass Shelf h.1200 w.600</t>
  </si>
  <si>
    <t>Wall Unit Crystal Glass Shelf h.1200 w.900</t>
  </si>
  <si>
    <t>Wall Unit Shelf H.1500
with 1 drawer (attached to top table)</t>
  </si>
  <si>
    <t>3 shelves + 1 Drawer Standard Runners. menyambung dengan top table</t>
  </si>
  <si>
    <t>Wall Unit Panel Shelf h.1500 w.450</t>
  </si>
  <si>
    <t>Wall Unit Panel Shelf h.1500 w.600</t>
  </si>
  <si>
    <t>Wall Unit Panel Shelf h.1500 w.900</t>
  </si>
  <si>
    <t>Wall Unit Crystal Glass Shelf h.1500 w.450</t>
  </si>
  <si>
    <t>Wall Unit Crystal Glass Shelf h.1500 w.600</t>
  </si>
  <si>
    <t>Wall Unit Crystal Glass Shelf h.1500 w.900</t>
  </si>
  <si>
    <t>Wall Unit Open Shelf</t>
  </si>
  <si>
    <t>Wall Unit Open Shelf h.378 w.300 no shelf</t>
  </si>
  <si>
    <t>Wall Unit Open Shelf h.378 w.450 no shelf</t>
  </si>
  <si>
    <t>Wall Unit Open Shelf h.378 w.600 no shelf</t>
  </si>
  <si>
    <t>Wall Unit Open Shelf h.378 w.900 no shelf</t>
  </si>
  <si>
    <t>Wall Unit Open Shelf h.600 w.300 1 shelf</t>
  </si>
  <si>
    <t>Wall Unit Open Shelf h.600 w.450 1 shelf</t>
  </si>
  <si>
    <t>Wall Unit Open Shelf h.600 w.600 1 shelf</t>
  </si>
  <si>
    <t>Wall Unit Open Shelf h.600 w.900 1 shelf</t>
  </si>
  <si>
    <t>Wall Unit Open Shelf h.723 w.300 1 shelf</t>
  </si>
  <si>
    <t>Wall Unit Open Shelf h.723 w.450 1 shelf</t>
  </si>
  <si>
    <t>Wall Unit Open Shelf h.723 w.600 1 shelf</t>
  </si>
  <si>
    <t>Wall Unit Open Shelf h.723 w.900 1 shelf</t>
  </si>
  <si>
    <t>Wall Unit Open Shelf h.978 w.300 2 shelves</t>
  </si>
  <si>
    <t>Wall Unit Open Shelf h.978 w.450 2 shelves</t>
  </si>
  <si>
    <t>Wall Unit Open Shelf h.978 w.600 2 shelves</t>
  </si>
  <si>
    <t>Wall Unit Open Shelf h.978 w.900 2 shelves</t>
  </si>
  <si>
    <t>End Panel WU h.600</t>
  </si>
  <si>
    <t>End Panel WU h.723</t>
  </si>
  <si>
    <t>End Panel WU h.978</t>
  </si>
  <si>
    <t>End Panel WU h.1200</t>
  </si>
  <si>
    <t>Filler WU h.600</t>
  </si>
  <si>
    <t>Filler WU h.723</t>
  </si>
  <si>
    <t>Filler WU h.978</t>
  </si>
  <si>
    <t>Filler WU h.1200</t>
  </si>
  <si>
    <t>Cornice</t>
  </si>
  <si>
    <t>Upper Filler</t>
  </si>
  <si>
    <t>Menzola d380 w300</t>
  </si>
  <si>
    <t>Menzola d380 w450</t>
  </si>
  <si>
    <t>Menzola d380 w600</t>
  </si>
  <si>
    <t>Menzola d380 w900</t>
  </si>
  <si>
    <t>T A L L    U N I T    P R I C E</t>
  </si>
  <si>
    <t>PICTURE</t>
  </si>
  <si>
    <t>DISPENSER w.450</t>
  </si>
  <si>
    <t>Full door / with gap, with dispenser tray</t>
  </si>
  <si>
    <t>TU Dispenser w450 h2400</t>
  </si>
  <si>
    <t>TU Dispenser w450 h2700</t>
  </si>
  <si>
    <t>DISPENSER w.600</t>
  </si>
  <si>
    <t>Full door, with open shelf and dispenser tray</t>
  </si>
  <si>
    <t>TU Dispenser combi Open Shelf w600 h2400</t>
  </si>
  <si>
    <t>TU Dispenser combi Open Shelf w600 h2700</t>
  </si>
  <si>
    <t>DISPENSER with Microwave</t>
  </si>
  <si>
    <t>Pintu bawah h.1220 pintu atas h.620 / 920</t>
  </si>
  <si>
    <t>TU Dispenser Microwave w600 h2400</t>
  </si>
  <si>
    <t>TU Dispenser Microwave w600 h2700</t>
  </si>
  <si>
    <t>Pull Out Baskets</t>
  </si>
  <si>
    <t>Basket Accessory Exclude, prices are wood panels only.</t>
  </si>
  <si>
    <t>TU Pull Out Basket w150 h2400</t>
  </si>
  <si>
    <t>TU Pull Out Basket w150 h2700</t>
  </si>
  <si>
    <t>TU Pull Out Basket w450 h2400</t>
  </si>
  <si>
    <t>TU Pull Out Basket w450 h2700</t>
  </si>
  <si>
    <t>TU Pull Out Basket w600 h2400</t>
  </si>
  <si>
    <t>TU Pull Out Basket w600 h2700</t>
  </si>
  <si>
    <t>Shelves</t>
  </si>
  <si>
    <t>TU Shelf w300 h2400</t>
  </si>
  <si>
    <t>TU Shelf w300 h2700</t>
  </si>
  <si>
    <t>TU Shelf w450 h2400</t>
  </si>
  <si>
    <t>TU Shelf w450 h2700</t>
  </si>
  <si>
    <t>TU Shelf w600 h2400</t>
  </si>
  <si>
    <t>TU Shelf w600 h2700</t>
  </si>
  <si>
    <t>Built-in Fridge</t>
  </si>
  <si>
    <t>TU Built-in Fridge w600 h2400</t>
  </si>
  <si>
    <t>TU Built-in Fridge w600 h2700</t>
  </si>
  <si>
    <t>Oven</t>
  </si>
  <si>
    <t>pintu bawah h.760, pintu atas h.940 / h.1240</t>
  </si>
  <si>
    <t>TU Oven w600 h2400</t>
  </si>
  <si>
    <t>TU Oven w600 h2700</t>
  </si>
  <si>
    <t>Oven with Drawers</t>
  </si>
  <si>
    <t>pintu bawah h.380+190+190, pintu atas h.940 / h.1240</t>
  </si>
  <si>
    <t>TU Oven with Drawers w600 h2400</t>
  </si>
  <si>
    <t>TU Oven with Drawers w600 h2700</t>
  </si>
  <si>
    <t>Oven &amp; Microwave</t>
  </si>
  <si>
    <t>pintu bawah h.380, pintu atas h.860 / h.1160</t>
  </si>
  <si>
    <t>TU Oven &amp; Microwave w600 h2400</t>
  </si>
  <si>
    <t>TU Oven &amp; Microwave w600 h2700</t>
  </si>
  <si>
    <t>750 (American Appliances)</t>
  </si>
  <si>
    <t>pintu bawah h.380+190+190, pintu atas h.940 / h.1240 (oven-drawers)
pintu bawah h.400, pintu atas h.840 / h.1140 (oven-oven)</t>
  </si>
  <si>
    <t>TU Oven 750 3 Drawers h2400</t>
  </si>
  <si>
    <t>TU Oven 750 3 Drawers h2700</t>
  </si>
  <si>
    <t>TU Oven-Oven 750 1 Drawers h2400</t>
  </si>
  <si>
    <t>TU Oven-Oven 750 1 Drawers h2700</t>
  </si>
  <si>
    <t>Corner Shelves</t>
  </si>
  <si>
    <t>TU Corner Shelves w1200 h2400</t>
  </si>
  <si>
    <t>TU Corner Shelves w1200 h2700</t>
  </si>
  <si>
    <t>Housing Fridge</t>
  </si>
  <si>
    <t>TU Housing Fridge w700 h2400</t>
  </si>
  <si>
    <t>TU Housing Fridge w700 h2700</t>
  </si>
  <si>
    <t>TU Housing Fridge w940 h2400</t>
  </si>
  <si>
    <t>TU Housing Fridge w940 h2700</t>
  </si>
  <si>
    <t>Pocket + Movento + 2 Drawers</t>
  </si>
  <si>
    <t>LED exclude, with Pocket Doors. max w.1000</t>
  </si>
  <si>
    <t>TU Pocket, Movento + 2 Drawers w1000 h2400</t>
  </si>
  <si>
    <t>TU Pocket, Movento + 2 Drawers w1000 h2700</t>
  </si>
  <si>
    <t>TU Connecting Cabinet</t>
  </si>
  <si>
    <t>Plinth &amp; Inside Handle exclude.
Module w700-800 with openshelving w.100
Module w900-1000 with openshelving w.200</t>
  </si>
  <si>
    <t>TU Connecting w800 h2400</t>
  </si>
  <si>
    <t>TU Connecting w800 h2700</t>
  </si>
  <si>
    <t>TU Connecting w1000 h2400</t>
  </si>
  <si>
    <t>End Panel TU w700 h2400</t>
  </si>
  <si>
    <t>End Panel TU w700 h2700</t>
  </si>
  <si>
    <t>Filler TU h2400</t>
  </si>
  <si>
    <t>Filler TU h2700</t>
  </si>
  <si>
    <t>Legrabox i3 inner Drawer</t>
  </si>
  <si>
    <t>Legrabox i6 inner Drawer</t>
  </si>
  <si>
    <t>Gola-J (Black / Silver) H.2400</t>
  </si>
  <si>
    <t>Gola-J (Black / Silver) H.2700</t>
  </si>
  <si>
    <t>Gola-C (Black / Silver) H.2400</t>
  </si>
  <si>
    <t>Gola-C (Black / Silver) H.2700</t>
  </si>
  <si>
    <t>WU &amp; TU Glass Doors - P R I C E</t>
  </si>
  <si>
    <t>PPN EXCLUDE</t>
  </si>
  <si>
    <t>Hinge / Door (double door modules already count 2 set hinges)</t>
  </si>
  <si>
    <t>BLUM (110° / 170°)</t>
  </si>
  <si>
    <t>BLUM SLIM (110° only)</t>
  </si>
  <si>
    <t>FURNITAL LIGHT (Ex-Salice) max 20kg</t>
  </si>
  <si>
    <t>FURNITAL AIR HINGE (Heavier Door) max 30kg</t>
  </si>
  <si>
    <t>Hinge
Count</t>
  </si>
  <si>
    <t>Clear Glass</t>
  </si>
  <si>
    <t>Crystal Clear Glass</t>
  </si>
  <si>
    <t>Colored Glass</t>
  </si>
  <si>
    <t>Acid Glass</t>
  </si>
  <si>
    <t>Acid Colored Glass</t>
  </si>
  <si>
    <t>Mirror</t>
  </si>
  <si>
    <t>Colored Mirror</t>
  </si>
  <si>
    <t>Acid Mirror</t>
  </si>
  <si>
    <t>Colored Acid Mirror</t>
  </si>
  <si>
    <t>Reflective</t>
  </si>
  <si>
    <t>Painted Glass White</t>
  </si>
  <si>
    <t>Painted Glass Black</t>
  </si>
  <si>
    <t>Flute Glass</t>
  </si>
  <si>
    <t>Acid Flute Glass</t>
  </si>
  <si>
    <t>-</t>
  </si>
  <si>
    <t>TALL UNIT</t>
  </si>
  <si>
    <t>TU Shelf Panel w300 h2400</t>
  </si>
  <si>
    <t>TU Shelf Panel w300 h2700</t>
  </si>
  <si>
    <t>TU Shelf Panel w450 h2400</t>
  </si>
  <si>
    <t>TU Shelf Panel w450 h2700</t>
  </si>
  <si>
    <t>TU Shelf Panel w600 h2400</t>
  </si>
  <si>
    <t>TU Shelf Panel w600 h2700</t>
  </si>
  <si>
    <t>A R T D E C O - P R I C E</t>
  </si>
  <si>
    <t>ARTDECO (Patri Glass Only For Glass Door Options)</t>
  </si>
  <si>
    <t>all 4 s1 runners
min.depth 400mm</t>
  </si>
  <si>
    <t>BLUM Legrabox Runners. Depth cannot be compromised. Artdeco have glass door options</t>
  </si>
  <si>
    <t>rel 7/8
panel and solid surface</t>
  </si>
  <si>
    <t>Complimentaries For Base Unit</t>
  </si>
  <si>
    <t>i3 drawer additional</t>
  </si>
  <si>
    <t>i6 drawer additional</t>
  </si>
  <si>
    <t>WALL UNIT</t>
  </si>
  <si>
    <t>Wall Unit with 4 Door and Open Shelf</t>
  </si>
  <si>
    <t>Custom wall unit with 4 doors, and openshelf sandstone. LED Exclude</t>
  </si>
  <si>
    <t>Wall Unit with 4 Door and Open Shelf h723 w1200</t>
  </si>
  <si>
    <t>Wall Unit with 4 Door and Open Shelf h978 w1200</t>
  </si>
  <si>
    <t>Wall Unit Cooker Hood Set</t>
  </si>
  <si>
    <t>Custom wall unit, downlight &amp; cooker hood exclude.</t>
  </si>
  <si>
    <t>Wall Unit Cooker Hood Set h1310 w1716</t>
  </si>
  <si>
    <t>Wall Unit Cooker Hood Set h1576 w1716</t>
  </si>
  <si>
    <t>Complimentaries For Wall Unit</t>
  </si>
  <si>
    <t>Non-ArtDeco</t>
  </si>
  <si>
    <t>Legrabox i3 Drawer</t>
  </si>
  <si>
    <t>Legrabox i6 Drawer</t>
  </si>
  <si>
    <r>
      <rPr>
        <sz val="27"/>
        <color theme="1"/>
        <rFont val="Overlock"/>
      </rPr>
      <t xml:space="preserve">ORNAMEN KITCHEN ART DECO
</t>
    </r>
    <r>
      <rPr>
        <sz val="15"/>
        <color theme="1"/>
        <rFont val="Overlock"/>
      </rPr>
      <t>Paint Finish</t>
    </r>
  </si>
  <si>
    <t>NO</t>
  </si>
  <si>
    <t>SIZE (MM)</t>
  </si>
  <si>
    <t>Showroom Price</t>
  </si>
  <si>
    <t>WHITE</t>
  </si>
  <si>
    <t>ANY COLOR</t>
  </si>
  <si>
    <t>TABLE LEG PROFIL SOLID WOOD</t>
  </si>
  <si>
    <t>OPENSHELF SUPPORT PROFIL</t>
  </si>
  <si>
    <t>ORNAMEN ISLAND PROFIL</t>
  </si>
  <si>
    <t>TABLE SUPPORT &amp; ORNAMEN HOOD PROFIL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</si>
</sst>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_-;\-* #,##0_-;_-* &quot;-&quot;_-;_-@"/>
    <numFmt numFmtId="165" formatCode="_(* #,##0_);_(* \(#,##0\);_(* &quot;-&quot;_);_(@_)"/>
    <numFmt numFmtId="166" formatCode="_-* #,##0_-;\-* #,##0_-;_-* &quot;-&quot;??_-;_-@"/>
    <numFmt numFmtId="167" formatCode="mmm\ yyyy"/>
    <numFmt numFmtId="168" formatCode="_(* #,##0_);_(* \(#,##0\);_(* &quot;-&quot;??_);_(@_)"/>
  </numFmts>
  <fonts count="20">
    <font>
      <sz val="10"/>
      <color rgb="FF000000"/>
      <name val="Arial"/>
      <scheme val="minor"/>
    </font>
    <font>
      <b/>
      <sz val="24"/>
      <color rgb="FFD9D9D9"/>
      <name val="Arial"/>
    </font>
    <font>
      <sz val="10"/>
      <color theme="1"/>
      <name val="Arial"/>
    </font>
    <font>
      <b/>
      <sz val="20"/>
      <color theme="1"/>
      <name val="Arial Black"/>
    </font>
    <font>
      <sz val="10"/>
      <name val="Arial"/>
    </font>
    <font>
      <b/>
      <sz val="14"/>
      <color theme="1"/>
      <name val="Arial"/>
    </font>
    <font>
      <b/>
      <sz val="14"/>
      <color theme="1"/>
      <name val="Calibri"/>
    </font>
    <font>
      <b/>
      <sz val="12"/>
      <color theme="1"/>
      <name val="Arial"/>
    </font>
    <font>
      <sz val="12"/>
      <color theme="1"/>
      <name val="Arial"/>
    </font>
    <font>
      <sz val="11"/>
      <color theme="1"/>
      <name val="Arial"/>
    </font>
    <font>
      <sz val="10"/>
      <color theme="1"/>
      <name val="Arial"/>
      <scheme val="minor"/>
    </font>
    <font>
      <b/>
      <sz val="10"/>
      <color theme="1"/>
      <name val="Arial"/>
    </font>
    <font>
      <b/>
      <sz val="16"/>
      <color theme="1"/>
      <name val="Calibri"/>
    </font>
    <font>
      <b/>
      <sz val="24"/>
      <color theme="1"/>
      <name val="Arial"/>
    </font>
    <font>
      <sz val="27"/>
      <color theme="1"/>
      <name val="Overlock"/>
    </font>
    <font>
      <b/>
      <sz val="13"/>
      <color theme="1"/>
      <name val="Overlock"/>
    </font>
    <font>
      <b/>
      <sz val="12"/>
      <color theme="1"/>
      <name val="Overlock"/>
    </font>
    <font>
      <sz val="12"/>
      <color theme="1"/>
      <name val="Overlock"/>
    </font>
    <font>
      <b/>
      <sz val="10"/>
      <color theme="1"/>
      <name val="Arial"/>
      <scheme val="minor"/>
    </font>
    <font>
      <sz val="15"/>
      <color theme="1"/>
      <name val="Overlock"/>
    </font>
  </fonts>
  <fills count="15">
    <fill>
      <patternFill patternType="none"/>
    </fill>
    <fill>
      <patternFill patternType="gray125"/>
    </fill>
    <fill>
      <patternFill patternType="solid">
        <fgColor rgb="FF434343"/>
        <bgColor rgb="FF434343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999999"/>
        <bgColor rgb="FF999999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</fills>
  <borders count="29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74">
    <xf numFmtId="0" fontId="0" fillId="0" borderId="0" xfId="0"/>
    <xf numFmtId="0" fontId="1" fillId="2" borderId="0" xfId="0" applyFont="1" applyFill="1" applyAlignment="1">
      <alignment horizontal="left" vertical="center"/>
    </xf>
    <xf numFmtId="17" fontId="2" fillId="0" borderId="0" xfId="0" applyNumberFormat="1" applyFont="1"/>
    <xf numFmtId="164" fontId="2" fillId="0" borderId="0" xfId="0" applyNumberFormat="1" applyFont="1"/>
    <xf numFmtId="0" fontId="2" fillId="0" borderId="0" xfId="0" applyFont="1"/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7" fillId="3" borderId="7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/>
    </xf>
    <xf numFmtId="0" fontId="7" fillId="4" borderId="10" xfId="0" applyFont="1" applyFill="1" applyBorder="1" applyAlignment="1">
      <alignment horizontal="center" wrapText="1"/>
    </xf>
    <xf numFmtId="0" fontId="2" fillId="5" borderId="11" xfId="0" applyFont="1" applyFill="1" applyBorder="1" applyAlignment="1">
      <alignment horizontal="center" vertical="center"/>
    </xf>
    <xf numFmtId="0" fontId="5" fillId="5" borderId="12" xfId="0" applyFont="1" applyFill="1" applyBorder="1" applyAlignment="1">
      <alignment vertical="center"/>
    </xf>
    <xf numFmtId="165" fontId="2" fillId="5" borderId="15" xfId="0" applyNumberFormat="1" applyFont="1" applyFill="1" applyBorder="1"/>
    <xf numFmtId="165" fontId="2" fillId="6" borderId="15" xfId="0" applyNumberFormat="1" applyFont="1" applyFill="1" applyBorder="1"/>
    <xf numFmtId="0" fontId="2" fillId="5" borderId="16" xfId="0" applyFont="1" applyFill="1" applyBorder="1" applyAlignment="1">
      <alignment horizontal="center" vertical="center"/>
    </xf>
    <xf numFmtId="0" fontId="2" fillId="7" borderId="17" xfId="0" applyFont="1" applyFill="1" applyBorder="1" applyAlignment="1">
      <alignment vertical="center" wrapText="1"/>
    </xf>
    <xf numFmtId="165" fontId="2" fillId="7" borderId="10" xfId="0" applyNumberFormat="1" applyFont="1" applyFill="1" applyBorder="1"/>
    <xf numFmtId="165" fontId="2" fillId="6" borderId="10" xfId="0" applyNumberFormat="1" applyFont="1" applyFill="1" applyBorder="1"/>
    <xf numFmtId="0" fontId="2" fillId="4" borderId="16" xfId="0" applyFont="1" applyFill="1" applyBorder="1" applyAlignment="1">
      <alignment horizontal="center" vertical="center"/>
    </xf>
    <xf numFmtId="0" fontId="8" fillId="0" borderId="16" xfId="0" applyFont="1" applyBorder="1" applyAlignment="1">
      <alignment vertical="center"/>
    </xf>
    <xf numFmtId="0" fontId="7" fillId="0" borderId="16" xfId="0" applyFont="1" applyBorder="1" applyAlignment="1">
      <alignment horizontal="center"/>
    </xf>
    <xf numFmtId="165" fontId="7" fillId="0" borderId="16" xfId="0" applyNumberFormat="1" applyFont="1" applyBorder="1" applyAlignment="1">
      <alignment horizontal="center"/>
    </xf>
    <xf numFmtId="165" fontId="7" fillId="8" borderId="16" xfId="0" applyNumberFormat="1" applyFont="1" applyFill="1" applyBorder="1" applyAlignment="1">
      <alignment horizontal="center"/>
    </xf>
    <xf numFmtId="165" fontId="2" fillId="0" borderId="16" xfId="0" applyNumberFormat="1" applyFont="1" applyBorder="1"/>
    <xf numFmtId="165" fontId="2" fillId="8" borderId="16" xfId="0" applyNumberFormat="1" applyFont="1" applyFill="1" applyBorder="1"/>
    <xf numFmtId="0" fontId="2" fillId="9" borderId="16" xfId="0" applyFont="1" applyFill="1" applyBorder="1" applyAlignment="1">
      <alignment horizontal="center" vertical="center"/>
    </xf>
    <xf numFmtId="0" fontId="8" fillId="9" borderId="16" xfId="0" applyFont="1" applyFill="1" applyBorder="1" applyAlignment="1">
      <alignment vertical="center"/>
    </xf>
    <xf numFmtId="0" fontId="7" fillId="9" borderId="16" xfId="0" applyFont="1" applyFill="1" applyBorder="1" applyAlignment="1">
      <alignment horizontal="center"/>
    </xf>
    <xf numFmtId="165" fontId="7" fillId="9" borderId="16" xfId="0" applyNumberFormat="1" applyFont="1" applyFill="1" applyBorder="1" applyAlignment="1">
      <alignment horizontal="right"/>
    </xf>
    <xf numFmtId="165" fontId="7" fillId="7" borderId="16" xfId="0" applyNumberFormat="1" applyFont="1" applyFill="1" applyBorder="1" applyAlignment="1">
      <alignment horizontal="right"/>
    </xf>
    <xf numFmtId="165" fontId="2" fillId="9" borderId="16" xfId="0" applyNumberFormat="1" applyFont="1" applyFill="1" applyBorder="1"/>
    <xf numFmtId="165" fontId="2" fillId="7" borderId="16" xfId="0" applyNumberFormat="1" applyFont="1" applyFill="1" applyBorder="1"/>
    <xf numFmtId="166" fontId="7" fillId="9" borderId="16" xfId="0" applyNumberFormat="1" applyFont="1" applyFill="1" applyBorder="1" applyAlignment="1">
      <alignment horizontal="right"/>
    </xf>
    <xf numFmtId="166" fontId="7" fillId="7" borderId="16" xfId="0" applyNumberFormat="1" applyFont="1" applyFill="1" applyBorder="1" applyAlignment="1">
      <alignment horizontal="right"/>
    </xf>
    <xf numFmtId="166" fontId="2" fillId="9" borderId="16" xfId="0" applyNumberFormat="1" applyFont="1" applyFill="1" applyBorder="1"/>
    <xf numFmtId="166" fontId="2" fillId="7" borderId="16" xfId="0" applyNumberFormat="1" applyFont="1" applyFill="1" applyBorder="1"/>
    <xf numFmtId="165" fontId="7" fillId="0" borderId="16" xfId="0" applyNumberFormat="1" applyFont="1" applyBorder="1" applyAlignment="1">
      <alignment horizontal="right"/>
    </xf>
    <xf numFmtId="0" fontId="2" fillId="0" borderId="16" xfId="0" applyFont="1" applyBorder="1" applyAlignment="1">
      <alignment horizontal="center" vertical="center"/>
    </xf>
    <xf numFmtId="0" fontId="5" fillId="5" borderId="16" xfId="0" applyFont="1" applyFill="1" applyBorder="1" applyAlignment="1">
      <alignment horizontal="center" vertical="center"/>
    </xf>
    <xf numFmtId="0" fontId="5" fillId="5" borderId="16" xfId="0" applyFont="1" applyFill="1" applyBorder="1" applyAlignment="1">
      <alignment vertical="center"/>
    </xf>
    <xf numFmtId="165" fontId="2" fillId="5" borderId="16" xfId="0" applyNumberFormat="1" applyFont="1" applyFill="1" applyBorder="1"/>
    <xf numFmtId="165" fontId="9" fillId="5" borderId="16" xfId="0" applyNumberFormat="1" applyFont="1" applyFill="1" applyBorder="1" applyAlignment="1">
      <alignment horizontal="center"/>
    </xf>
    <xf numFmtId="165" fontId="7" fillId="8" borderId="16" xfId="0" applyNumberFormat="1" applyFont="1" applyFill="1" applyBorder="1" applyAlignment="1">
      <alignment horizontal="right"/>
    </xf>
    <xf numFmtId="0" fontId="5" fillId="0" borderId="16" xfId="0" applyFont="1" applyBorder="1" applyAlignment="1">
      <alignment horizontal="center" vertical="center"/>
    </xf>
    <xf numFmtId="0" fontId="2" fillId="0" borderId="16" xfId="0" applyFont="1" applyBorder="1"/>
    <xf numFmtId="0" fontId="2" fillId="0" borderId="16" xfId="0" applyFont="1" applyBorder="1" applyAlignment="1">
      <alignment horizontal="center" vertical="center" wrapText="1"/>
    </xf>
    <xf numFmtId="0" fontId="2" fillId="7" borderId="17" xfId="0" applyFont="1" applyFill="1" applyBorder="1" applyAlignment="1">
      <alignment vertical="center"/>
    </xf>
    <xf numFmtId="0" fontId="2" fillId="8" borderId="16" xfId="0" applyFont="1" applyFill="1" applyBorder="1" applyAlignment="1">
      <alignment horizontal="center" vertical="center"/>
    </xf>
    <xf numFmtId="0" fontId="8" fillId="8" borderId="16" xfId="0" applyFont="1" applyFill="1" applyBorder="1" applyAlignment="1">
      <alignment vertical="center"/>
    </xf>
    <xf numFmtId="0" fontId="7" fillId="8" borderId="16" xfId="0" applyFont="1" applyFill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" fillId="2" borderId="0" xfId="0" applyFont="1" applyFill="1"/>
    <xf numFmtId="0" fontId="3" fillId="0" borderId="1" xfId="0" applyFont="1" applyBorder="1"/>
    <xf numFmtId="0" fontId="5" fillId="0" borderId="0" xfId="0" applyFont="1"/>
    <xf numFmtId="0" fontId="2" fillId="0" borderId="3" xfId="0" applyFont="1" applyBorder="1"/>
    <xf numFmtId="0" fontId="2" fillId="0" borderId="9" xfId="0" applyFont="1" applyBorder="1"/>
    <xf numFmtId="0" fontId="2" fillId="5" borderId="15" xfId="0" applyFont="1" applyFill="1" applyBorder="1"/>
    <xf numFmtId="0" fontId="2" fillId="6" borderId="15" xfId="0" applyFont="1" applyFill="1" applyBorder="1"/>
    <xf numFmtId="0" fontId="2" fillId="7" borderId="18" xfId="0" applyFont="1" applyFill="1" applyBorder="1"/>
    <xf numFmtId="0" fontId="2" fillId="7" borderId="19" xfId="0" applyFont="1" applyFill="1" applyBorder="1"/>
    <xf numFmtId="3" fontId="2" fillId="0" borderId="0" xfId="0" applyNumberFormat="1" applyFont="1"/>
    <xf numFmtId="0" fontId="7" fillId="3" borderId="20" xfId="0" applyFont="1" applyFill="1" applyBorder="1" applyAlignment="1">
      <alignment horizontal="center" vertical="center" wrapText="1"/>
    </xf>
    <xf numFmtId="0" fontId="11" fillId="3" borderId="20" xfId="0" applyFont="1" applyFill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2" fillId="3" borderId="10" xfId="0" applyFont="1" applyFill="1" applyBorder="1"/>
    <xf numFmtId="0" fontId="2" fillId="4" borderId="10" xfId="0" applyFont="1" applyFill="1" applyBorder="1"/>
    <xf numFmtId="0" fontId="2" fillId="7" borderId="18" xfId="0" applyFont="1" applyFill="1" applyBorder="1" applyAlignment="1">
      <alignment vertical="center"/>
    </xf>
    <xf numFmtId="0" fontId="2" fillId="7" borderId="19" xfId="0" applyFont="1" applyFill="1" applyBorder="1" applyAlignment="1">
      <alignment vertical="center"/>
    </xf>
    <xf numFmtId="0" fontId="7" fillId="0" borderId="16" xfId="0" applyFont="1" applyBorder="1" applyAlignment="1">
      <alignment horizontal="center" vertical="center"/>
    </xf>
    <xf numFmtId="166" fontId="7" fillId="0" borderId="16" xfId="0" applyNumberFormat="1" applyFont="1" applyBorder="1" applyAlignment="1">
      <alignment horizontal="right"/>
    </xf>
    <xf numFmtId="166" fontId="2" fillId="0" borderId="16" xfId="0" applyNumberFormat="1" applyFont="1" applyBorder="1"/>
    <xf numFmtId="0" fontId="2" fillId="5" borderId="16" xfId="0" applyFont="1" applyFill="1" applyBorder="1"/>
    <xf numFmtId="0" fontId="2" fillId="0" borderId="16" xfId="0" applyFont="1" applyBorder="1" applyAlignment="1">
      <alignment vertical="center"/>
    </xf>
    <xf numFmtId="0" fontId="2" fillId="4" borderId="0" xfId="0" applyFont="1" applyFill="1" applyAlignment="1">
      <alignment horizontal="center" vertical="center"/>
    </xf>
    <xf numFmtId="165" fontId="2" fillId="0" borderId="16" xfId="0" applyNumberFormat="1" applyFont="1" applyBorder="1" applyAlignment="1">
      <alignment vertical="center"/>
    </xf>
    <xf numFmtId="0" fontId="10" fillId="0" borderId="16" xfId="0" applyFont="1" applyBorder="1"/>
    <xf numFmtId="0" fontId="3" fillId="0" borderId="2" xfId="0" applyFont="1" applyBorder="1"/>
    <xf numFmtId="0" fontId="7" fillId="10" borderId="19" xfId="0" applyFont="1" applyFill="1" applyBorder="1" applyAlignment="1">
      <alignment horizontal="center" vertical="center" wrapText="1"/>
    </xf>
    <xf numFmtId="0" fontId="7" fillId="10" borderId="17" xfId="0" applyFont="1" applyFill="1" applyBorder="1" applyAlignment="1">
      <alignment horizontal="center" vertical="center" wrapText="1"/>
    </xf>
    <xf numFmtId="0" fontId="7" fillId="11" borderId="16" xfId="0" applyFont="1" applyFill="1" applyBorder="1" applyAlignment="1">
      <alignment horizontal="center" vertical="center" wrapText="1"/>
    </xf>
    <xf numFmtId="0" fontId="7" fillId="11" borderId="17" xfId="0" applyFont="1" applyFill="1" applyBorder="1" applyAlignment="1">
      <alignment horizontal="center" vertical="center" wrapText="1"/>
    </xf>
    <xf numFmtId="0" fontId="7" fillId="12" borderId="16" xfId="0" applyFont="1" applyFill="1" applyBorder="1" applyAlignment="1">
      <alignment horizontal="center" vertical="center" wrapText="1"/>
    </xf>
    <xf numFmtId="0" fontId="7" fillId="12" borderId="17" xfId="0" applyFont="1" applyFill="1" applyBorder="1" applyAlignment="1">
      <alignment horizontal="center" vertical="center" wrapText="1"/>
    </xf>
    <xf numFmtId="0" fontId="7" fillId="13" borderId="16" xfId="0" applyFont="1" applyFill="1" applyBorder="1" applyAlignment="1">
      <alignment horizontal="center" vertical="center" wrapText="1"/>
    </xf>
    <xf numFmtId="0" fontId="7" fillId="13" borderId="17" xfId="0" applyFont="1" applyFill="1" applyBorder="1" applyAlignment="1">
      <alignment horizontal="center" vertical="center" wrapText="1"/>
    </xf>
    <xf numFmtId="0" fontId="5" fillId="5" borderId="12" xfId="0" applyFont="1" applyFill="1" applyBorder="1"/>
    <xf numFmtId="0" fontId="2" fillId="7" borderId="17" xfId="0" applyFont="1" applyFill="1" applyBorder="1" applyAlignment="1">
      <alignment wrapText="1"/>
    </xf>
    <xf numFmtId="0" fontId="8" fillId="0" borderId="16" xfId="0" applyFont="1" applyBorder="1"/>
    <xf numFmtId="3" fontId="7" fillId="0" borderId="16" xfId="0" applyNumberFormat="1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3" fontId="7" fillId="0" borderId="20" xfId="0" applyNumberFormat="1" applyFont="1" applyBorder="1" applyAlignment="1">
      <alignment horizontal="center"/>
    </xf>
    <xf numFmtId="0" fontId="2" fillId="14" borderId="7" xfId="0" applyFont="1" applyFill="1" applyBorder="1" applyAlignment="1">
      <alignment horizontal="center" vertical="center"/>
    </xf>
    <xf numFmtId="0" fontId="2" fillId="14" borderId="21" xfId="0" applyFont="1" applyFill="1" applyBorder="1"/>
    <xf numFmtId="0" fontId="2" fillId="14" borderId="8" xfId="0" applyFont="1" applyFill="1" applyBorder="1"/>
    <xf numFmtId="0" fontId="2" fillId="14" borderId="22" xfId="0" applyFont="1" applyFill="1" applyBorder="1" applyAlignment="1">
      <alignment horizontal="center" vertical="center"/>
    </xf>
    <xf numFmtId="0" fontId="2" fillId="14" borderId="0" xfId="0" applyFont="1" applyFill="1"/>
    <xf numFmtId="0" fontId="2" fillId="14" borderId="23" xfId="0" applyFont="1" applyFill="1" applyBorder="1"/>
    <xf numFmtId="0" fontId="2" fillId="14" borderId="24" xfId="0" applyFont="1" applyFill="1" applyBorder="1" applyAlignment="1">
      <alignment horizontal="center" vertical="center"/>
    </xf>
    <xf numFmtId="0" fontId="2" fillId="14" borderId="25" xfId="0" applyFont="1" applyFill="1" applyBorder="1"/>
    <xf numFmtId="0" fontId="2" fillId="14" borderId="15" xfId="0" applyFont="1" applyFill="1" applyBorder="1"/>
    <xf numFmtId="0" fontId="2" fillId="7" borderId="17" xfId="0" applyFont="1" applyFill="1" applyBorder="1"/>
    <xf numFmtId="0" fontId="3" fillId="0" borderId="2" xfId="0" applyFont="1" applyBorder="1" applyAlignment="1">
      <alignment horizontal="left" vertical="center"/>
    </xf>
    <xf numFmtId="0" fontId="8" fillId="9" borderId="16" xfId="0" applyFont="1" applyFill="1" applyBorder="1"/>
    <xf numFmtId="0" fontId="5" fillId="5" borderId="16" xfId="0" applyFont="1" applyFill="1" applyBorder="1"/>
    <xf numFmtId="0" fontId="8" fillId="8" borderId="16" xfId="0" applyFont="1" applyFill="1" applyBorder="1"/>
    <xf numFmtId="165" fontId="2" fillId="0" borderId="0" xfId="0" applyNumberFormat="1" applyFont="1"/>
    <xf numFmtId="0" fontId="5" fillId="0" borderId="0" xfId="0" applyFont="1" applyAlignment="1">
      <alignment horizontal="center" vertical="center"/>
    </xf>
    <xf numFmtId="0" fontId="7" fillId="3" borderId="7" xfId="0" applyFont="1" applyFill="1" applyBorder="1" applyAlignment="1">
      <alignment horizontal="center" wrapText="1"/>
    </xf>
    <xf numFmtId="0" fontId="7" fillId="3" borderId="16" xfId="0" applyFont="1" applyFill="1" applyBorder="1" applyAlignment="1">
      <alignment horizontal="center" wrapText="1"/>
    </xf>
    <xf numFmtId="0" fontId="7" fillId="3" borderId="20" xfId="0" applyFont="1" applyFill="1" applyBorder="1" applyAlignment="1">
      <alignment horizontal="center" wrapText="1"/>
    </xf>
    <xf numFmtId="167" fontId="15" fillId="0" borderId="0" xfId="0" applyNumberFormat="1" applyFont="1" applyAlignment="1">
      <alignment horizontal="right" vertical="center"/>
    </xf>
    <xf numFmtId="0" fontId="16" fillId="14" borderId="16" xfId="0" applyFont="1" applyFill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8" fillId="0" borderId="20" xfId="0" applyFont="1" applyBorder="1" applyAlignment="1">
      <alignment horizontal="left" vertical="center"/>
    </xf>
    <xf numFmtId="0" fontId="16" fillId="0" borderId="16" xfId="0" applyFont="1" applyBorder="1" applyAlignment="1">
      <alignment horizontal="center" vertical="center"/>
    </xf>
    <xf numFmtId="168" fontId="16" fillId="0" borderId="16" xfId="0" applyNumberFormat="1" applyFont="1" applyBorder="1" applyAlignment="1">
      <alignment horizontal="center" vertical="center"/>
    </xf>
    <xf numFmtId="0" fontId="18" fillId="0" borderId="16" xfId="0" applyFont="1" applyBorder="1" applyAlignment="1">
      <alignment horizontal="left" vertical="center"/>
    </xf>
    <xf numFmtId="0" fontId="7" fillId="0" borderId="7" xfId="0" applyFont="1" applyBorder="1" applyAlignment="1">
      <alignment horizontal="center" vertical="center" wrapText="1"/>
    </xf>
    <xf numFmtId="0" fontId="4" fillId="0" borderId="8" xfId="0" applyFont="1" applyBorder="1"/>
    <xf numFmtId="0" fontId="7" fillId="3" borderId="7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3" fillId="0" borderId="1" xfId="0" applyFont="1" applyBorder="1" applyAlignment="1">
      <alignment horizontal="left" vertical="center"/>
    </xf>
    <xf numFmtId="0" fontId="4" fillId="0" borderId="2" xfId="0" applyFont="1" applyBorder="1"/>
    <xf numFmtId="0" fontId="6" fillId="3" borderId="0" xfId="0" applyFont="1" applyFill="1" applyAlignment="1">
      <alignment horizontal="center"/>
    </xf>
    <xf numFmtId="0" fontId="7" fillId="0" borderId="4" xfId="0" applyFont="1" applyBorder="1" applyAlignment="1">
      <alignment horizontal="center"/>
    </xf>
    <xf numFmtId="0" fontId="4" fillId="0" borderId="5" xfId="0" applyFont="1" applyBorder="1"/>
    <xf numFmtId="0" fontId="4" fillId="0" borderId="6" xfId="0" applyFont="1" applyBorder="1"/>
    <xf numFmtId="0" fontId="2" fillId="5" borderId="17" xfId="0" applyFont="1" applyFill="1" applyBorder="1" applyAlignment="1">
      <alignment horizontal="center" vertical="center"/>
    </xf>
    <xf numFmtId="0" fontId="4" fillId="0" borderId="18" xfId="0" applyFont="1" applyBorder="1"/>
    <xf numFmtId="0" fontId="4" fillId="0" borderId="19" xfId="0" applyFont="1" applyBorder="1"/>
    <xf numFmtId="0" fontId="2" fillId="7" borderId="17" xfId="0" applyFont="1" applyFill="1" applyBorder="1" applyAlignment="1">
      <alignment vertical="center" wrapText="1"/>
    </xf>
    <xf numFmtId="0" fontId="2" fillId="5" borderId="17" xfId="0" applyFont="1" applyFill="1" applyBorder="1" applyAlignment="1">
      <alignment horizontal="center"/>
    </xf>
    <xf numFmtId="0" fontId="2" fillId="7" borderId="17" xfId="0" applyFont="1" applyFill="1" applyBorder="1" applyAlignment="1">
      <alignment vertical="center"/>
    </xf>
    <xf numFmtId="0" fontId="2" fillId="5" borderId="17" xfId="0" applyFont="1" applyFill="1" applyBorder="1"/>
    <xf numFmtId="0" fontId="8" fillId="5" borderId="17" xfId="0" applyFont="1" applyFill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5" borderId="13" xfId="0" applyFont="1" applyFill="1" applyBorder="1" applyAlignment="1">
      <alignment horizontal="center" vertical="center"/>
    </xf>
    <xf numFmtId="0" fontId="4" fillId="0" borderId="13" xfId="0" applyFont="1" applyBorder="1"/>
    <xf numFmtId="0" fontId="4" fillId="0" borderId="14" xfId="0" applyFont="1" applyBorder="1"/>
    <xf numFmtId="0" fontId="2" fillId="5" borderId="13" xfId="0" applyFont="1" applyFill="1" applyBorder="1"/>
    <xf numFmtId="0" fontId="1" fillId="2" borderId="0" xfId="0" applyFont="1" applyFill="1"/>
    <xf numFmtId="17" fontId="2" fillId="0" borderId="0" xfId="0" applyNumberFormat="1" applyFont="1"/>
    <xf numFmtId="0" fontId="3" fillId="0" borderId="1" xfId="0" applyFont="1" applyBorder="1"/>
    <xf numFmtId="0" fontId="5" fillId="0" borderId="0" xfId="0" applyFont="1"/>
    <xf numFmtId="0" fontId="2" fillId="0" borderId="0" xfId="0" applyFont="1"/>
    <xf numFmtId="0" fontId="2" fillId="5" borderId="13" xfId="0" applyFont="1" applyFill="1" applyBorder="1" applyAlignment="1">
      <alignment vertical="center"/>
    </xf>
    <xf numFmtId="0" fontId="2" fillId="5" borderId="17" xfId="0" applyFont="1" applyFill="1" applyBorder="1" applyAlignment="1">
      <alignment vertical="center"/>
    </xf>
    <xf numFmtId="3" fontId="7" fillId="0" borderId="4" xfId="0" applyNumberFormat="1" applyFont="1" applyBorder="1" applyAlignment="1">
      <alignment horizontal="center"/>
    </xf>
    <xf numFmtId="0" fontId="13" fillId="14" borderId="21" xfId="0" applyFont="1" applyFill="1" applyBorder="1" applyAlignment="1">
      <alignment horizontal="center" vertical="center"/>
    </xf>
    <xf numFmtId="0" fontId="4" fillId="0" borderId="25" xfId="0" applyFont="1" applyBorder="1"/>
    <xf numFmtId="0" fontId="12" fillId="13" borderId="17" xfId="0" applyFont="1" applyFill="1" applyBorder="1"/>
    <xf numFmtId="0" fontId="2" fillId="7" borderId="17" xfId="0" applyFont="1" applyFill="1" applyBorder="1" applyAlignment="1">
      <alignment wrapText="1"/>
    </xf>
    <xf numFmtId="0" fontId="12" fillId="10" borderId="17" xfId="0" applyFont="1" applyFill="1" applyBorder="1"/>
    <xf numFmtId="0" fontId="12" fillId="11" borderId="17" xfId="0" applyFont="1" applyFill="1" applyBorder="1"/>
    <xf numFmtId="0" fontId="12" fillId="12" borderId="17" xfId="0" applyFont="1" applyFill="1" applyBorder="1"/>
    <xf numFmtId="0" fontId="2" fillId="7" borderId="17" xfId="0" applyFont="1" applyFill="1" applyBorder="1"/>
    <xf numFmtId="0" fontId="2" fillId="0" borderId="17" xfId="0" applyFont="1" applyBorder="1"/>
    <xf numFmtId="0" fontId="14" fillId="0" borderId="26" xfId="0" applyFont="1" applyBorder="1" applyAlignment="1">
      <alignment horizontal="left"/>
    </xf>
    <xf numFmtId="0" fontId="16" fillId="14" borderId="27" xfId="0" applyFont="1" applyFill="1" applyBorder="1" applyAlignment="1">
      <alignment horizontal="center" vertical="center"/>
    </xf>
    <xf numFmtId="0" fontId="4" fillId="0" borderId="28" xfId="0" applyFont="1" applyBorder="1"/>
    <xf numFmtId="0" fontId="16" fillId="14" borderId="20" xfId="0" applyFont="1" applyFill="1" applyBorder="1" applyAlignment="1">
      <alignment horizontal="center" vertical="center"/>
    </xf>
    <xf numFmtId="0" fontId="4" fillId="0" borderId="10" xfId="0" applyFont="1" applyBorder="1"/>
    <xf numFmtId="0" fontId="16" fillId="14" borderId="7" xfId="0" applyFont="1" applyFill="1" applyBorder="1" applyAlignment="1">
      <alignment horizontal="center" vertical="center"/>
    </xf>
    <xf numFmtId="0" fontId="4" fillId="0" borderId="24" xfId="0" applyFont="1" applyBorder="1"/>
    <xf numFmtId="0" fontId="4" fillId="0" borderId="15" xfId="0" applyFont="1" applyBorder="1"/>
    <xf numFmtId="0" fontId="16" fillId="14" borderId="1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7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A18581A-E934-45F0-873A-232D1A37DA26}">
  <we:reference id="wa200010725" version="1.0.0.1" store="en-US" storeType="OMEX"/>
  <we:alternateReferences>
    <we:reference id="WA200010725" version="1.0.0.1" store="" storeType="OMEX"/>
  </we:alternateReferences>
  <we:properties>
    <we:property name="claude.fileId" value="&quot;27be3da0-8be7-444d-98c9-31e8c1c762a7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I999"/>
  <sheetViews>
    <sheetView zoomScaleNormal="100" workbookViewId="0">
      <pane xSplit="5" ySplit="7" topLeftCell="BA42" activePane="bottomRight" state="frozen"/>
      <selection pane="topRight" activeCell="F1" sqref="F1"/>
      <selection pane="bottomLeft" activeCell="A8" sqref="A8"/>
      <selection pane="bottomRight" activeCell="BB6" sqref="BB6:BC6"/>
    </sheetView>
  </sheetViews>
  <sheetFormatPr defaultColWidth="12.5703125" defaultRowHeight="15.75" customHeight="1"/>
  <cols>
    <col min="1" max="1" width="19.42578125" customWidth="1"/>
    <col min="2" max="2" width="46.42578125" customWidth="1"/>
    <col min="3" max="5" width="6.42578125" customWidth="1"/>
    <col min="20" max="21" width="0" hidden="1" customWidth="1"/>
  </cols>
  <sheetData>
    <row r="1" spans="1:87" ht="30">
      <c r="A1" s="127" t="s">
        <v>0</v>
      </c>
      <c r="B1" s="128"/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</row>
    <row r="2" spans="1:87" ht="29.25" customHeight="1">
      <c r="A2" s="129" t="s">
        <v>1</v>
      </c>
      <c r="B2" s="130"/>
      <c r="C2" s="4"/>
      <c r="D2" s="4"/>
      <c r="E2" s="4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</row>
    <row r="3" spans="1:87" ht="18">
      <c r="A3" s="5" t="s">
        <v>2</v>
      </c>
      <c r="B3" s="6"/>
      <c r="C3" s="4"/>
      <c r="D3" s="4"/>
      <c r="E3" s="4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</row>
    <row r="4" spans="1:87" ht="18">
      <c r="A4" s="5" t="s">
        <v>3</v>
      </c>
      <c r="B4" s="6"/>
      <c r="C4" s="4"/>
      <c r="D4" s="4"/>
      <c r="E4" s="4"/>
      <c r="F4" s="3"/>
      <c r="G4" s="3"/>
      <c r="H4" s="3"/>
      <c r="I4" s="7" t="s">
        <v>4</v>
      </c>
      <c r="J4" s="3"/>
      <c r="K4" s="3"/>
      <c r="L4" s="3"/>
      <c r="M4" s="3"/>
      <c r="N4" s="3"/>
      <c r="O4" s="3"/>
      <c r="P4" s="3" t="s">
        <v>5</v>
      </c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</row>
    <row r="5" spans="1:87" ht="18.75">
      <c r="A5" s="8"/>
      <c r="B5" s="6"/>
      <c r="C5" s="4"/>
      <c r="D5" s="4"/>
      <c r="E5" s="4"/>
      <c r="F5" s="131" t="s">
        <v>6</v>
      </c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128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</row>
    <row r="6" spans="1:87">
      <c r="A6" s="9"/>
      <c r="B6" s="10"/>
      <c r="C6" s="132" t="s">
        <v>7</v>
      </c>
      <c r="D6" s="133"/>
      <c r="E6" s="134"/>
      <c r="F6" s="126" t="s">
        <v>8</v>
      </c>
      <c r="G6" s="125"/>
      <c r="H6" s="126" t="s">
        <v>9</v>
      </c>
      <c r="I6" s="125"/>
      <c r="J6" s="126" t="s">
        <v>10</v>
      </c>
      <c r="K6" s="125"/>
      <c r="L6" s="126" t="s">
        <v>11</v>
      </c>
      <c r="M6" s="125"/>
      <c r="N6" s="126" t="s">
        <v>12</v>
      </c>
      <c r="O6" s="125"/>
      <c r="P6" s="126" t="s">
        <v>13</v>
      </c>
      <c r="Q6" s="125"/>
      <c r="R6" s="126" t="s">
        <v>14</v>
      </c>
      <c r="S6" s="125"/>
      <c r="T6" s="126" t="s">
        <v>15</v>
      </c>
      <c r="U6" s="125"/>
      <c r="V6" s="126" t="s">
        <v>16</v>
      </c>
      <c r="W6" s="125"/>
      <c r="X6" s="126" t="s">
        <v>17</v>
      </c>
      <c r="Y6" s="125"/>
      <c r="Z6" s="124" t="s">
        <v>18</v>
      </c>
      <c r="AA6" s="125"/>
      <c r="AB6" s="124" t="s">
        <v>19</v>
      </c>
      <c r="AC6" s="125"/>
      <c r="AD6" s="124" t="s">
        <v>20</v>
      </c>
      <c r="AE6" s="125"/>
      <c r="AF6" s="124" t="s">
        <v>21</v>
      </c>
      <c r="AG6" s="125"/>
      <c r="AH6" s="124" t="s">
        <v>22</v>
      </c>
      <c r="AI6" s="125"/>
      <c r="AJ6" s="124" t="s">
        <v>23</v>
      </c>
      <c r="AK6" s="125"/>
      <c r="AL6" s="124" t="s">
        <v>24</v>
      </c>
      <c r="AM6" s="125"/>
      <c r="AN6" s="124" t="s">
        <v>25</v>
      </c>
      <c r="AO6" s="125"/>
      <c r="AP6" s="124" t="s">
        <v>26</v>
      </c>
      <c r="AQ6" s="125"/>
      <c r="AR6" s="124" t="s">
        <v>27</v>
      </c>
      <c r="AS6" s="125"/>
      <c r="AT6" s="124" t="s">
        <v>28</v>
      </c>
      <c r="AU6" s="125"/>
      <c r="AV6" s="124" t="s">
        <v>29</v>
      </c>
      <c r="AW6" s="125"/>
      <c r="AX6" s="124" t="s">
        <v>30</v>
      </c>
      <c r="AY6" s="125"/>
      <c r="AZ6" s="124" t="s">
        <v>31</v>
      </c>
      <c r="BA6" s="125"/>
      <c r="BB6" s="124" t="s">
        <v>32</v>
      </c>
      <c r="BC6" s="125"/>
      <c r="BD6" s="124" t="s">
        <v>33</v>
      </c>
      <c r="BE6" s="125"/>
      <c r="BF6" s="124" t="s">
        <v>34</v>
      </c>
      <c r="BG6" s="125"/>
      <c r="BH6" s="124" t="s">
        <v>35</v>
      </c>
      <c r="BI6" s="125"/>
      <c r="BJ6" s="124" t="s">
        <v>36</v>
      </c>
      <c r="BK6" s="125"/>
      <c r="BL6" s="124" t="s">
        <v>37</v>
      </c>
      <c r="BM6" s="125"/>
      <c r="BN6" s="124" t="s">
        <v>38</v>
      </c>
      <c r="BO6" s="125"/>
      <c r="BP6" s="124" t="s">
        <v>39</v>
      </c>
      <c r="BQ6" s="125"/>
      <c r="BR6" s="124" t="s">
        <v>40</v>
      </c>
      <c r="BS6" s="125"/>
      <c r="BT6" s="124" t="s">
        <v>41</v>
      </c>
      <c r="BU6" s="125"/>
      <c r="BV6" s="124" t="s">
        <v>42</v>
      </c>
      <c r="BW6" s="125"/>
      <c r="BX6" s="124" t="s">
        <v>43</v>
      </c>
      <c r="BY6" s="125"/>
      <c r="BZ6" s="124" t="s">
        <v>44</v>
      </c>
      <c r="CA6" s="125"/>
      <c r="CB6" s="124" t="s">
        <v>45</v>
      </c>
      <c r="CC6" s="125"/>
      <c r="CD6" s="124" t="s">
        <v>46</v>
      </c>
      <c r="CE6" s="125"/>
      <c r="CF6" s="124" t="s">
        <v>47</v>
      </c>
      <c r="CG6" s="125"/>
      <c r="CH6" s="124" t="s">
        <v>48</v>
      </c>
      <c r="CI6" s="125"/>
    </row>
    <row r="7" spans="1:87" ht="21.75" customHeight="1">
      <c r="A7" s="12"/>
      <c r="B7" s="13" t="s">
        <v>49</v>
      </c>
      <c r="C7" s="14" t="s">
        <v>50</v>
      </c>
      <c r="D7" s="14" t="s">
        <v>51</v>
      </c>
      <c r="E7" s="14" t="s">
        <v>52</v>
      </c>
      <c r="F7" s="15" t="s">
        <v>53</v>
      </c>
      <c r="G7" s="15" t="s">
        <v>54</v>
      </c>
      <c r="H7" s="15" t="s">
        <v>53</v>
      </c>
      <c r="I7" s="15" t="s">
        <v>54</v>
      </c>
      <c r="J7" s="15" t="s">
        <v>53</v>
      </c>
      <c r="K7" s="15" t="s">
        <v>54</v>
      </c>
      <c r="L7" s="15" t="s">
        <v>53</v>
      </c>
      <c r="M7" s="15" t="s">
        <v>54</v>
      </c>
      <c r="N7" s="15" t="s">
        <v>53</v>
      </c>
      <c r="O7" s="15" t="s">
        <v>54</v>
      </c>
      <c r="P7" s="15" t="s">
        <v>53</v>
      </c>
      <c r="Q7" s="15" t="s">
        <v>54</v>
      </c>
      <c r="R7" s="15" t="s">
        <v>53</v>
      </c>
      <c r="S7" s="15" t="s">
        <v>54</v>
      </c>
      <c r="T7" s="15" t="s">
        <v>53</v>
      </c>
      <c r="U7" s="15" t="s">
        <v>54</v>
      </c>
      <c r="V7" s="15" t="s">
        <v>53</v>
      </c>
      <c r="W7" s="15" t="s">
        <v>54</v>
      </c>
      <c r="X7" s="15" t="s">
        <v>53</v>
      </c>
      <c r="Y7" s="15" t="s">
        <v>54</v>
      </c>
      <c r="Z7" s="15" t="s">
        <v>53</v>
      </c>
      <c r="AA7" s="15" t="s">
        <v>54</v>
      </c>
      <c r="AB7" s="15" t="s">
        <v>53</v>
      </c>
      <c r="AC7" s="15" t="s">
        <v>54</v>
      </c>
      <c r="AD7" s="15" t="s">
        <v>53</v>
      </c>
      <c r="AE7" s="15" t="s">
        <v>54</v>
      </c>
      <c r="AF7" s="15" t="s">
        <v>53</v>
      </c>
      <c r="AG7" s="15" t="s">
        <v>54</v>
      </c>
      <c r="AH7" s="15" t="s">
        <v>53</v>
      </c>
      <c r="AI7" s="15" t="s">
        <v>54</v>
      </c>
      <c r="AJ7" s="15" t="s">
        <v>53</v>
      </c>
      <c r="AK7" s="15" t="s">
        <v>54</v>
      </c>
      <c r="AL7" s="15" t="s">
        <v>53</v>
      </c>
      <c r="AM7" s="15" t="s">
        <v>54</v>
      </c>
      <c r="AN7" s="15" t="s">
        <v>53</v>
      </c>
      <c r="AO7" s="15" t="s">
        <v>54</v>
      </c>
      <c r="AP7" s="15" t="s">
        <v>53</v>
      </c>
      <c r="AQ7" s="15" t="s">
        <v>54</v>
      </c>
      <c r="AR7" s="15" t="s">
        <v>53</v>
      </c>
      <c r="AS7" s="15" t="s">
        <v>54</v>
      </c>
      <c r="AT7" s="15" t="s">
        <v>53</v>
      </c>
      <c r="AU7" s="15" t="s">
        <v>54</v>
      </c>
      <c r="AV7" s="15" t="s">
        <v>53</v>
      </c>
      <c r="AW7" s="15" t="s">
        <v>54</v>
      </c>
      <c r="AX7" s="15" t="s">
        <v>53</v>
      </c>
      <c r="AY7" s="15" t="s">
        <v>54</v>
      </c>
      <c r="AZ7" s="15" t="s">
        <v>53</v>
      </c>
      <c r="BA7" s="15" t="s">
        <v>54</v>
      </c>
      <c r="BB7" s="15" t="s">
        <v>53</v>
      </c>
      <c r="BC7" s="15" t="s">
        <v>54</v>
      </c>
      <c r="BD7" s="15" t="s">
        <v>53</v>
      </c>
      <c r="BE7" s="15" t="s">
        <v>54</v>
      </c>
      <c r="BF7" s="15" t="s">
        <v>53</v>
      </c>
      <c r="BG7" s="15" t="s">
        <v>54</v>
      </c>
      <c r="BH7" s="15" t="s">
        <v>53</v>
      </c>
      <c r="BI7" s="15" t="s">
        <v>54</v>
      </c>
      <c r="BJ7" s="15" t="s">
        <v>53</v>
      </c>
      <c r="BK7" s="15" t="s">
        <v>54</v>
      </c>
      <c r="BL7" s="15" t="s">
        <v>53</v>
      </c>
      <c r="BM7" s="15" t="s">
        <v>54</v>
      </c>
      <c r="BN7" s="15" t="s">
        <v>53</v>
      </c>
      <c r="BO7" s="15" t="s">
        <v>54</v>
      </c>
      <c r="BP7" s="15" t="s">
        <v>53</v>
      </c>
      <c r="BQ7" s="15" t="s">
        <v>54</v>
      </c>
      <c r="BR7" s="15" t="s">
        <v>53</v>
      </c>
      <c r="BS7" s="15" t="s">
        <v>54</v>
      </c>
      <c r="BT7" s="15" t="s">
        <v>53</v>
      </c>
      <c r="BU7" s="15" t="s">
        <v>54</v>
      </c>
      <c r="BV7" s="15" t="s">
        <v>53</v>
      </c>
      <c r="BW7" s="15" t="s">
        <v>54</v>
      </c>
      <c r="BX7" s="15" t="s">
        <v>53</v>
      </c>
      <c r="BY7" s="15" t="s">
        <v>54</v>
      </c>
      <c r="BZ7" s="15" t="s">
        <v>53</v>
      </c>
      <c r="CA7" s="15" t="s">
        <v>54</v>
      </c>
      <c r="CB7" s="15" t="s">
        <v>53</v>
      </c>
      <c r="CC7" s="15" t="s">
        <v>54</v>
      </c>
      <c r="CD7" s="15" t="s">
        <v>53</v>
      </c>
      <c r="CE7" s="15" t="s">
        <v>54</v>
      </c>
      <c r="CF7" s="15" t="s">
        <v>53</v>
      </c>
      <c r="CG7" s="15" t="s">
        <v>54</v>
      </c>
      <c r="CH7" s="15" t="s">
        <v>53</v>
      </c>
      <c r="CI7" s="15" t="s">
        <v>54</v>
      </c>
    </row>
    <row r="8" spans="1:87" ht="63" customHeight="1">
      <c r="A8" s="16" t="e">
        <f ca="1">_xludf.image("https://lh3.google.com/u/0/d/1d3VjBgMhweLSAM_DoKiuIOIvGkLyqjLy",1)</f>
        <v>#NAME?</v>
      </c>
      <c r="B8" s="17" t="s">
        <v>55</v>
      </c>
      <c r="C8" s="144" t="e">
        <f ca="1">_xludf.image("https://lh3.google.com/u/0/d/1Ee7A6-3lVVAkxQDEnEInD7xy4jRlBbD7",1)</f>
        <v>#NAME?</v>
      </c>
      <c r="D8" s="145"/>
      <c r="E8" s="146"/>
      <c r="F8" s="18"/>
      <c r="G8" s="19"/>
      <c r="H8" s="18"/>
      <c r="I8" s="19"/>
      <c r="J8" s="18"/>
      <c r="K8" s="19"/>
      <c r="L8" s="18"/>
      <c r="M8" s="19"/>
      <c r="N8" s="18"/>
      <c r="O8" s="19"/>
      <c r="P8" s="18"/>
      <c r="Q8" s="19"/>
      <c r="R8" s="18"/>
      <c r="S8" s="19"/>
      <c r="T8" s="18"/>
      <c r="U8" s="19"/>
      <c r="V8" s="18"/>
      <c r="W8" s="19"/>
      <c r="X8" s="18"/>
      <c r="Y8" s="19"/>
      <c r="Z8" s="18"/>
      <c r="AA8" s="19"/>
      <c r="AB8" s="18"/>
      <c r="AC8" s="19"/>
      <c r="AD8" s="18"/>
      <c r="AE8" s="19"/>
      <c r="AF8" s="18"/>
      <c r="AG8" s="19"/>
      <c r="AH8" s="18"/>
      <c r="AI8" s="19"/>
      <c r="AJ8" s="18"/>
      <c r="AK8" s="19"/>
      <c r="AL8" s="18"/>
      <c r="AM8" s="19"/>
      <c r="AN8" s="18"/>
      <c r="AO8" s="19"/>
      <c r="AP8" s="18"/>
      <c r="AQ8" s="19"/>
      <c r="AR8" s="18"/>
      <c r="AS8" s="19"/>
      <c r="AT8" s="18"/>
      <c r="AU8" s="19"/>
      <c r="AV8" s="18"/>
      <c r="AW8" s="19"/>
      <c r="AX8" s="18"/>
      <c r="AY8" s="19"/>
      <c r="AZ8" s="18"/>
      <c r="BA8" s="19"/>
      <c r="BB8" s="18"/>
      <c r="BC8" s="19"/>
      <c r="BD8" s="18"/>
      <c r="BE8" s="19"/>
      <c r="BF8" s="18"/>
      <c r="BG8" s="19"/>
      <c r="BH8" s="18"/>
      <c r="BI8" s="19"/>
      <c r="BJ8" s="18"/>
      <c r="BK8" s="19"/>
      <c r="BL8" s="18"/>
      <c r="BM8" s="19"/>
      <c r="BN8" s="18"/>
      <c r="BO8" s="19"/>
      <c r="BP8" s="18"/>
      <c r="BQ8" s="19"/>
      <c r="BR8" s="18"/>
      <c r="BS8" s="19"/>
      <c r="BT8" s="18"/>
      <c r="BU8" s="19"/>
      <c r="BV8" s="18"/>
      <c r="BW8" s="19"/>
      <c r="BX8" s="18"/>
      <c r="BY8" s="19"/>
      <c r="BZ8" s="18"/>
      <c r="CA8" s="19"/>
      <c r="CB8" s="18"/>
      <c r="CC8" s="19"/>
      <c r="CD8" s="18"/>
      <c r="CE8" s="19"/>
      <c r="CF8" s="18"/>
      <c r="CG8" s="19"/>
      <c r="CH8" s="18"/>
      <c r="CI8" s="19"/>
    </row>
    <row r="9" spans="1:87" ht="12.75">
      <c r="A9" s="20" t="e">
        <f ca="1">_xludf.image("https://lh3.google.com/u/0/d/1WRHe4YvjzdHw6JYGIv4mptJC1daEep3u",1)</f>
        <v>#NAME?</v>
      </c>
      <c r="B9" s="138" t="s">
        <v>56</v>
      </c>
      <c r="C9" s="136"/>
      <c r="D9" s="136"/>
      <c r="E9" s="137"/>
      <c r="F9" s="22"/>
      <c r="G9" s="23"/>
      <c r="H9" s="22"/>
      <c r="I9" s="23"/>
      <c r="J9" s="22"/>
      <c r="K9" s="23"/>
      <c r="L9" s="22"/>
      <c r="M9" s="23"/>
      <c r="N9" s="22"/>
      <c r="O9" s="23"/>
      <c r="P9" s="22"/>
      <c r="Q9" s="23"/>
      <c r="R9" s="22"/>
      <c r="S9" s="23"/>
      <c r="T9" s="22"/>
      <c r="U9" s="23"/>
      <c r="V9" s="22"/>
      <c r="W9" s="23"/>
      <c r="X9" s="22"/>
      <c r="Y9" s="23"/>
      <c r="Z9" s="22"/>
      <c r="AA9" s="23"/>
      <c r="AB9" s="22"/>
      <c r="AC9" s="23"/>
      <c r="AD9" s="22"/>
      <c r="AE9" s="23"/>
      <c r="AF9" s="22"/>
      <c r="AG9" s="23"/>
      <c r="AH9" s="22"/>
      <c r="AI9" s="23"/>
      <c r="AJ9" s="22"/>
      <c r="AK9" s="23"/>
      <c r="AL9" s="22"/>
      <c r="AM9" s="23"/>
      <c r="AN9" s="22"/>
      <c r="AO9" s="23"/>
      <c r="AP9" s="22"/>
      <c r="AQ9" s="23"/>
      <c r="AR9" s="22"/>
      <c r="AS9" s="23"/>
      <c r="AT9" s="22"/>
      <c r="AU9" s="23"/>
      <c r="AV9" s="22"/>
      <c r="AW9" s="23"/>
      <c r="AX9" s="22"/>
      <c r="AY9" s="23"/>
      <c r="AZ9" s="22"/>
      <c r="BA9" s="23"/>
      <c r="BB9" s="22"/>
      <c r="BC9" s="23"/>
      <c r="BD9" s="22"/>
      <c r="BE9" s="23"/>
      <c r="BF9" s="22"/>
      <c r="BG9" s="23"/>
      <c r="BH9" s="22"/>
      <c r="BI9" s="23"/>
      <c r="BJ9" s="22"/>
      <c r="BK9" s="23"/>
      <c r="BL9" s="22"/>
      <c r="BM9" s="23"/>
      <c r="BN9" s="22"/>
      <c r="BO9" s="23"/>
      <c r="BP9" s="22"/>
      <c r="BQ9" s="23"/>
      <c r="BR9" s="22"/>
      <c r="BS9" s="23"/>
      <c r="BT9" s="22"/>
      <c r="BU9" s="23"/>
      <c r="BV9" s="22"/>
      <c r="BW9" s="23"/>
      <c r="BX9" s="22"/>
      <c r="BY9" s="23"/>
      <c r="BZ9" s="22"/>
      <c r="CA9" s="23"/>
      <c r="CB9" s="22"/>
      <c r="CC9" s="23"/>
      <c r="CD9" s="22"/>
      <c r="CE9" s="23"/>
      <c r="CF9" s="22"/>
      <c r="CG9" s="23"/>
      <c r="CH9" s="22"/>
      <c r="CI9" s="23"/>
    </row>
    <row r="10" spans="1:87">
      <c r="A10" s="24"/>
      <c r="B10" s="25" t="s">
        <v>57</v>
      </c>
      <c r="C10" s="26">
        <v>620</v>
      </c>
      <c r="D10" s="26">
        <v>740</v>
      </c>
      <c r="E10" s="26">
        <v>300</v>
      </c>
      <c r="F10" s="27">
        <v>3515000</v>
      </c>
      <c r="G10" s="28">
        <v>3582000</v>
      </c>
      <c r="H10" s="27">
        <v>3047000</v>
      </c>
      <c r="I10" s="28">
        <v>3114000</v>
      </c>
      <c r="J10" s="27">
        <v>3980000</v>
      </c>
      <c r="K10" s="28">
        <v>4047000</v>
      </c>
      <c r="L10" s="27">
        <v>3558000</v>
      </c>
      <c r="M10" s="28">
        <v>3625000</v>
      </c>
      <c r="N10" s="27">
        <v>4709000</v>
      </c>
      <c r="O10" s="28">
        <v>4776000</v>
      </c>
      <c r="P10" s="27">
        <v>3037000</v>
      </c>
      <c r="Q10" s="28">
        <v>3104000</v>
      </c>
      <c r="R10" s="27">
        <v>3625000</v>
      </c>
      <c r="S10" s="28">
        <v>3692000</v>
      </c>
      <c r="T10" s="29"/>
      <c r="U10" s="30"/>
      <c r="V10" s="27">
        <v>2607000</v>
      </c>
      <c r="W10" s="28">
        <v>2674000</v>
      </c>
      <c r="X10" s="27">
        <v>2521000</v>
      </c>
      <c r="Y10" s="28">
        <v>2588000</v>
      </c>
      <c r="Z10" s="27">
        <v>2721000</v>
      </c>
      <c r="AA10" s="28">
        <v>2788000</v>
      </c>
      <c r="AB10" s="27">
        <v>2768000</v>
      </c>
      <c r="AC10" s="28">
        <v>2835000</v>
      </c>
      <c r="AD10" s="27">
        <v>2788000</v>
      </c>
      <c r="AE10" s="28">
        <v>2855000</v>
      </c>
      <c r="AF10" s="27">
        <v>2870000</v>
      </c>
      <c r="AG10" s="28">
        <v>2937000</v>
      </c>
      <c r="AH10" s="27">
        <v>2870000</v>
      </c>
      <c r="AI10" s="28">
        <v>2937000</v>
      </c>
      <c r="AJ10" s="27">
        <v>2762000</v>
      </c>
      <c r="AK10" s="28">
        <v>2829000</v>
      </c>
      <c r="AL10" s="27">
        <v>2911000</v>
      </c>
      <c r="AM10" s="28">
        <v>2978000</v>
      </c>
      <c r="AN10" s="27">
        <v>2623000</v>
      </c>
      <c r="AO10" s="28">
        <v>2690000</v>
      </c>
      <c r="AP10" s="27">
        <v>2860000</v>
      </c>
      <c r="AQ10" s="28">
        <v>2927000</v>
      </c>
      <c r="AR10" s="27">
        <v>2919000</v>
      </c>
      <c r="AS10" s="28">
        <v>2986000</v>
      </c>
      <c r="AT10" s="27">
        <v>2860000</v>
      </c>
      <c r="AU10" s="28">
        <v>2927000</v>
      </c>
      <c r="AV10" s="27">
        <v>2878000</v>
      </c>
      <c r="AW10" s="28">
        <v>2945000</v>
      </c>
      <c r="AX10" s="27">
        <v>2863000</v>
      </c>
      <c r="AY10" s="28">
        <v>2930000</v>
      </c>
      <c r="AZ10" s="27">
        <v>2897000</v>
      </c>
      <c r="BA10" s="28">
        <v>2964000</v>
      </c>
      <c r="BB10" s="27">
        <v>2669000</v>
      </c>
      <c r="BC10" s="28">
        <v>2736000</v>
      </c>
      <c r="BD10" s="27">
        <v>2669000</v>
      </c>
      <c r="BE10" s="28">
        <v>2736000</v>
      </c>
      <c r="BF10" s="27">
        <v>2669000</v>
      </c>
      <c r="BG10" s="28">
        <v>2736000</v>
      </c>
      <c r="BH10" s="27">
        <v>2669000</v>
      </c>
      <c r="BI10" s="28">
        <v>2736000</v>
      </c>
      <c r="BJ10" s="27">
        <v>2665000</v>
      </c>
      <c r="BK10" s="28">
        <v>2732000</v>
      </c>
      <c r="BL10" s="27">
        <v>2691000</v>
      </c>
      <c r="BM10" s="28">
        <v>2758000</v>
      </c>
      <c r="BN10" s="27">
        <v>2691000</v>
      </c>
      <c r="BO10" s="28">
        <v>2758000</v>
      </c>
      <c r="BP10" s="27">
        <v>2686000</v>
      </c>
      <c r="BQ10" s="28">
        <v>2753000</v>
      </c>
      <c r="BR10" s="27">
        <v>2669000</v>
      </c>
      <c r="BS10" s="28">
        <v>2736000</v>
      </c>
      <c r="BT10" s="27">
        <v>2664000</v>
      </c>
      <c r="BU10" s="28">
        <v>2731000</v>
      </c>
      <c r="BV10" s="27">
        <v>2664000</v>
      </c>
      <c r="BW10" s="28">
        <v>2731000</v>
      </c>
      <c r="BX10" s="27">
        <v>2664000</v>
      </c>
      <c r="BY10" s="28">
        <v>2731000</v>
      </c>
      <c r="BZ10" s="27">
        <v>2668000</v>
      </c>
      <c r="CA10" s="28">
        <v>2735000</v>
      </c>
      <c r="CB10" s="27">
        <v>2642000</v>
      </c>
      <c r="CC10" s="28">
        <v>2709000</v>
      </c>
      <c r="CD10" s="27">
        <v>2642000</v>
      </c>
      <c r="CE10" s="28">
        <v>2709000</v>
      </c>
      <c r="CF10" s="27">
        <v>2668000</v>
      </c>
      <c r="CG10" s="28">
        <v>2735000</v>
      </c>
      <c r="CH10" s="27">
        <v>2819000</v>
      </c>
      <c r="CI10" s="28">
        <v>2886000</v>
      </c>
    </row>
    <row r="11" spans="1:87">
      <c r="A11" s="24"/>
      <c r="B11" s="25" t="s">
        <v>58</v>
      </c>
      <c r="C11" s="26">
        <v>620</v>
      </c>
      <c r="D11" s="26">
        <v>740</v>
      </c>
      <c r="E11" s="26">
        <v>450</v>
      </c>
      <c r="F11" s="27">
        <v>4462000</v>
      </c>
      <c r="G11" s="28">
        <v>4564000</v>
      </c>
      <c r="H11" s="27">
        <v>3760000</v>
      </c>
      <c r="I11" s="28">
        <v>3862000</v>
      </c>
      <c r="J11" s="27">
        <v>5160000</v>
      </c>
      <c r="K11" s="28">
        <v>5262000</v>
      </c>
      <c r="L11" s="27">
        <v>4526000</v>
      </c>
      <c r="M11" s="28">
        <v>4628000</v>
      </c>
      <c r="N11" s="27">
        <v>6254000</v>
      </c>
      <c r="O11" s="28">
        <v>6356000</v>
      </c>
      <c r="P11" s="27">
        <v>3630000</v>
      </c>
      <c r="Q11" s="28">
        <v>3732000</v>
      </c>
      <c r="R11" s="27">
        <v>4805000</v>
      </c>
      <c r="S11" s="28">
        <v>4907000</v>
      </c>
      <c r="T11" s="29"/>
      <c r="U11" s="30"/>
      <c r="V11" s="27">
        <v>3091000</v>
      </c>
      <c r="W11" s="28">
        <v>3193000</v>
      </c>
      <c r="X11" s="27">
        <v>2961000</v>
      </c>
      <c r="Y11" s="28">
        <v>3063000</v>
      </c>
      <c r="Z11" s="27">
        <v>3249000</v>
      </c>
      <c r="AA11" s="28">
        <v>3351000</v>
      </c>
      <c r="AB11" s="27">
        <v>3312000</v>
      </c>
      <c r="AC11" s="28">
        <v>3414000</v>
      </c>
      <c r="AD11" s="27">
        <v>3335000</v>
      </c>
      <c r="AE11" s="28">
        <v>3437000</v>
      </c>
      <c r="AF11" s="27">
        <v>3450000</v>
      </c>
      <c r="AG11" s="28">
        <v>3552000</v>
      </c>
      <c r="AH11" s="27">
        <v>3450000</v>
      </c>
      <c r="AI11" s="28">
        <v>3552000</v>
      </c>
      <c r="AJ11" s="27">
        <v>3308000</v>
      </c>
      <c r="AK11" s="28">
        <v>3410000</v>
      </c>
      <c r="AL11" s="27">
        <v>3529000</v>
      </c>
      <c r="AM11" s="28">
        <v>3631000</v>
      </c>
      <c r="AN11" s="27">
        <v>3101000</v>
      </c>
      <c r="AO11" s="28">
        <v>3203000</v>
      </c>
      <c r="AP11" s="27">
        <v>3449000</v>
      </c>
      <c r="AQ11" s="28">
        <v>3551000</v>
      </c>
      <c r="AR11" s="27">
        <v>3538000</v>
      </c>
      <c r="AS11" s="28">
        <v>3640000</v>
      </c>
      <c r="AT11" s="27">
        <v>3449000</v>
      </c>
      <c r="AU11" s="28">
        <v>3551000</v>
      </c>
      <c r="AV11" s="27">
        <v>3479000</v>
      </c>
      <c r="AW11" s="28">
        <v>3581000</v>
      </c>
      <c r="AX11" s="27">
        <v>3456000</v>
      </c>
      <c r="AY11" s="28">
        <v>3558000</v>
      </c>
      <c r="AZ11" s="27">
        <v>3507000</v>
      </c>
      <c r="BA11" s="28">
        <v>3609000</v>
      </c>
      <c r="BB11" s="27">
        <v>3183000</v>
      </c>
      <c r="BC11" s="28">
        <v>3285000</v>
      </c>
      <c r="BD11" s="27">
        <v>3183000</v>
      </c>
      <c r="BE11" s="28">
        <v>3285000</v>
      </c>
      <c r="BF11" s="27">
        <v>3183000</v>
      </c>
      <c r="BG11" s="28">
        <v>3285000</v>
      </c>
      <c r="BH11" s="27">
        <v>3183000</v>
      </c>
      <c r="BI11" s="28">
        <v>3285000</v>
      </c>
      <c r="BJ11" s="27">
        <v>3177000</v>
      </c>
      <c r="BK11" s="28">
        <v>3279000</v>
      </c>
      <c r="BL11" s="27">
        <v>3215000</v>
      </c>
      <c r="BM11" s="28">
        <v>3317000</v>
      </c>
      <c r="BN11" s="27">
        <v>3215000</v>
      </c>
      <c r="BO11" s="28">
        <v>3317000</v>
      </c>
      <c r="BP11" s="27">
        <v>3207000</v>
      </c>
      <c r="BQ11" s="28">
        <v>3309000</v>
      </c>
      <c r="BR11" s="27">
        <v>3183000</v>
      </c>
      <c r="BS11" s="28">
        <v>3285000</v>
      </c>
      <c r="BT11" s="27">
        <v>3175000</v>
      </c>
      <c r="BU11" s="28">
        <v>3277000</v>
      </c>
      <c r="BV11" s="27">
        <v>3175000</v>
      </c>
      <c r="BW11" s="28">
        <v>3277000</v>
      </c>
      <c r="BX11" s="27">
        <v>3175000</v>
      </c>
      <c r="BY11" s="28">
        <v>3277000</v>
      </c>
      <c r="BZ11" s="27">
        <v>3152000</v>
      </c>
      <c r="CA11" s="28">
        <v>3254000</v>
      </c>
      <c r="CB11" s="27">
        <v>3113000</v>
      </c>
      <c r="CC11" s="28">
        <v>3215000</v>
      </c>
      <c r="CD11" s="27">
        <v>3113000</v>
      </c>
      <c r="CE11" s="28">
        <v>3215000</v>
      </c>
      <c r="CF11" s="27">
        <v>3152000</v>
      </c>
      <c r="CG11" s="28">
        <v>3254000</v>
      </c>
      <c r="CH11" s="27">
        <v>3386000</v>
      </c>
      <c r="CI11" s="28">
        <v>3488000</v>
      </c>
    </row>
    <row r="12" spans="1:87">
      <c r="A12" s="24"/>
      <c r="B12" s="25" t="s">
        <v>59</v>
      </c>
      <c r="C12" s="26">
        <v>620</v>
      </c>
      <c r="D12" s="26">
        <v>740</v>
      </c>
      <c r="E12" s="26">
        <v>600</v>
      </c>
      <c r="F12" s="27">
        <v>5435000</v>
      </c>
      <c r="G12" s="28">
        <v>5570000</v>
      </c>
      <c r="H12" s="27">
        <v>4500000</v>
      </c>
      <c r="I12" s="28">
        <v>4635000</v>
      </c>
      <c r="J12" s="27">
        <v>6366000</v>
      </c>
      <c r="K12" s="28">
        <v>6501000</v>
      </c>
      <c r="L12" s="27">
        <v>5521000</v>
      </c>
      <c r="M12" s="28">
        <v>5656000</v>
      </c>
      <c r="N12" s="27">
        <v>7824000</v>
      </c>
      <c r="O12" s="28">
        <v>7959000</v>
      </c>
      <c r="P12" s="27">
        <v>4248000</v>
      </c>
      <c r="Q12" s="28">
        <v>4383000</v>
      </c>
      <c r="R12" s="27">
        <v>6012000</v>
      </c>
      <c r="S12" s="28">
        <v>6147000</v>
      </c>
      <c r="T12" s="29"/>
      <c r="U12" s="30"/>
      <c r="V12" s="27">
        <v>3600000</v>
      </c>
      <c r="W12" s="28">
        <v>3735000</v>
      </c>
      <c r="X12" s="27">
        <v>3428000</v>
      </c>
      <c r="Y12" s="28">
        <v>3563000</v>
      </c>
      <c r="Z12" s="27">
        <v>3802000</v>
      </c>
      <c r="AA12" s="28">
        <v>3937000</v>
      </c>
      <c r="AB12" s="27">
        <v>3883000</v>
      </c>
      <c r="AC12" s="28">
        <v>4018000</v>
      </c>
      <c r="AD12" s="27">
        <v>3908000</v>
      </c>
      <c r="AE12" s="28">
        <v>4043000</v>
      </c>
      <c r="AF12" s="27">
        <v>4056000</v>
      </c>
      <c r="AG12" s="28">
        <v>4191000</v>
      </c>
      <c r="AH12" s="27">
        <v>4056000</v>
      </c>
      <c r="AI12" s="28">
        <v>4191000</v>
      </c>
      <c r="AJ12" s="27">
        <v>3880000</v>
      </c>
      <c r="AK12" s="28">
        <v>4015000</v>
      </c>
      <c r="AL12" s="27">
        <v>4174000</v>
      </c>
      <c r="AM12" s="28">
        <v>4309000</v>
      </c>
      <c r="AN12" s="27">
        <v>3606000</v>
      </c>
      <c r="AO12" s="28">
        <v>3741000</v>
      </c>
      <c r="AP12" s="27">
        <v>4065000</v>
      </c>
      <c r="AQ12" s="28">
        <v>4200000</v>
      </c>
      <c r="AR12" s="27">
        <v>4183000</v>
      </c>
      <c r="AS12" s="28">
        <v>4318000</v>
      </c>
      <c r="AT12" s="27">
        <v>4065000</v>
      </c>
      <c r="AU12" s="28">
        <v>4200000</v>
      </c>
      <c r="AV12" s="27">
        <v>4106000</v>
      </c>
      <c r="AW12" s="28">
        <v>4241000</v>
      </c>
      <c r="AX12" s="27">
        <v>4076000</v>
      </c>
      <c r="AY12" s="28">
        <v>4211000</v>
      </c>
      <c r="AZ12" s="27">
        <v>4144000</v>
      </c>
      <c r="BA12" s="28">
        <v>4279000</v>
      </c>
      <c r="BB12" s="27">
        <v>3722000</v>
      </c>
      <c r="BC12" s="28">
        <v>3857000</v>
      </c>
      <c r="BD12" s="27">
        <v>3722000</v>
      </c>
      <c r="BE12" s="28">
        <v>3857000</v>
      </c>
      <c r="BF12" s="27">
        <v>3722000</v>
      </c>
      <c r="BG12" s="28">
        <v>3857000</v>
      </c>
      <c r="BH12" s="27">
        <v>3722000</v>
      </c>
      <c r="BI12" s="28">
        <v>3857000</v>
      </c>
      <c r="BJ12" s="27">
        <v>3714000</v>
      </c>
      <c r="BK12" s="28">
        <v>3849000</v>
      </c>
      <c r="BL12" s="27">
        <v>3765000</v>
      </c>
      <c r="BM12" s="28">
        <v>3900000</v>
      </c>
      <c r="BN12" s="27">
        <v>3765000</v>
      </c>
      <c r="BO12" s="28">
        <v>3900000</v>
      </c>
      <c r="BP12" s="27">
        <v>3754000</v>
      </c>
      <c r="BQ12" s="28">
        <v>3889000</v>
      </c>
      <c r="BR12" s="27">
        <v>3722000</v>
      </c>
      <c r="BS12" s="28">
        <v>3857000</v>
      </c>
      <c r="BT12" s="27">
        <v>3711000</v>
      </c>
      <c r="BU12" s="28">
        <v>3846000</v>
      </c>
      <c r="BV12" s="27">
        <v>3711000</v>
      </c>
      <c r="BW12" s="28">
        <v>3846000</v>
      </c>
      <c r="BX12" s="27">
        <v>3711000</v>
      </c>
      <c r="BY12" s="28">
        <v>3846000</v>
      </c>
      <c r="BZ12" s="27">
        <v>3662000</v>
      </c>
      <c r="CA12" s="28">
        <v>3797000</v>
      </c>
      <c r="CB12" s="27">
        <v>3610000</v>
      </c>
      <c r="CC12" s="28">
        <v>3745000</v>
      </c>
      <c r="CD12" s="27">
        <v>3610000</v>
      </c>
      <c r="CE12" s="28">
        <v>3745000</v>
      </c>
      <c r="CF12" s="27">
        <v>3662000</v>
      </c>
      <c r="CG12" s="28">
        <v>3797000</v>
      </c>
      <c r="CH12" s="27">
        <v>3979000</v>
      </c>
      <c r="CI12" s="28">
        <v>4114000</v>
      </c>
    </row>
    <row r="13" spans="1:87">
      <c r="A13" s="24"/>
      <c r="B13" s="25" t="s">
        <v>60</v>
      </c>
      <c r="C13" s="26">
        <v>620</v>
      </c>
      <c r="D13" s="26">
        <v>740</v>
      </c>
      <c r="E13" s="26">
        <v>900</v>
      </c>
      <c r="F13" s="27">
        <v>7704000</v>
      </c>
      <c r="G13" s="28">
        <v>7907000</v>
      </c>
      <c r="H13" s="27">
        <v>6300000</v>
      </c>
      <c r="I13" s="28">
        <v>6503000</v>
      </c>
      <c r="J13" s="27">
        <v>9100000</v>
      </c>
      <c r="K13" s="28">
        <v>9303000</v>
      </c>
      <c r="L13" s="27">
        <v>7832000</v>
      </c>
      <c r="M13" s="28">
        <v>8035000</v>
      </c>
      <c r="N13" s="27">
        <v>11287000</v>
      </c>
      <c r="O13" s="28">
        <v>11490000</v>
      </c>
      <c r="P13" s="27">
        <v>6148000</v>
      </c>
      <c r="Q13" s="28">
        <v>6351000</v>
      </c>
      <c r="R13" s="27">
        <v>9088000</v>
      </c>
      <c r="S13" s="28">
        <v>9291000</v>
      </c>
      <c r="T13" s="29"/>
      <c r="U13" s="30"/>
      <c r="V13" s="27">
        <v>4961000</v>
      </c>
      <c r="W13" s="28">
        <v>5164000</v>
      </c>
      <c r="X13" s="27">
        <v>4702000</v>
      </c>
      <c r="Y13" s="28">
        <v>4905000</v>
      </c>
      <c r="Z13" s="27">
        <v>5277000</v>
      </c>
      <c r="AA13" s="28">
        <v>5480000</v>
      </c>
      <c r="AB13" s="27">
        <v>5404000</v>
      </c>
      <c r="AC13" s="28">
        <v>5607000</v>
      </c>
      <c r="AD13" s="27">
        <v>5450000</v>
      </c>
      <c r="AE13" s="28">
        <v>5653000</v>
      </c>
      <c r="AF13" s="27">
        <v>5680000</v>
      </c>
      <c r="AG13" s="28">
        <v>5883000</v>
      </c>
      <c r="AH13" s="27">
        <v>5680000</v>
      </c>
      <c r="AI13" s="28">
        <v>5883000</v>
      </c>
      <c r="AJ13" s="27">
        <v>5396000</v>
      </c>
      <c r="AK13" s="28">
        <v>5599000</v>
      </c>
      <c r="AL13" s="27">
        <v>5838000</v>
      </c>
      <c r="AM13" s="28">
        <v>6041000</v>
      </c>
      <c r="AN13" s="27">
        <v>4982000</v>
      </c>
      <c r="AO13" s="28">
        <v>5185000</v>
      </c>
      <c r="AP13" s="27">
        <v>5678000</v>
      </c>
      <c r="AQ13" s="28">
        <v>5881000</v>
      </c>
      <c r="AR13" s="27">
        <v>5856000</v>
      </c>
      <c r="AS13" s="28">
        <v>6059000</v>
      </c>
      <c r="AT13" s="27">
        <v>5678000</v>
      </c>
      <c r="AU13" s="28">
        <v>5881000</v>
      </c>
      <c r="AV13" s="27">
        <v>5738000</v>
      </c>
      <c r="AW13" s="28">
        <v>5941000</v>
      </c>
      <c r="AX13" s="27">
        <v>5692000</v>
      </c>
      <c r="AY13" s="28">
        <v>5895000</v>
      </c>
      <c r="AZ13" s="27">
        <v>5794000</v>
      </c>
      <c r="BA13" s="28">
        <v>5997000</v>
      </c>
      <c r="BB13" s="27">
        <v>5145000</v>
      </c>
      <c r="BC13" s="28">
        <v>5348000</v>
      </c>
      <c r="BD13" s="27">
        <v>5145000</v>
      </c>
      <c r="BE13" s="28">
        <v>5348000</v>
      </c>
      <c r="BF13" s="27">
        <v>5145000</v>
      </c>
      <c r="BG13" s="28">
        <v>5348000</v>
      </c>
      <c r="BH13" s="27">
        <v>5145000</v>
      </c>
      <c r="BI13" s="28">
        <v>5348000</v>
      </c>
      <c r="BJ13" s="27">
        <v>5133000</v>
      </c>
      <c r="BK13" s="28">
        <v>5336000</v>
      </c>
      <c r="BL13" s="27">
        <v>5209000</v>
      </c>
      <c r="BM13" s="28">
        <v>5412000</v>
      </c>
      <c r="BN13" s="27">
        <v>5209000</v>
      </c>
      <c r="BO13" s="28">
        <v>5412000</v>
      </c>
      <c r="BP13" s="27">
        <v>5193000</v>
      </c>
      <c r="BQ13" s="28">
        <v>5396000</v>
      </c>
      <c r="BR13" s="27">
        <v>5145000</v>
      </c>
      <c r="BS13" s="28">
        <v>5348000</v>
      </c>
      <c r="BT13" s="27">
        <v>5129000</v>
      </c>
      <c r="BU13" s="28">
        <v>5332000</v>
      </c>
      <c r="BV13" s="27">
        <v>5129000</v>
      </c>
      <c r="BW13" s="28">
        <v>5332000</v>
      </c>
      <c r="BX13" s="27">
        <v>5129000</v>
      </c>
      <c r="BY13" s="28">
        <v>5332000</v>
      </c>
      <c r="BZ13" s="27">
        <v>5083000</v>
      </c>
      <c r="CA13" s="28">
        <v>5286000</v>
      </c>
      <c r="CB13" s="27">
        <v>5006000</v>
      </c>
      <c r="CC13" s="28">
        <v>5209000</v>
      </c>
      <c r="CD13" s="27">
        <v>5006000</v>
      </c>
      <c r="CE13" s="28">
        <v>5209000</v>
      </c>
      <c r="CF13" s="27">
        <v>5083000</v>
      </c>
      <c r="CG13" s="28">
        <v>5286000</v>
      </c>
      <c r="CH13" s="27">
        <v>5552000</v>
      </c>
      <c r="CI13" s="28">
        <v>5755000</v>
      </c>
    </row>
    <row r="14" spans="1:87">
      <c r="A14" s="24"/>
      <c r="B14" s="25" t="s">
        <v>61</v>
      </c>
      <c r="C14" s="26">
        <v>620</v>
      </c>
      <c r="D14" s="26">
        <v>740</v>
      </c>
      <c r="E14" s="26">
        <v>1050</v>
      </c>
      <c r="F14" s="27">
        <v>6540000</v>
      </c>
      <c r="G14" s="28">
        <v>6776000</v>
      </c>
      <c r="H14" s="27">
        <v>5838000</v>
      </c>
      <c r="I14" s="28">
        <v>6074000</v>
      </c>
      <c r="J14" s="27">
        <v>7238000</v>
      </c>
      <c r="K14" s="28">
        <v>7474000</v>
      </c>
      <c r="L14" s="27">
        <v>6604000</v>
      </c>
      <c r="M14" s="28">
        <v>6840000</v>
      </c>
      <c r="N14" s="27">
        <v>8332000</v>
      </c>
      <c r="O14" s="28">
        <v>8568000</v>
      </c>
      <c r="P14" s="27">
        <v>5708000</v>
      </c>
      <c r="Q14" s="28">
        <v>5944000</v>
      </c>
      <c r="R14" s="27">
        <v>6883000</v>
      </c>
      <c r="S14" s="28">
        <v>7119000</v>
      </c>
      <c r="T14" s="29"/>
      <c r="U14" s="30"/>
      <c r="V14" s="27">
        <v>5169000</v>
      </c>
      <c r="W14" s="28">
        <v>5405000</v>
      </c>
      <c r="X14" s="27">
        <v>5039000</v>
      </c>
      <c r="Y14" s="28">
        <v>5275000</v>
      </c>
      <c r="Z14" s="27">
        <v>5327000</v>
      </c>
      <c r="AA14" s="28">
        <v>5563000</v>
      </c>
      <c r="AB14" s="27">
        <v>5390000</v>
      </c>
      <c r="AC14" s="28">
        <v>5626000</v>
      </c>
      <c r="AD14" s="27">
        <v>5413000</v>
      </c>
      <c r="AE14" s="28">
        <v>5649000</v>
      </c>
      <c r="AF14" s="27">
        <v>5528000</v>
      </c>
      <c r="AG14" s="28">
        <v>5764000</v>
      </c>
      <c r="AH14" s="27">
        <v>5528000</v>
      </c>
      <c r="AI14" s="28">
        <v>5764000</v>
      </c>
      <c r="AJ14" s="27">
        <v>5386000</v>
      </c>
      <c r="AK14" s="28">
        <v>5622000</v>
      </c>
      <c r="AL14" s="27">
        <v>5607000</v>
      </c>
      <c r="AM14" s="28">
        <v>5843000</v>
      </c>
      <c r="AN14" s="27">
        <v>5179000</v>
      </c>
      <c r="AO14" s="28">
        <v>5415000</v>
      </c>
      <c r="AP14" s="27">
        <v>5527000</v>
      </c>
      <c r="AQ14" s="28">
        <v>5763000</v>
      </c>
      <c r="AR14" s="27">
        <v>5616000</v>
      </c>
      <c r="AS14" s="28">
        <v>5852000</v>
      </c>
      <c r="AT14" s="27">
        <v>5527000</v>
      </c>
      <c r="AU14" s="28">
        <v>5763000</v>
      </c>
      <c r="AV14" s="27">
        <v>5557000</v>
      </c>
      <c r="AW14" s="28">
        <v>5793000</v>
      </c>
      <c r="AX14" s="27">
        <v>5534000</v>
      </c>
      <c r="AY14" s="28">
        <v>5770000</v>
      </c>
      <c r="AZ14" s="27">
        <v>5585000</v>
      </c>
      <c r="BA14" s="28">
        <v>5821000</v>
      </c>
      <c r="BB14" s="27">
        <v>5261000</v>
      </c>
      <c r="BC14" s="28">
        <v>5497000</v>
      </c>
      <c r="BD14" s="27">
        <v>5261000</v>
      </c>
      <c r="BE14" s="28">
        <v>5497000</v>
      </c>
      <c r="BF14" s="27">
        <v>5261000</v>
      </c>
      <c r="BG14" s="28">
        <v>5497000</v>
      </c>
      <c r="BH14" s="27">
        <v>5261000</v>
      </c>
      <c r="BI14" s="28">
        <v>5497000</v>
      </c>
      <c r="BJ14" s="27">
        <v>5255000</v>
      </c>
      <c r="BK14" s="28">
        <v>5491000</v>
      </c>
      <c r="BL14" s="27">
        <v>5293000</v>
      </c>
      <c r="BM14" s="28">
        <v>5529000</v>
      </c>
      <c r="BN14" s="27">
        <v>5293000</v>
      </c>
      <c r="BO14" s="28">
        <v>5529000</v>
      </c>
      <c r="BP14" s="27">
        <v>5285000</v>
      </c>
      <c r="BQ14" s="28">
        <v>5521000</v>
      </c>
      <c r="BR14" s="27">
        <v>5261000</v>
      </c>
      <c r="BS14" s="28">
        <v>5497000</v>
      </c>
      <c r="BT14" s="27">
        <v>5253000</v>
      </c>
      <c r="BU14" s="28">
        <v>5489000</v>
      </c>
      <c r="BV14" s="27">
        <v>5253000</v>
      </c>
      <c r="BW14" s="28">
        <v>5489000</v>
      </c>
      <c r="BX14" s="27">
        <v>5253000</v>
      </c>
      <c r="BY14" s="28">
        <v>5489000</v>
      </c>
      <c r="BZ14" s="27">
        <v>5230000</v>
      </c>
      <c r="CA14" s="28">
        <v>5466000</v>
      </c>
      <c r="CB14" s="27">
        <v>5191000</v>
      </c>
      <c r="CC14" s="28">
        <v>5427000</v>
      </c>
      <c r="CD14" s="27">
        <v>5191000</v>
      </c>
      <c r="CE14" s="28">
        <v>5427000</v>
      </c>
      <c r="CF14" s="27">
        <v>5230000</v>
      </c>
      <c r="CG14" s="28">
        <v>5466000</v>
      </c>
      <c r="CH14" s="27">
        <v>5464000</v>
      </c>
      <c r="CI14" s="28">
        <v>5700000</v>
      </c>
    </row>
    <row r="15" spans="1:87">
      <c r="A15" s="31"/>
      <c r="B15" s="32" t="s">
        <v>62</v>
      </c>
      <c r="C15" s="33">
        <v>320</v>
      </c>
      <c r="D15" s="33">
        <v>740</v>
      </c>
      <c r="E15" s="33">
        <v>300</v>
      </c>
      <c r="F15" s="34">
        <v>2809000</v>
      </c>
      <c r="G15" s="35">
        <v>2876000</v>
      </c>
      <c r="H15" s="34">
        <v>2341000</v>
      </c>
      <c r="I15" s="35">
        <v>2408000</v>
      </c>
      <c r="J15" s="34">
        <v>3274000</v>
      </c>
      <c r="K15" s="35">
        <v>3341000</v>
      </c>
      <c r="L15" s="34">
        <v>2852000</v>
      </c>
      <c r="M15" s="35">
        <v>2919000</v>
      </c>
      <c r="N15" s="34">
        <v>4003000</v>
      </c>
      <c r="O15" s="35">
        <v>4070000</v>
      </c>
      <c r="P15" s="34">
        <v>2331000</v>
      </c>
      <c r="Q15" s="35">
        <v>2398000</v>
      </c>
      <c r="R15" s="34">
        <v>2919000</v>
      </c>
      <c r="S15" s="35">
        <v>2986000</v>
      </c>
      <c r="T15" s="36"/>
      <c r="U15" s="37"/>
      <c r="V15" s="34">
        <v>1901000</v>
      </c>
      <c r="W15" s="35">
        <v>1968000</v>
      </c>
      <c r="X15" s="34">
        <v>1815000</v>
      </c>
      <c r="Y15" s="35">
        <v>1882000</v>
      </c>
      <c r="Z15" s="34">
        <v>2015000</v>
      </c>
      <c r="AA15" s="35">
        <v>2082000</v>
      </c>
      <c r="AB15" s="34">
        <v>2062000</v>
      </c>
      <c r="AC15" s="35">
        <v>2129000</v>
      </c>
      <c r="AD15" s="34">
        <v>2082000</v>
      </c>
      <c r="AE15" s="35">
        <v>2149000</v>
      </c>
      <c r="AF15" s="34">
        <v>2164000</v>
      </c>
      <c r="AG15" s="35">
        <v>2231000</v>
      </c>
      <c r="AH15" s="34">
        <v>2164000</v>
      </c>
      <c r="AI15" s="35">
        <v>2231000</v>
      </c>
      <c r="AJ15" s="34">
        <v>2056000</v>
      </c>
      <c r="AK15" s="35">
        <v>2123000</v>
      </c>
      <c r="AL15" s="34">
        <v>2205000</v>
      </c>
      <c r="AM15" s="35">
        <v>2272000</v>
      </c>
      <c r="AN15" s="34">
        <v>1917000</v>
      </c>
      <c r="AO15" s="35">
        <v>1984000</v>
      </c>
      <c r="AP15" s="34">
        <v>2154000</v>
      </c>
      <c r="AQ15" s="35">
        <v>2221000</v>
      </c>
      <c r="AR15" s="34">
        <v>2213000</v>
      </c>
      <c r="AS15" s="35">
        <v>2280000</v>
      </c>
      <c r="AT15" s="34">
        <v>2154000</v>
      </c>
      <c r="AU15" s="35">
        <v>2221000</v>
      </c>
      <c r="AV15" s="34">
        <v>2172000</v>
      </c>
      <c r="AW15" s="35">
        <v>2239000</v>
      </c>
      <c r="AX15" s="34">
        <v>2157000</v>
      </c>
      <c r="AY15" s="35">
        <v>2224000</v>
      </c>
      <c r="AZ15" s="34">
        <v>2191000</v>
      </c>
      <c r="BA15" s="35">
        <v>2258000</v>
      </c>
      <c r="BB15" s="34">
        <v>1963000</v>
      </c>
      <c r="BC15" s="35">
        <v>2030000</v>
      </c>
      <c r="BD15" s="34">
        <v>1963000</v>
      </c>
      <c r="BE15" s="35">
        <v>2030000</v>
      </c>
      <c r="BF15" s="34">
        <v>1963000</v>
      </c>
      <c r="BG15" s="35">
        <v>2030000</v>
      </c>
      <c r="BH15" s="34">
        <v>1963000</v>
      </c>
      <c r="BI15" s="35">
        <v>2030000</v>
      </c>
      <c r="BJ15" s="34">
        <v>1959000</v>
      </c>
      <c r="BK15" s="35">
        <v>2026000</v>
      </c>
      <c r="BL15" s="34">
        <v>1985000</v>
      </c>
      <c r="BM15" s="35">
        <v>2052000</v>
      </c>
      <c r="BN15" s="34">
        <v>1985000</v>
      </c>
      <c r="BO15" s="35">
        <v>2052000</v>
      </c>
      <c r="BP15" s="34">
        <v>1980000</v>
      </c>
      <c r="BQ15" s="35">
        <v>2047000</v>
      </c>
      <c r="BR15" s="34">
        <v>1963000</v>
      </c>
      <c r="BS15" s="35">
        <v>2030000</v>
      </c>
      <c r="BT15" s="34">
        <v>1958000</v>
      </c>
      <c r="BU15" s="35">
        <v>2025000</v>
      </c>
      <c r="BV15" s="34">
        <v>1958000</v>
      </c>
      <c r="BW15" s="35">
        <v>2025000</v>
      </c>
      <c r="BX15" s="34">
        <v>1958000</v>
      </c>
      <c r="BY15" s="35">
        <v>2025000</v>
      </c>
      <c r="BZ15" s="34">
        <v>1962000</v>
      </c>
      <c r="CA15" s="35">
        <v>2029000</v>
      </c>
      <c r="CB15" s="34">
        <v>1936000</v>
      </c>
      <c r="CC15" s="35">
        <v>2003000</v>
      </c>
      <c r="CD15" s="34">
        <v>1936000</v>
      </c>
      <c r="CE15" s="35">
        <v>2003000</v>
      </c>
      <c r="CF15" s="34">
        <v>1962000</v>
      </c>
      <c r="CG15" s="35">
        <v>2029000</v>
      </c>
      <c r="CH15" s="34">
        <v>2113000</v>
      </c>
      <c r="CI15" s="35">
        <v>2180000</v>
      </c>
    </row>
    <row r="16" spans="1:87">
      <c r="A16" s="31"/>
      <c r="B16" s="32" t="s">
        <v>63</v>
      </c>
      <c r="C16" s="33">
        <v>320</v>
      </c>
      <c r="D16" s="33">
        <v>740</v>
      </c>
      <c r="E16" s="33">
        <v>450</v>
      </c>
      <c r="F16" s="38">
        <v>3632000</v>
      </c>
      <c r="G16" s="39">
        <v>3733000</v>
      </c>
      <c r="H16" s="38">
        <v>2930000</v>
      </c>
      <c r="I16" s="39">
        <v>3031000</v>
      </c>
      <c r="J16" s="38">
        <v>4330000</v>
      </c>
      <c r="K16" s="39">
        <v>4431000</v>
      </c>
      <c r="L16" s="38">
        <v>3696000</v>
      </c>
      <c r="M16" s="39">
        <v>3797000</v>
      </c>
      <c r="N16" s="38">
        <v>5424000</v>
      </c>
      <c r="O16" s="39">
        <v>5525000</v>
      </c>
      <c r="P16" s="38">
        <v>2800000</v>
      </c>
      <c r="Q16" s="39">
        <v>2901000</v>
      </c>
      <c r="R16" s="38">
        <v>3975000</v>
      </c>
      <c r="S16" s="39">
        <v>4076000</v>
      </c>
      <c r="T16" s="40"/>
      <c r="U16" s="41"/>
      <c r="V16" s="38">
        <v>2261000</v>
      </c>
      <c r="W16" s="39">
        <v>2362000</v>
      </c>
      <c r="X16" s="38">
        <v>2131000</v>
      </c>
      <c r="Y16" s="39">
        <v>2232000</v>
      </c>
      <c r="Z16" s="38">
        <v>2419000</v>
      </c>
      <c r="AA16" s="39">
        <v>2520000</v>
      </c>
      <c r="AB16" s="38">
        <v>2482000</v>
      </c>
      <c r="AC16" s="39">
        <v>2583000</v>
      </c>
      <c r="AD16" s="38">
        <v>2505000</v>
      </c>
      <c r="AE16" s="39">
        <v>2606000</v>
      </c>
      <c r="AF16" s="38">
        <v>2620000</v>
      </c>
      <c r="AG16" s="39">
        <v>2721000</v>
      </c>
      <c r="AH16" s="38">
        <v>2620000</v>
      </c>
      <c r="AI16" s="39">
        <v>2721000</v>
      </c>
      <c r="AJ16" s="38">
        <v>2478000</v>
      </c>
      <c r="AK16" s="39">
        <v>2579000</v>
      </c>
      <c r="AL16" s="38">
        <v>2699000</v>
      </c>
      <c r="AM16" s="39">
        <v>2800000</v>
      </c>
      <c r="AN16" s="38">
        <v>2271000</v>
      </c>
      <c r="AO16" s="39">
        <v>2372000</v>
      </c>
      <c r="AP16" s="38">
        <v>2619000</v>
      </c>
      <c r="AQ16" s="39">
        <v>2720000</v>
      </c>
      <c r="AR16" s="38">
        <v>2708000</v>
      </c>
      <c r="AS16" s="39">
        <v>2809000</v>
      </c>
      <c r="AT16" s="38">
        <v>2619000</v>
      </c>
      <c r="AU16" s="39">
        <v>2720000</v>
      </c>
      <c r="AV16" s="38">
        <v>2649000</v>
      </c>
      <c r="AW16" s="39">
        <v>2750000</v>
      </c>
      <c r="AX16" s="38">
        <v>2626000</v>
      </c>
      <c r="AY16" s="39">
        <v>2727000</v>
      </c>
      <c r="AZ16" s="38">
        <v>2677000</v>
      </c>
      <c r="BA16" s="39">
        <v>2778000</v>
      </c>
      <c r="BB16" s="38">
        <v>2353000</v>
      </c>
      <c r="BC16" s="39">
        <v>2454000</v>
      </c>
      <c r="BD16" s="38">
        <v>2353000</v>
      </c>
      <c r="BE16" s="39">
        <v>2454000</v>
      </c>
      <c r="BF16" s="38">
        <v>2353000</v>
      </c>
      <c r="BG16" s="39">
        <v>2454000</v>
      </c>
      <c r="BH16" s="38">
        <v>2353000</v>
      </c>
      <c r="BI16" s="39">
        <v>2454000</v>
      </c>
      <c r="BJ16" s="38">
        <v>2347000</v>
      </c>
      <c r="BK16" s="39">
        <v>2448000</v>
      </c>
      <c r="BL16" s="38">
        <v>2385000</v>
      </c>
      <c r="BM16" s="39">
        <v>2486000</v>
      </c>
      <c r="BN16" s="38">
        <v>2385000</v>
      </c>
      <c r="BO16" s="39">
        <v>2486000</v>
      </c>
      <c r="BP16" s="38">
        <v>2377000</v>
      </c>
      <c r="BQ16" s="39">
        <v>2478000</v>
      </c>
      <c r="BR16" s="38">
        <v>2353000</v>
      </c>
      <c r="BS16" s="39">
        <v>2454000</v>
      </c>
      <c r="BT16" s="38">
        <v>2345000</v>
      </c>
      <c r="BU16" s="39">
        <v>2446000</v>
      </c>
      <c r="BV16" s="38">
        <v>2345000</v>
      </c>
      <c r="BW16" s="39">
        <v>2446000</v>
      </c>
      <c r="BX16" s="38">
        <v>2345000</v>
      </c>
      <c r="BY16" s="39">
        <v>2446000</v>
      </c>
      <c r="BZ16" s="38">
        <v>2322000</v>
      </c>
      <c r="CA16" s="39">
        <v>2423000</v>
      </c>
      <c r="CB16" s="38">
        <v>2283000</v>
      </c>
      <c r="CC16" s="39">
        <v>2384000</v>
      </c>
      <c r="CD16" s="38">
        <v>2283000</v>
      </c>
      <c r="CE16" s="39">
        <v>2384000</v>
      </c>
      <c r="CF16" s="38">
        <v>2322000</v>
      </c>
      <c r="CG16" s="39">
        <v>2423000</v>
      </c>
      <c r="CH16" s="38">
        <v>2556000</v>
      </c>
      <c r="CI16" s="39">
        <v>2657000</v>
      </c>
    </row>
    <row r="17" spans="1:87">
      <c r="A17" s="31"/>
      <c r="B17" s="32" t="s">
        <v>64</v>
      </c>
      <c r="C17" s="33">
        <v>320</v>
      </c>
      <c r="D17" s="33">
        <v>740</v>
      </c>
      <c r="E17" s="33">
        <v>600</v>
      </c>
      <c r="F17" s="34">
        <v>4480000</v>
      </c>
      <c r="G17" s="35">
        <v>4615000</v>
      </c>
      <c r="H17" s="34">
        <v>3545000</v>
      </c>
      <c r="I17" s="35">
        <v>3680000</v>
      </c>
      <c r="J17" s="34">
        <v>5411000</v>
      </c>
      <c r="K17" s="35">
        <v>5546000</v>
      </c>
      <c r="L17" s="34">
        <v>4566000</v>
      </c>
      <c r="M17" s="35">
        <v>4701000</v>
      </c>
      <c r="N17" s="34">
        <v>6869000</v>
      </c>
      <c r="O17" s="35">
        <v>7004000</v>
      </c>
      <c r="P17" s="34">
        <v>3293000</v>
      </c>
      <c r="Q17" s="35">
        <v>3428000</v>
      </c>
      <c r="R17" s="34">
        <v>5057000</v>
      </c>
      <c r="S17" s="35">
        <v>5192000</v>
      </c>
      <c r="T17" s="36"/>
      <c r="U17" s="37"/>
      <c r="V17" s="34">
        <v>2645000</v>
      </c>
      <c r="W17" s="35">
        <v>2780000</v>
      </c>
      <c r="X17" s="34">
        <v>2473000</v>
      </c>
      <c r="Y17" s="35">
        <v>2608000</v>
      </c>
      <c r="Z17" s="34">
        <v>2847000</v>
      </c>
      <c r="AA17" s="35">
        <v>2982000</v>
      </c>
      <c r="AB17" s="34">
        <v>2928000</v>
      </c>
      <c r="AC17" s="35">
        <v>3063000</v>
      </c>
      <c r="AD17" s="34">
        <v>2953000</v>
      </c>
      <c r="AE17" s="35">
        <v>3088000</v>
      </c>
      <c r="AF17" s="34">
        <v>3101000</v>
      </c>
      <c r="AG17" s="35">
        <v>3236000</v>
      </c>
      <c r="AH17" s="34">
        <v>3101000</v>
      </c>
      <c r="AI17" s="35">
        <v>3236000</v>
      </c>
      <c r="AJ17" s="34">
        <v>2925000</v>
      </c>
      <c r="AK17" s="35">
        <v>3060000</v>
      </c>
      <c r="AL17" s="34">
        <v>3219000</v>
      </c>
      <c r="AM17" s="35">
        <v>3354000</v>
      </c>
      <c r="AN17" s="34">
        <v>2651000</v>
      </c>
      <c r="AO17" s="35">
        <v>2786000</v>
      </c>
      <c r="AP17" s="34">
        <v>3110000</v>
      </c>
      <c r="AQ17" s="35">
        <v>3245000</v>
      </c>
      <c r="AR17" s="34">
        <v>3228000</v>
      </c>
      <c r="AS17" s="35">
        <v>3363000</v>
      </c>
      <c r="AT17" s="34">
        <v>3110000</v>
      </c>
      <c r="AU17" s="35">
        <v>3245000</v>
      </c>
      <c r="AV17" s="34">
        <v>3151000</v>
      </c>
      <c r="AW17" s="35">
        <v>3286000</v>
      </c>
      <c r="AX17" s="34">
        <v>3121000</v>
      </c>
      <c r="AY17" s="35">
        <v>3256000</v>
      </c>
      <c r="AZ17" s="34">
        <v>3189000</v>
      </c>
      <c r="BA17" s="35">
        <v>3324000</v>
      </c>
      <c r="BB17" s="34">
        <v>2767000</v>
      </c>
      <c r="BC17" s="35">
        <v>2902000</v>
      </c>
      <c r="BD17" s="34">
        <v>2767000</v>
      </c>
      <c r="BE17" s="35">
        <v>2902000</v>
      </c>
      <c r="BF17" s="34">
        <v>2767000</v>
      </c>
      <c r="BG17" s="35">
        <v>2902000</v>
      </c>
      <c r="BH17" s="34">
        <v>2767000</v>
      </c>
      <c r="BI17" s="35">
        <v>2902000</v>
      </c>
      <c r="BJ17" s="34">
        <v>2759000</v>
      </c>
      <c r="BK17" s="35">
        <v>2894000</v>
      </c>
      <c r="BL17" s="34">
        <v>2810000</v>
      </c>
      <c r="BM17" s="35">
        <v>2945000</v>
      </c>
      <c r="BN17" s="34">
        <v>2810000</v>
      </c>
      <c r="BO17" s="35">
        <v>2945000</v>
      </c>
      <c r="BP17" s="34">
        <v>2799000</v>
      </c>
      <c r="BQ17" s="35">
        <v>2934000</v>
      </c>
      <c r="BR17" s="34">
        <v>2767000</v>
      </c>
      <c r="BS17" s="35">
        <v>2902000</v>
      </c>
      <c r="BT17" s="34">
        <v>2756000</v>
      </c>
      <c r="BU17" s="35">
        <v>2891000</v>
      </c>
      <c r="BV17" s="34">
        <v>2756000</v>
      </c>
      <c r="BW17" s="35">
        <v>2891000</v>
      </c>
      <c r="BX17" s="34">
        <v>2756000</v>
      </c>
      <c r="BY17" s="35">
        <v>2891000</v>
      </c>
      <c r="BZ17" s="34">
        <v>2707000</v>
      </c>
      <c r="CA17" s="35">
        <v>2842000</v>
      </c>
      <c r="CB17" s="34">
        <v>2655000</v>
      </c>
      <c r="CC17" s="35">
        <v>2790000</v>
      </c>
      <c r="CD17" s="34">
        <v>2655000</v>
      </c>
      <c r="CE17" s="35">
        <v>2790000</v>
      </c>
      <c r="CF17" s="34">
        <v>2707000</v>
      </c>
      <c r="CG17" s="35">
        <v>2842000</v>
      </c>
      <c r="CH17" s="34">
        <v>3024000</v>
      </c>
      <c r="CI17" s="35">
        <v>3159000</v>
      </c>
    </row>
    <row r="18" spans="1:87">
      <c r="A18" s="31"/>
      <c r="B18" s="32" t="s">
        <v>65</v>
      </c>
      <c r="C18" s="33">
        <v>320</v>
      </c>
      <c r="D18" s="33">
        <v>740</v>
      </c>
      <c r="E18" s="33">
        <v>900</v>
      </c>
      <c r="F18" s="34">
        <v>6500000</v>
      </c>
      <c r="G18" s="35">
        <v>6703000</v>
      </c>
      <c r="H18" s="34">
        <v>5096000</v>
      </c>
      <c r="I18" s="35">
        <v>5299000</v>
      </c>
      <c r="J18" s="34">
        <v>7896000</v>
      </c>
      <c r="K18" s="35">
        <v>8099000</v>
      </c>
      <c r="L18" s="34">
        <v>6628000</v>
      </c>
      <c r="M18" s="35">
        <v>6831000</v>
      </c>
      <c r="N18" s="34">
        <v>10083000</v>
      </c>
      <c r="O18" s="35">
        <v>10286000</v>
      </c>
      <c r="P18" s="34">
        <v>4944000</v>
      </c>
      <c r="Q18" s="35">
        <v>5147000</v>
      </c>
      <c r="R18" s="34">
        <v>7884000</v>
      </c>
      <c r="S18" s="35">
        <v>8087000</v>
      </c>
      <c r="T18" s="36"/>
      <c r="U18" s="37"/>
      <c r="V18" s="34">
        <v>3757000</v>
      </c>
      <c r="W18" s="35">
        <v>3960000</v>
      </c>
      <c r="X18" s="34">
        <v>3498000</v>
      </c>
      <c r="Y18" s="35">
        <v>3701000</v>
      </c>
      <c r="Z18" s="34">
        <v>4073000</v>
      </c>
      <c r="AA18" s="35">
        <v>4276000</v>
      </c>
      <c r="AB18" s="34">
        <v>4200000</v>
      </c>
      <c r="AC18" s="35">
        <v>4403000</v>
      </c>
      <c r="AD18" s="34">
        <v>4246000</v>
      </c>
      <c r="AE18" s="35">
        <v>4449000</v>
      </c>
      <c r="AF18" s="34">
        <v>4476000</v>
      </c>
      <c r="AG18" s="35">
        <v>4679000</v>
      </c>
      <c r="AH18" s="34">
        <v>4476000</v>
      </c>
      <c r="AI18" s="35">
        <v>4679000</v>
      </c>
      <c r="AJ18" s="34">
        <v>4192000</v>
      </c>
      <c r="AK18" s="35">
        <v>4395000</v>
      </c>
      <c r="AL18" s="34">
        <v>4634000</v>
      </c>
      <c r="AM18" s="35">
        <v>4837000</v>
      </c>
      <c r="AN18" s="34">
        <v>3778000</v>
      </c>
      <c r="AO18" s="35">
        <v>3981000</v>
      </c>
      <c r="AP18" s="34">
        <v>4474000</v>
      </c>
      <c r="AQ18" s="35">
        <v>4677000</v>
      </c>
      <c r="AR18" s="34">
        <v>4652000</v>
      </c>
      <c r="AS18" s="35">
        <v>4855000</v>
      </c>
      <c r="AT18" s="34">
        <v>4474000</v>
      </c>
      <c r="AU18" s="35">
        <v>4677000</v>
      </c>
      <c r="AV18" s="34">
        <v>4534000</v>
      </c>
      <c r="AW18" s="35">
        <v>4737000</v>
      </c>
      <c r="AX18" s="34">
        <v>4488000</v>
      </c>
      <c r="AY18" s="35">
        <v>4691000</v>
      </c>
      <c r="AZ18" s="34">
        <v>4590000</v>
      </c>
      <c r="BA18" s="35">
        <v>4793000</v>
      </c>
      <c r="BB18" s="34">
        <v>3941000</v>
      </c>
      <c r="BC18" s="35">
        <v>4144000</v>
      </c>
      <c r="BD18" s="34">
        <v>3941000</v>
      </c>
      <c r="BE18" s="35">
        <v>4144000</v>
      </c>
      <c r="BF18" s="34">
        <v>3941000</v>
      </c>
      <c r="BG18" s="35">
        <v>4144000</v>
      </c>
      <c r="BH18" s="34">
        <v>3941000</v>
      </c>
      <c r="BI18" s="35">
        <v>4144000</v>
      </c>
      <c r="BJ18" s="34">
        <v>3929000</v>
      </c>
      <c r="BK18" s="35">
        <v>4132000</v>
      </c>
      <c r="BL18" s="34">
        <v>4005000</v>
      </c>
      <c r="BM18" s="35">
        <v>4208000</v>
      </c>
      <c r="BN18" s="34">
        <v>4005000</v>
      </c>
      <c r="BO18" s="35">
        <v>4208000</v>
      </c>
      <c r="BP18" s="34">
        <v>3989000</v>
      </c>
      <c r="BQ18" s="35">
        <v>4192000</v>
      </c>
      <c r="BR18" s="34">
        <v>3941000</v>
      </c>
      <c r="BS18" s="35">
        <v>4144000</v>
      </c>
      <c r="BT18" s="34">
        <v>3925000</v>
      </c>
      <c r="BU18" s="35">
        <v>4128000</v>
      </c>
      <c r="BV18" s="34">
        <v>3925000</v>
      </c>
      <c r="BW18" s="35">
        <v>4128000</v>
      </c>
      <c r="BX18" s="34">
        <v>3925000</v>
      </c>
      <c r="BY18" s="35">
        <v>4128000</v>
      </c>
      <c r="BZ18" s="34">
        <v>3879000</v>
      </c>
      <c r="CA18" s="35">
        <v>4082000</v>
      </c>
      <c r="CB18" s="34">
        <v>3802000</v>
      </c>
      <c r="CC18" s="35">
        <v>4005000</v>
      </c>
      <c r="CD18" s="34">
        <v>3802000</v>
      </c>
      <c r="CE18" s="35">
        <v>4005000</v>
      </c>
      <c r="CF18" s="34">
        <v>3879000</v>
      </c>
      <c r="CG18" s="35">
        <v>4082000</v>
      </c>
      <c r="CH18" s="34">
        <v>4348000</v>
      </c>
      <c r="CI18" s="35">
        <v>4551000</v>
      </c>
    </row>
    <row r="19" spans="1:87">
      <c r="A19" s="24"/>
      <c r="B19" s="25" t="s">
        <v>66</v>
      </c>
      <c r="C19" s="26">
        <v>620</v>
      </c>
      <c r="D19" s="26">
        <v>1095</v>
      </c>
      <c r="E19" s="26">
        <v>300</v>
      </c>
      <c r="F19" s="27">
        <v>4714000</v>
      </c>
      <c r="G19" s="28">
        <v>4782000</v>
      </c>
      <c r="H19" s="42">
        <v>4022000</v>
      </c>
      <c r="I19" s="28">
        <v>4090000</v>
      </c>
      <c r="J19" s="42">
        <v>5403000</v>
      </c>
      <c r="K19" s="28">
        <v>5471000</v>
      </c>
      <c r="L19" s="42">
        <v>4778000</v>
      </c>
      <c r="M19" s="28">
        <v>4846000</v>
      </c>
      <c r="N19" s="42">
        <v>6481000</v>
      </c>
      <c r="O19" s="28">
        <v>6549000</v>
      </c>
      <c r="P19" s="42">
        <v>3921000</v>
      </c>
      <c r="Q19" s="28">
        <v>3989000</v>
      </c>
      <c r="R19" s="42">
        <v>4862000</v>
      </c>
      <c r="S19" s="28">
        <v>4930000</v>
      </c>
      <c r="T19" s="29"/>
      <c r="U19" s="30"/>
      <c r="V19" s="27">
        <v>3367000</v>
      </c>
      <c r="W19" s="28">
        <v>3435000</v>
      </c>
      <c r="X19" s="27">
        <v>3240000</v>
      </c>
      <c r="Y19" s="28">
        <v>3308000</v>
      </c>
      <c r="Z19" s="27">
        <v>3531000</v>
      </c>
      <c r="AA19" s="28">
        <v>3599000</v>
      </c>
      <c r="AB19" s="27">
        <v>3597000</v>
      </c>
      <c r="AC19" s="28">
        <v>3665000</v>
      </c>
      <c r="AD19" s="27">
        <v>3625000</v>
      </c>
      <c r="AE19" s="28">
        <v>3693000</v>
      </c>
      <c r="AF19" s="27">
        <v>3742000</v>
      </c>
      <c r="AG19" s="28">
        <v>3810000</v>
      </c>
      <c r="AH19" s="27">
        <v>3742000</v>
      </c>
      <c r="AI19" s="28">
        <v>3810000</v>
      </c>
      <c r="AJ19" s="27">
        <v>3591000</v>
      </c>
      <c r="AK19" s="28">
        <v>3659000</v>
      </c>
      <c r="AL19" s="27">
        <v>3810000</v>
      </c>
      <c r="AM19" s="28">
        <v>3878000</v>
      </c>
      <c r="AN19" s="27">
        <v>3385000</v>
      </c>
      <c r="AO19" s="28">
        <v>3453000</v>
      </c>
      <c r="AP19" s="27">
        <v>3733000</v>
      </c>
      <c r="AQ19" s="28">
        <v>3801000</v>
      </c>
      <c r="AR19" s="27">
        <v>3820000</v>
      </c>
      <c r="AS19" s="28">
        <v>3888000</v>
      </c>
      <c r="AT19" s="27">
        <v>3733000</v>
      </c>
      <c r="AU19" s="28">
        <v>3801000</v>
      </c>
      <c r="AV19" s="27">
        <v>3761000</v>
      </c>
      <c r="AW19" s="28">
        <v>3829000</v>
      </c>
      <c r="AX19" s="27">
        <v>3738000</v>
      </c>
      <c r="AY19" s="28">
        <v>3806000</v>
      </c>
      <c r="AZ19" s="27">
        <v>3789000</v>
      </c>
      <c r="BA19" s="28">
        <v>3857000</v>
      </c>
      <c r="BB19" s="27">
        <v>3459000</v>
      </c>
      <c r="BC19" s="28">
        <v>3527000</v>
      </c>
      <c r="BD19" s="27">
        <v>3459000</v>
      </c>
      <c r="BE19" s="28">
        <v>3527000</v>
      </c>
      <c r="BF19" s="27">
        <v>3459000</v>
      </c>
      <c r="BG19" s="28">
        <v>3527000</v>
      </c>
      <c r="BH19" s="27">
        <v>3459000</v>
      </c>
      <c r="BI19" s="28">
        <v>3527000</v>
      </c>
      <c r="BJ19" s="27">
        <v>3453000</v>
      </c>
      <c r="BK19" s="28">
        <v>3521000</v>
      </c>
      <c r="BL19" s="27">
        <v>3490000</v>
      </c>
      <c r="BM19" s="28">
        <v>3558000</v>
      </c>
      <c r="BN19" s="27">
        <v>3490000</v>
      </c>
      <c r="BO19" s="28">
        <v>3558000</v>
      </c>
      <c r="BP19" s="27">
        <v>3483000</v>
      </c>
      <c r="BQ19" s="28">
        <v>3551000</v>
      </c>
      <c r="BR19" s="27">
        <v>3459000</v>
      </c>
      <c r="BS19" s="28">
        <v>3527000</v>
      </c>
      <c r="BT19" s="27">
        <v>3451000</v>
      </c>
      <c r="BU19" s="28">
        <v>3519000</v>
      </c>
      <c r="BV19" s="27">
        <v>3451000</v>
      </c>
      <c r="BW19" s="28">
        <v>3519000</v>
      </c>
      <c r="BX19" s="27">
        <v>3451000</v>
      </c>
      <c r="BY19" s="28">
        <v>3519000</v>
      </c>
      <c r="BZ19" s="27">
        <v>3446000</v>
      </c>
      <c r="CA19" s="28">
        <v>3514000</v>
      </c>
      <c r="CB19" s="27">
        <v>3408000</v>
      </c>
      <c r="CC19" s="28">
        <v>3476000</v>
      </c>
      <c r="CD19" s="27">
        <v>3408000</v>
      </c>
      <c r="CE19" s="28">
        <v>3476000</v>
      </c>
      <c r="CF19" s="27">
        <v>3446000</v>
      </c>
      <c r="CG19" s="28">
        <v>3514000</v>
      </c>
      <c r="CH19" s="27">
        <v>3672000</v>
      </c>
      <c r="CI19" s="28">
        <v>3740000</v>
      </c>
    </row>
    <row r="20" spans="1:87">
      <c r="A20" s="43"/>
      <c r="B20" s="25" t="s">
        <v>67</v>
      </c>
      <c r="C20" s="26">
        <v>620</v>
      </c>
      <c r="D20" s="26">
        <v>1095</v>
      </c>
      <c r="E20" s="26">
        <v>450</v>
      </c>
      <c r="F20" s="27">
        <v>5954000</v>
      </c>
      <c r="G20" s="28">
        <v>6055000</v>
      </c>
      <c r="H20" s="42">
        <v>4916000</v>
      </c>
      <c r="I20" s="28">
        <v>5017000</v>
      </c>
      <c r="J20" s="42">
        <v>6988000</v>
      </c>
      <c r="K20" s="28">
        <v>7089000</v>
      </c>
      <c r="L20" s="42">
        <v>6050000</v>
      </c>
      <c r="M20" s="28">
        <v>6151000</v>
      </c>
      <c r="N20" s="42">
        <v>8605000</v>
      </c>
      <c r="O20" s="28">
        <v>8706000</v>
      </c>
      <c r="P20" s="42">
        <v>4600000</v>
      </c>
      <c r="Q20" s="28">
        <v>4701000</v>
      </c>
      <c r="R20" s="42">
        <v>6484000</v>
      </c>
      <c r="S20" s="28">
        <v>6585000</v>
      </c>
      <c r="T20" s="29"/>
      <c r="U20" s="30"/>
      <c r="V20" s="27">
        <v>3919000</v>
      </c>
      <c r="W20" s="28">
        <v>4020000</v>
      </c>
      <c r="X20" s="27">
        <v>3728000</v>
      </c>
      <c r="Y20" s="28">
        <v>3829000</v>
      </c>
      <c r="Z20" s="27">
        <v>4146000</v>
      </c>
      <c r="AA20" s="28">
        <v>4247000</v>
      </c>
      <c r="AB20" s="27">
        <v>4237000</v>
      </c>
      <c r="AC20" s="28">
        <v>4338000</v>
      </c>
      <c r="AD20" s="27">
        <v>4265000</v>
      </c>
      <c r="AE20" s="28">
        <v>4366000</v>
      </c>
      <c r="AF20" s="27">
        <v>4431000</v>
      </c>
      <c r="AG20" s="28">
        <v>4532000</v>
      </c>
      <c r="AH20" s="27">
        <v>4431000</v>
      </c>
      <c r="AI20" s="28">
        <v>4532000</v>
      </c>
      <c r="AJ20" s="27">
        <v>4232000</v>
      </c>
      <c r="AK20" s="28">
        <v>4333000</v>
      </c>
      <c r="AL20" s="27">
        <v>4559000</v>
      </c>
      <c r="AM20" s="28">
        <v>4660000</v>
      </c>
      <c r="AN20" s="27">
        <v>3928000</v>
      </c>
      <c r="AO20" s="28">
        <v>4029000</v>
      </c>
      <c r="AP20" s="27">
        <v>4439000</v>
      </c>
      <c r="AQ20" s="28">
        <v>4540000</v>
      </c>
      <c r="AR20" s="27">
        <v>4570000</v>
      </c>
      <c r="AS20" s="28">
        <v>4671000</v>
      </c>
      <c r="AT20" s="27">
        <v>4439000</v>
      </c>
      <c r="AU20" s="28">
        <v>4540000</v>
      </c>
      <c r="AV20" s="27">
        <v>4484000</v>
      </c>
      <c r="AW20" s="28">
        <v>4585000</v>
      </c>
      <c r="AX20" s="27">
        <v>4450000</v>
      </c>
      <c r="AY20" s="28">
        <v>4551000</v>
      </c>
      <c r="AZ20" s="27">
        <v>4525000</v>
      </c>
      <c r="BA20" s="28">
        <v>4626000</v>
      </c>
      <c r="BB20" s="27">
        <v>4055000</v>
      </c>
      <c r="BC20" s="28">
        <v>4156000</v>
      </c>
      <c r="BD20" s="27">
        <v>4055000</v>
      </c>
      <c r="BE20" s="28">
        <v>4156000</v>
      </c>
      <c r="BF20" s="27">
        <v>4055000</v>
      </c>
      <c r="BG20" s="28">
        <v>4156000</v>
      </c>
      <c r="BH20" s="27">
        <v>4055000</v>
      </c>
      <c r="BI20" s="28">
        <v>4156000</v>
      </c>
      <c r="BJ20" s="27">
        <v>4046000</v>
      </c>
      <c r="BK20" s="28">
        <v>4147000</v>
      </c>
      <c r="BL20" s="27">
        <v>4102000</v>
      </c>
      <c r="BM20" s="28">
        <v>4203000</v>
      </c>
      <c r="BN20" s="27">
        <v>4102000</v>
      </c>
      <c r="BO20" s="28">
        <v>4203000</v>
      </c>
      <c r="BP20" s="27">
        <v>4091000</v>
      </c>
      <c r="BQ20" s="28">
        <v>4192000</v>
      </c>
      <c r="BR20" s="27">
        <v>4055000</v>
      </c>
      <c r="BS20" s="28">
        <v>4156000</v>
      </c>
      <c r="BT20" s="27">
        <v>4043000</v>
      </c>
      <c r="BU20" s="28">
        <v>4144000</v>
      </c>
      <c r="BV20" s="27">
        <v>4043000</v>
      </c>
      <c r="BW20" s="28">
        <v>4144000</v>
      </c>
      <c r="BX20" s="27">
        <v>4043000</v>
      </c>
      <c r="BY20" s="28">
        <v>4144000</v>
      </c>
      <c r="BZ20" s="27">
        <v>3992000</v>
      </c>
      <c r="CA20" s="28">
        <v>4093000</v>
      </c>
      <c r="CB20" s="27">
        <v>3935000</v>
      </c>
      <c r="CC20" s="28">
        <v>4036000</v>
      </c>
      <c r="CD20" s="27">
        <v>3935000</v>
      </c>
      <c r="CE20" s="28">
        <v>4036000</v>
      </c>
      <c r="CF20" s="27">
        <v>3992000</v>
      </c>
      <c r="CG20" s="28">
        <v>4093000</v>
      </c>
      <c r="CH20" s="27">
        <v>4343000</v>
      </c>
      <c r="CI20" s="28">
        <v>4444000</v>
      </c>
    </row>
    <row r="21" spans="1:87">
      <c r="A21" s="43"/>
      <c r="B21" s="25" t="s">
        <v>68</v>
      </c>
      <c r="C21" s="26">
        <v>620</v>
      </c>
      <c r="D21" s="26">
        <v>1095</v>
      </c>
      <c r="E21" s="26">
        <v>600</v>
      </c>
      <c r="F21" s="27">
        <v>7219000</v>
      </c>
      <c r="G21" s="28">
        <v>7354000</v>
      </c>
      <c r="H21" s="42">
        <v>5834000</v>
      </c>
      <c r="I21" s="28">
        <v>5969000</v>
      </c>
      <c r="J21" s="42">
        <v>8596000</v>
      </c>
      <c r="K21" s="28">
        <v>8731000</v>
      </c>
      <c r="L21" s="42">
        <v>7346000</v>
      </c>
      <c r="M21" s="28">
        <v>7481000</v>
      </c>
      <c r="N21" s="42">
        <v>10753000</v>
      </c>
      <c r="O21" s="28">
        <v>10888000</v>
      </c>
      <c r="P21" s="42">
        <v>5304000</v>
      </c>
      <c r="Q21" s="28">
        <v>5439000</v>
      </c>
      <c r="R21" s="42">
        <v>8129000</v>
      </c>
      <c r="S21" s="28">
        <v>8264000</v>
      </c>
      <c r="T21" s="29"/>
      <c r="U21" s="30"/>
      <c r="V21" s="27">
        <v>4495000</v>
      </c>
      <c r="W21" s="28">
        <v>4630000</v>
      </c>
      <c r="X21" s="27">
        <v>4240000</v>
      </c>
      <c r="Y21" s="28">
        <v>4375000</v>
      </c>
      <c r="Z21" s="27">
        <v>4785000</v>
      </c>
      <c r="AA21" s="28">
        <v>4920000</v>
      </c>
      <c r="AB21" s="27">
        <v>4900000</v>
      </c>
      <c r="AC21" s="28">
        <v>5035000</v>
      </c>
      <c r="AD21" s="27">
        <v>4930000</v>
      </c>
      <c r="AE21" s="28">
        <v>5065000</v>
      </c>
      <c r="AF21" s="27">
        <v>5143000</v>
      </c>
      <c r="AG21" s="28">
        <v>5278000</v>
      </c>
      <c r="AH21" s="27">
        <v>5143000</v>
      </c>
      <c r="AI21" s="28">
        <v>5278000</v>
      </c>
      <c r="AJ21" s="27">
        <v>4898000</v>
      </c>
      <c r="AK21" s="28">
        <v>5033000</v>
      </c>
      <c r="AL21" s="27">
        <v>5331000</v>
      </c>
      <c r="AM21" s="28">
        <v>5466000</v>
      </c>
      <c r="AN21" s="27">
        <v>4494000</v>
      </c>
      <c r="AO21" s="28">
        <v>4629000</v>
      </c>
      <c r="AP21" s="27">
        <v>5168000</v>
      </c>
      <c r="AQ21" s="28">
        <v>5303000</v>
      </c>
      <c r="AR21" s="27">
        <v>5343000</v>
      </c>
      <c r="AS21" s="28">
        <v>5478000</v>
      </c>
      <c r="AT21" s="27">
        <v>5168000</v>
      </c>
      <c r="AU21" s="28">
        <v>5303000</v>
      </c>
      <c r="AV21" s="27">
        <v>5231000</v>
      </c>
      <c r="AW21" s="28">
        <v>5366000</v>
      </c>
      <c r="AX21" s="27">
        <v>5186000</v>
      </c>
      <c r="AY21" s="28">
        <v>5321000</v>
      </c>
      <c r="AZ21" s="27">
        <v>5286000</v>
      </c>
      <c r="BA21" s="28">
        <v>5421000</v>
      </c>
      <c r="BB21" s="27">
        <v>4675000</v>
      </c>
      <c r="BC21" s="28">
        <v>4810000</v>
      </c>
      <c r="BD21" s="27">
        <v>4675000</v>
      </c>
      <c r="BE21" s="28">
        <v>4810000</v>
      </c>
      <c r="BF21" s="27">
        <v>4675000</v>
      </c>
      <c r="BG21" s="28">
        <v>4810000</v>
      </c>
      <c r="BH21" s="27">
        <v>4675000</v>
      </c>
      <c r="BI21" s="28">
        <v>4810000</v>
      </c>
      <c r="BJ21" s="27">
        <v>4663000</v>
      </c>
      <c r="BK21" s="28">
        <v>4798000</v>
      </c>
      <c r="BL21" s="27">
        <v>4738000</v>
      </c>
      <c r="BM21" s="28">
        <v>4873000</v>
      </c>
      <c r="BN21" s="27">
        <v>4738000</v>
      </c>
      <c r="BO21" s="28">
        <v>4873000</v>
      </c>
      <c r="BP21" s="27">
        <v>4723000</v>
      </c>
      <c r="BQ21" s="28">
        <v>4858000</v>
      </c>
      <c r="BR21" s="27">
        <v>4675000</v>
      </c>
      <c r="BS21" s="28">
        <v>4810000</v>
      </c>
      <c r="BT21" s="27">
        <v>4659000</v>
      </c>
      <c r="BU21" s="28">
        <v>4794000</v>
      </c>
      <c r="BV21" s="27">
        <v>4659000</v>
      </c>
      <c r="BW21" s="28">
        <v>4794000</v>
      </c>
      <c r="BX21" s="27">
        <v>4659000</v>
      </c>
      <c r="BY21" s="28">
        <v>4794000</v>
      </c>
      <c r="BZ21" s="27">
        <v>4563000</v>
      </c>
      <c r="CA21" s="28">
        <v>4698000</v>
      </c>
      <c r="CB21" s="27">
        <v>4486000</v>
      </c>
      <c r="CC21" s="28">
        <v>4621000</v>
      </c>
      <c r="CD21" s="27">
        <v>4486000</v>
      </c>
      <c r="CE21" s="28">
        <v>4621000</v>
      </c>
      <c r="CF21" s="27">
        <v>4563000</v>
      </c>
      <c r="CG21" s="28">
        <v>4698000</v>
      </c>
      <c r="CH21" s="27">
        <v>5038000</v>
      </c>
      <c r="CI21" s="28">
        <v>5173000</v>
      </c>
    </row>
    <row r="22" spans="1:87">
      <c r="A22" s="43"/>
      <c r="B22" s="25" t="s">
        <v>69</v>
      </c>
      <c r="C22" s="26">
        <v>620</v>
      </c>
      <c r="D22" s="26">
        <v>1095</v>
      </c>
      <c r="E22" s="26">
        <v>900</v>
      </c>
      <c r="F22" s="27">
        <v>10250000</v>
      </c>
      <c r="G22" s="28">
        <v>10452000</v>
      </c>
      <c r="H22" s="42">
        <v>8174000</v>
      </c>
      <c r="I22" s="28">
        <v>8376000</v>
      </c>
      <c r="J22" s="42">
        <v>12317000</v>
      </c>
      <c r="K22" s="28">
        <v>12519000</v>
      </c>
      <c r="L22" s="42">
        <v>10441000</v>
      </c>
      <c r="M22" s="28">
        <v>10643000</v>
      </c>
      <c r="N22" s="42">
        <v>15552000</v>
      </c>
      <c r="O22" s="28">
        <v>15754000</v>
      </c>
      <c r="P22" s="42">
        <v>7717000</v>
      </c>
      <c r="Q22" s="28">
        <v>7919000</v>
      </c>
      <c r="R22" s="42">
        <v>12426000</v>
      </c>
      <c r="S22" s="28">
        <v>12628000</v>
      </c>
      <c r="T22" s="29"/>
      <c r="U22" s="30"/>
      <c r="V22" s="27">
        <v>6180000</v>
      </c>
      <c r="W22" s="28">
        <v>6382000</v>
      </c>
      <c r="X22" s="27">
        <v>5797000</v>
      </c>
      <c r="Y22" s="28">
        <v>5999000</v>
      </c>
      <c r="Z22" s="27">
        <v>6633000</v>
      </c>
      <c r="AA22" s="28">
        <v>6835000</v>
      </c>
      <c r="AB22" s="27">
        <v>6815000</v>
      </c>
      <c r="AC22" s="28">
        <v>7017000</v>
      </c>
      <c r="AD22" s="27">
        <v>6872000</v>
      </c>
      <c r="AE22" s="28">
        <v>7074000</v>
      </c>
      <c r="AF22" s="27">
        <v>7203000</v>
      </c>
      <c r="AG22" s="28">
        <v>7405000</v>
      </c>
      <c r="AH22" s="27">
        <v>7203000</v>
      </c>
      <c r="AI22" s="28">
        <v>7405000</v>
      </c>
      <c r="AJ22" s="27">
        <v>6806000</v>
      </c>
      <c r="AK22" s="28">
        <v>7008000</v>
      </c>
      <c r="AL22" s="27">
        <v>7459000</v>
      </c>
      <c r="AM22" s="28">
        <v>7661000</v>
      </c>
      <c r="AN22" s="27">
        <v>6197000</v>
      </c>
      <c r="AO22" s="28">
        <v>6399000</v>
      </c>
      <c r="AP22" s="27">
        <v>7219000</v>
      </c>
      <c r="AQ22" s="28">
        <v>7421000</v>
      </c>
      <c r="AR22" s="27">
        <v>7481000</v>
      </c>
      <c r="AS22" s="28">
        <v>7683000</v>
      </c>
      <c r="AT22" s="27">
        <v>7219000</v>
      </c>
      <c r="AU22" s="28">
        <v>7421000</v>
      </c>
      <c r="AV22" s="27">
        <v>7309000</v>
      </c>
      <c r="AW22" s="28">
        <v>7511000</v>
      </c>
      <c r="AX22" s="27">
        <v>7242000</v>
      </c>
      <c r="AY22" s="28">
        <v>7444000</v>
      </c>
      <c r="AZ22" s="27">
        <v>7392000</v>
      </c>
      <c r="BA22" s="28">
        <v>7594000</v>
      </c>
      <c r="BB22" s="27">
        <v>6451000</v>
      </c>
      <c r="BC22" s="28">
        <v>6653000</v>
      </c>
      <c r="BD22" s="27">
        <v>6451000</v>
      </c>
      <c r="BE22" s="28">
        <v>6653000</v>
      </c>
      <c r="BF22" s="27">
        <v>6451000</v>
      </c>
      <c r="BG22" s="28">
        <v>6653000</v>
      </c>
      <c r="BH22" s="27">
        <v>6451000</v>
      </c>
      <c r="BI22" s="28">
        <v>6653000</v>
      </c>
      <c r="BJ22" s="27">
        <v>6433000</v>
      </c>
      <c r="BK22" s="28">
        <v>6635000</v>
      </c>
      <c r="BL22" s="27">
        <v>6546000</v>
      </c>
      <c r="BM22" s="28">
        <v>6748000</v>
      </c>
      <c r="BN22" s="27">
        <v>6546000</v>
      </c>
      <c r="BO22" s="28">
        <v>6748000</v>
      </c>
      <c r="BP22" s="27">
        <v>6523000</v>
      </c>
      <c r="BQ22" s="28">
        <v>6725000</v>
      </c>
      <c r="BR22" s="27">
        <v>6451000</v>
      </c>
      <c r="BS22" s="28">
        <v>6653000</v>
      </c>
      <c r="BT22" s="27">
        <v>6427000</v>
      </c>
      <c r="BU22" s="28">
        <v>6629000</v>
      </c>
      <c r="BV22" s="27">
        <v>6427000</v>
      </c>
      <c r="BW22" s="28">
        <v>6629000</v>
      </c>
      <c r="BX22" s="27">
        <v>6427000</v>
      </c>
      <c r="BY22" s="28">
        <v>6629000</v>
      </c>
      <c r="BZ22" s="27">
        <v>6326000</v>
      </c>
      <c r="CA22" s="28">
        <v>6528000</v>
      </c>
      <c r="CB22" s="27">
        <v>6211000</v>
      </c>
      <c r="CC22" s="28">
        <v>6413000</v>
      </c>
      <c r="CD22" s="27">
        <v>6211000</v>
      </c>
      <c r="CE22" s="28">
        <v>6413000</v>
      </c>
      <c r="CF22" s="27">
        <v>6326000</v>
      </c>
      <c r="CG22" s="28">
        <v>6528000</v>
      </c>
      <c r="CH22" s="27">
        <v>7028000</v>
      </c>
      <c r="CI22" s="28">
        <v>7230000</v>
      </c>
    </row>
    <row r="23" spans="1:87">
      <c r="A23" s="31"/>
      <c r="B23" s="32" t="s">
        <v>70</v>
      </c>
      <c r="C23" s="33">
        <v>320</v>
      </c>
      <c r="D23" s="33">
        <v>1095</v>
      </c>
      <c r="E23" s="33">
        <v>300</v>
      </c>
      <c r="F23" s="34">
        <v>3818000</v>
      </c>
      <c r="G23" s="35">
        <v>3886000</v>
      </c>
      <c r="H23" s="34">
        <v>3126000</v>
      </c>
      <c r="I23" s="35">
        <v>3194000</v>
      </c>
      <c r="J23" s="34">
        <v>4507000</v>
      </c>
      <c r="K23" s="35">
        <v>4575000</v>
      </c>
      <c r="L23" s="34">
        <v>3882000</v>
      </c>
      <c r="M23" s="35">
        <v>3950000</v>
      </c>
      <c r="N23" s="34">
        <v>5585000</v>
      </c>
      <c r="O23" s="35">
        <v>5653000</v>
      </c>
      <c r="P23" s="34">
        <v>3025000</v>
      </c>
      <c r="Q23" s="35">
        <v>3093000</v>
      </c>
      <c r="R23" s="34">
        <v>3966000</v>
      </c>
      <c r="S23" s="35">
        <v>4034000</v>
      </c>
      <c r="T23" s="36"/>
      <c r="U23" s="37"/>
      <c r="V23" s="34">
        <v>2471000</v>
      </c>
      <c r="W23" s="35">
        <v>2539000</v>
      </c>
      <c r="X23" s="34">
        <v>2344000</v>
      </c>
      <c r="Y23" s="35">
        <v>2412000</v>
      </c>
      <c r="Z23" s="34">
        <v>2635000</v>
      </c>
      <c r="AA23" s="35">
        <v>2703000</v>
      </c>
      <c r="AB23" s="34">
        <v>2701000</v>
      </c>
      <c r="AC23" s="35">
        <v>2769000</v>
      </c>
      <c r="AD23" s="34">
        <v>2729000</v>
      </c>
      <c r="AE23" s="35">
        <v>2797000</v>
      </c>
      <c r="AF23" s="34">
        <v>2846000</v>
      </c>
      <c r="AG23" s="35">
        <v>2914000</v>
      </c>
      <c r="AH23" s="34">
        <v>2846000</v>
      </c>
      <c r="AI23" s="35">
        <v>2914000</v>
      </c>
      <c r="AJ23" s="34">
        <v>2695000</v>
      </c>
      <c r="AK23" s="35">
        <v>2763000</v>
      </c>
      <c r="AL23" s="34">
        <v>2914000</v>
      </c>
      <c r="AM23" s="35">
        <v>2982000</v>
      </c>
      <c r="AN23" s="34">
        <v>2489000</v>
      </c>
      <c r="AO23" s="35">
        <v>2557000</v>
      </c>
      <c r="AP23" s="34">
        <v>2837000</v>
      </c>
      <c r="AQ23" s="35">
        <v>2905000</v>
      </c>
      <c r="AR23" s="34">
        <v>2924000</v>
      </c>
      <c r="AS23" s="35">
        <v>2992000</v>
      </c>
      <c r="AT23" s="34">
        <v>2837000</v>
      </c>
      <c r="AU23" s="35">
        <v>2905000</v>
      </c>
      <c r="AV23" s="34">
        <v>2865000</v>
      </c>
      <c r="AW23" s="35">
        <v>2933000</v>
      </c>
      <c r="AX23" s="34">
        <v>2842000</v>
      </c>
      <c r="AY23" s="35">
        <v>2910000</v>
      </c>
      <c r="AZ23" s="34">
        <v>2893000</v>
      </c>
      <c r="BA23" s="35">
        <v>2961000</v>
      </c>
      <c r="BB23" s="34">
        <v>2563000</v>
      </c>
      <c r="BC23" s="35">
        <v>2631000</v>
      </c>
      <c r="BD23" s="34">
        <v>2563000</v>
      </c>
      <c r="BE23" s="35">
        <v>2631000</v>
      </c>
      <c r="BF23" s="34">
        <v>2563000</v>
      </c>
      <c r="BG23" s="35">
        <v>2631000</v>
      </c>
      <c r="BH23" s="34">
        <v>2563000</v>
      </c>
      <c r="BI23" s="35">
        <v>2631000</v>
      </c>
      <c r="BJ23" s="34">
        <v>2557000</v>
      </c>
      <c r="BK23" s="35">
        <v>2625000</v>
      </c>
      <c r="BL23" s="34">
        <v>2594000</v>
      </c>
      <c r="BM23" s="35">
        <v>2662000</v>
      </c>
      <c r="BN23" s="34">
        <v>2594000</v>
      </c>
      <c r="BO23" s="35">
        <v>2662000</v>
      </c>
      <c r="BP23" s="34">
        <v>2587000</v>
      </c>
      <c r="BQ23" s="35">
        <v>2655000</v>
      </c>
      <c r="BR23" s="34">
        <v>2563000</v>
      </c>
      <c r="BS23" s="35">
        <v>2631000</v>
      </c>
      <c r="BT23" s="34">
        <v>2555000</v>
      </c>
      <c r="BU23" s="35">
        <v>2623000</v>
      </c>
      <c r="BV23" s="34">
        <v>2555000</v>
      </c>
      <c r="BW23" s="35">
        <v>2623000</v>
      </c>
      <c r="BX23" s="34">
        <v>2555000</v>
      </c>
      <c r="BY23" s="35">
        <v>2623000</v>
      </c>
      <c r="BZ23" s="34">
        <v>2550000</v>
      </c>
      <c r="CA23" s="35">
        <v>2618000</v>
      </c>
      <c r="CB23" s="34">
        <v>2512000</v>
      </c>
      <c r="CC23" s="35">
        <v>2580000</v>
      </c>
      <c r="CD23" s="34">
        <v>2512000</v>
      </c>
      <c r="CE23" s="35">
        <v>2580000</v>
      </c>
      <c r="CF23" s="34">
        <v>2550000</v>
      </c>
      <c r="CG23" s="35">
        <v>2618000</v>
      </c>
      <c r="CH23" s="34">
        <v>2776000</v>
      </c>
      <c r="CI23" s="35">
        <v>2844000</v>
      </c>
    </row>
    <row r="24" spans="1:87">
      <c r="A24" s="31"/>
      <c r="B24" s="32" t="s">
        <v>71</v>
      </c>
      <c r="C24" s="33">
        <v>320</v>
      </c>
      <c r="D24" s="33">
        <v>1095</v>
      </c>
      <c r="E24" s="33">
        <v>450</v>
      </c>
      <c r="F24" s="34">
        <v>4933000</v>
      </c>
      <c r="G24" s="35">
        <v>5035000</v>
      </c>
      <c r="H24" s="34">
        <v>3895000</v>
      </c>
      <c r="I24" s="35">
        <v>3997000</v>
      </c>
      <c r="J24" s="34">
        <v>5967000</v>
      </c>
      <c r="K24" s="35">
        <v>6069000</v>
      </c>
      <c r="L24" s="34">
        <v>5029000</v>
      </c>
      <c r="M24" s="35">
        <v>5131000</v>
      </c>
      <c r="N24" s="34">
        <v>7584000</v>
      </c>
      <c r="O24" s="35">
        <v>7686000</v>
      </c>
      <c r="P24" s="34">
        <v>3579000</v>
      </c>
      <c r="Q24" s="35">
        <v>3681000</v>
      </c>
      <c r="R24" s="34">
        <v>5463000</v>
      </c>
      <c r="S24" s="35">
        <v>5565000</v>
      </c>
      <c r="T24" s="36"/>
      <c r="U24" s="37"/>
      <c r="V24" s="34">
        <v>2898000</v>
      </c>
      <c r="W24" s="35">
        <v>3000000</v>
      </c>
      <c r="X24" s="34">
        <v>2707000</v>
      </c>
      <c r="Y24" s="35">
        <v>2809000</v>
      </c>
      <c r="Z24" s="34">
        <v>3125000</v>
      </c>
      <c r="AA24" s="35">
        <v>3227000</v>
      </c>
      <c r="AB24" s="34">
        <v>3216000</v>
      </c>
      <c r="AC24" s="35">
        <v>3318000</v>
      </c>
      <c r="AD24" s="34">
        <v>3244000</v>
      </c>
      <c r="AE24" s="35">
        <v>3346000</v>
      </c>
      <c r="AF24" s="34">
        <v>3410000</v>
      </c>
      <c r="AG24" s="35">
        <v>3512000</v>
      </c>
      <c r="AH24" s="34">
        <v>3410000</v>
      </c>
      <c r="AI24" s="35">
        <v>3512000</v>
      </c>
      <c r="AJ24" s="34">
        <v>3211000</v>
      </c>
      <c r="AK24" s="35">
        <v>3313000</v>
      </c>
      <c r="AL24" s="34">
        <v>3538000</v>
      </c>
      <c r="AM24" s="35">
        <v>3640000</v>
      </c>
      <c r="AN24" s="34">
        <v>2907000</v>
      </c>
      <c r="AO24" s="35">
        <v>3009000</v>
      </c>
      <c r="AP24" s="34">
        <v>3418000</v>
      </c>
      <c r="AQ24" s="35">
        <v>3520000</v>
      </c>
      <c r="AR24" s="34">
        <v>3549000</v>
      </c>
      <c r="AS24" s="35">
        <v>3651000</v>
      </c>
      <c r="AT24" s="34">
        <v>3418000</v>
      </c>
      <c r="AU24" s="35">
        <v>3520000</v>
      </c>
      <c r="AV24" s="34">
        <v>3463000</v>
      </c>
      <c r="AW24" s="35">
        <v>3565000</v>
      </c>
      <c r="AX24" s="34">
        <v>3429000</v>
      </c>
      <c r="AY24" s="35">
        <v>3531000</v>
      </c>
      <c r="AZ24" s="34">
        <v>3504000</v>
      </c>
      <c r="BA24" s="35">
        <v>3606000</v>
      </c>
      <c r="BB24" s="34">
        <v>3034000</v>
      </c>
      <c r="BC24" s="35">
        <v>3136000</v>
      </c>
      <c r="BD24" s="34">
        <v>3034000</v>
      </c>
      <c r="BE24" s="35">
        <v>3136000</v>
      </c>
      <c r="BF24" s="34">
        <v>3034000</v>
      </c>
      <c r="BG24" s="35">
        <v>3136000</v>
      </c>
      <c r="BH24" s="34">
        <v>3034000</v>
      </c>
      <c r="BI24" s="35">
        <v>3136000</v>
      </c>
      <c r="BJ24" s="34">
        <v>3025000</v>
      </c>
      <c r="BK24" s="35">
        <v>3127000</v>
      </c>
      <c r="BL24" s="34">
        <v>3081000</v>
      </c>
      <c r="BM24" s="35">
        <v>3183000</v>
      </c>
      <c r="BN24" s="34">
        <v>3081000</v>
      </c>
      <c r="BO24" s="35">
        <v>3183000</v>
      </c>
      <c r="BP24" s="34">
        <v>3070000</v>
      </c>
      <c r="BQ24" s="35">
        <v>3172000</v>
      </c>
      <c r="BR24" s="34">
        <v>3034000</v>
      </c>
      <c r="BS24" s="35">
        <v>3136000</v>
      </c>
      <c r="BT24" s="34">
        <v>3022000</v>
      </c>
      <c r="BU24" s="35">
        <v>3124000</v>
      </c>
      <c r="BV24" s="34">
        <v>3022000</v>
      </c>
      <c r="BW24" s="35">
        <v>3124000</v>
      </c>
      <c r="BX24" s="34">
        <v>3022000</v>
      </c>
      <c r="BY24" s="35">
        <v>3124000</v>
      </c>
      <c r="BZ24" s="34">
        <v>2971000</v>
      </c>
      <c r="CA24" s="35">
        <v>3073000</v>
      </c>
      <c r="CB24" s="34">
        <v>2914000</v>
      </c>
      <c r="CC24" s="35">
        <v>3016000</v>
      </c>
      <c r="CD24" s="34">
        <v>2914000</v>
      </c>
      <c r="CE24" s="35">
        <v>3016000</v>
      </c>
      <c r="CF24" s="34">
        <v>2971000</v>
      </c>
      <c r="CG24" s="35">
        <v>3073000</v>
      </c>
      <c r="CH24" s="34">
        <v>3322000</v>
      </c>
      <c r="CI24" s="35">
        <v>3424000</v>
      </c>
    </row>
    <row r="25" spans="1:87">
      <c r="A25" s="31"/>
      <c r="B25" s="32" t="s">
        <v>72</v>
      </c>
      <c r="C25" s="33">
        <v>320</v>
      </c>
      <c r="D25" s="33">
        <v>1095</v>
      </c>
      <c r="E25" s="33">
        <v>600</v>
      </c>
      <c r="F25" s="34">
        <v>6074000</v>
      </c>
      <c r="G25" s="35">
        <v>6209000</v>
      </c>
      <c r="H25" s="34">
        <v>4689000</v>
      </c>
      <c r="I25" s="35">
        <v>4824000</v>
      </c>
      <c r="J25" s="34">
        <v>7451000</v>
      </c>
      <c r="K25" s="35">
        <v>7586000</v>
      </c>
      <c r="L25" s="34">
        <v>6201000</v>
      </c>
      <c r="M25" s="35">
        <v>6336000</v>
      </c>
      <c r="N25" s="34">
        <v>9608000</v>
      </c>
      <c r="O25" s="35">
        <v>9743000</v>
      </c>
      <c r="P25" s="34">
        <v>4159000</v>
      </c>
      <c r="Q25" s="35">
        <v>4294000</v>
      </c>
      <c r="R25" s="34">
        <v>6984000</v>
      </c>
      <c r="S25" s="35">
        <v>7119000</v>
      </c>
      <c r="T25" s="36"/>
      <c r="U25" s="37"/>
      <c r="V25" s="34">
        <v>3350000</v>
      </c>
      <c r="W25" s="35">
        <v>3485000</v>
      </c>
      <c r="X25" s="34">
        <v>3095000</v>
      </c>
      <c r="Y25" s="35">
        <v>3230000</v>
      </c>
      <c r="Z25" s="34">
        <v>3640000</v>
      </c>
      <c r="AA25" s="35">
        <v>3775000</v>
      </c>
      <c r="AB25" s="34">
        <v>3755000</v>
      </c>
      <c r="AC25" s="35">
        <v>3890000</v>
      </c>
      <c r="AD25" s="34">
        <v>3785000</v>
      </c>
      <c r="AE25" s="35">
        <v>3920000</v>
      </c>
      <c r="AF25" s="34">
        <v>3998000</v>
      </c>
      <c r="AG25" s="35">
        <v>4133000</v>
      </c>
      <c r="AH25" s="34">
        <v>3998000</v>
      </c>
      <c r="AI25" s="35">
        <v>4133000</v>
      </c>
      <c r="AJ25" s="34">
        <v>3753000</v>
      </c>
      <c r="AK25" s="35">
        <v>3888000</v>
      </c>
      <c r="AL25" s="34">
        <v>4186000</v>
      </c>
      <c r="AM25" s="35">
        <v>4321000</v>
      </c>
      <c r="AN25" s="34">
        <v>3349000</v>
      </c>
      <c r="AO25" s="35">
        <v>3484000</v>
      </c>
      <c r="AP25" s="34">
        <v>4023000</v>
      </c>
      <c r="AQ25" s="35">
        <v>4158000</v>
      </c>
      <c r="AR25" s="34">
        <v>4198000</v>
      </c>
      <c r="AS25" s="35">
        <v>4333000</v>
      </c>
      <c r="AT25" s="34">
        <v>4023000</v>
      </c>
      <c r="AU25" s="35">
        <v>4158000</v>
      </c>
      <c r="AV25" s="34">
        <v>4086000</v>
      </c>
      <c r="AW25" s="35">
        <v>4221000</v>
      </c>
      <c r="AX25" s="34">
        <v>4041000</v>
      </c>
      <c r="AY25" s="35">
        <v>4176000</v>
      </c>
      <c r="AZ25" s="34">
        <v>4141000</v>
      </c>
      <c r="BA25" s="35">
        <v>4276000</v>
      </c>
      <c r="BB25" s="34">
        <v>3530000</v>
      </c>
      <c r="BC25" s="35">
        <v>3665000</v>
      </c>
      <c r="BD25" s="34">
        <v>3530000</v>
      </c>
      <c r="BE25" s="35">
        <v>3665000</v>
      </c>
      <c r="BF25" s="34">
        <v>3530000</v>
      </c>
      <c r="BG25" s="35">
        <v>3665000</v>
      </c>
      <c r="BH25" s="34">
        <v>3530000</v>
      </c>
      <c r="BI25" s="35">
        <v>3665000</v>
      </c>
      <c r="BJ25" s="34">
        <v>3518000</v>
      </c>
      <c r="BK25" s="35">
        <v>3653000</v>
      </c>
      <c r="BL25" s="34">
        <v>3593000</v>
      </c>
      <c r="BM25" s="35">
        <v>3728000</v>
      </c>
      <c r="BN25" s="34">
        <v>3593000</v>
      </c>
      <c r="BO25" s="35">
        <v>3728000</v>
      </c>
      <c r="BP25" s="34">
        <v>3578000</v>
      </c>
      <c r="BQ25" s="35">
        <v>3713000</v>
      </c>
      <c r="BR25" s="34">
        <v>3530000</v>
      </c>
      <c r="BS25" s="35">
        <v>3665000</v>
      </c>
      <c r="BT25" s="34">
        <v>3514000</v>
      </c>
      <c r="BU25" s="35">
        <v>3649000</v>
      </c>
      <c r="BV25" s="34">
        <v>3514000</v>
      </c>
      <c r="BW25" s="35">
        <v>3649000</v>
      </c>
      <c r="BX25" s="34">
        <v>3514000</v>
      </c>
      <c r="BY25" s="35">
        <v>3649000</v>
      </c>
      <c r="BZ25" s="34">
        <v>3418000</v>
      </c>
      <c r="CA25" s="35">
        <v>3553000</v>
      </c>
      <c r="CB25" s="34">
        <v>3341000</v>
      </c>
      <c r="CC25" s="35">
        <v>3476000</v>
      </c>
      <c r="CD25" s="34">
        <v>3341000</v>
      </c>
      <c r="CE25" s="35">
        <v>3476000</v>
      </c>
      <c r="CF25" s="34">
        <v>3418000</v>
      </c>
      <c r="CG25" s="35">
        <v>3553000</v>
      </c>
      <c r="CH25" s="34">
        <v>3893000</v>
      </c>
      <c r="CI25" s="35">
        <v>4028000</v>
      </c>
    </row>
    <row r="26" spans="1:87">
      <c r="A26" s="31"/>
      <c r="B26" s="32" t="s">
        <v>73</v>
      </c>
      <c r="C26" s="33">
        <v>320</v>
      </c>
      <c r="D26" s="33">
        <v>1095</v>
      </c>
      <c r="E26" s="33">
        <v>900</v>
      </c>
      <c r="F26" s="34">
        <v>8856000</v>
      </c>
      <c r="G26" s="35">
        <v>9059000</v>
      </c>
      <c r="H26" s="34">
        <v>6780000</v>
      </c>
      <c r="I26" s="35">
        <v>6983000</v>
      </c>
      <c r="J26" s="34">
        <v>10923000</v>
      </c>
      <c r="K26" s="35">
        <v>11126000</v>
      </c>
      <c r="L26" s="34">
        <v>9047000</v>
      </c>
      <c r="M26" s="35">
        <v>9250000</v>
      </c>
      <c r="N26" s="34">
        <v>14158000</v>
      </c>
      <c r="O26" s="35">
        <v>14361000</v>
      </c>
      <c r="P26" s="34">
        <v>6323000</v>
      </c>
      <c r="Q26" s="35">
        <v>6526000</v>
      </c>
      <c r="R26" s="34">
        <v>11032000</v>
      </c>
      <c r="S26" s="35">
        <v>11235000</v>
      </c>
      <c r="T26" s="36"/>
      <c r="U26" s="37"/>
      <c r="V26" s="34">
        <v>4786000</v>
      </c>
      <c r="W26" s="35">
        <v>4989000</v>
      </c>
      <c r="X26" s="34">
        <v>4403000</v>
      </c>
      <c r="Y26" s="35">
        <v>4606000</v>
      </c>
      <c r="Z26" s="34">
        <v>5239000</v>
      </c>
      <c r="AA26" s="35">
        <v>5442000</v>
      </c>
      <c r="AB26" s="34">
        <v>5421000</v>
      </c>
      <c r="AC26" s="35">
        <v>5624000</v>
      </c>
      <c r="AD26" s="34">
        <v>5478000</v>
      </c>
      <c r="AE26" s="35">
        <v>5681000</v>
      </c>
      <c r="AF26" s="34">
        <v>5809000</v>
      </c>
      <c r="AG26" s="35">
        <v>6012000</v>
      </c>
      <c r="AH26" s="34">
        <v>5809000</v>
      </c>
      <c r="AI26" s="35">
        <v>6012000</v>
      </c>
      <c r="AJ26" s="34">
        <v>5412000</v>
      </c>
      <c r="AK26" s="35">
        <v>5615000</v>
      </c>
      <c r="AL26" s="34">
        <v>6065000</v>
      </c>
      <c r="AM26" s="35">
        <v>6268000</v>
      </c>
      <c r="AN26" s="34">
        <v>4803000</v>
      </c>
      <c r="AO26" s="35">
        <v>5006000</v>
      </c>
      <c r="AP26" s="34">
        <v>5825000</v>
      </c>
      <c r="AQ26" s="35">
        <v>6028000</v>
      </c>
      <c r="AR26" s="34">
        <v>6087000</v>
      </c>
      <c r="AS26" s="35">
        <v>6290000</v>
      </c>
      <c r="AT26" s="34">
        <v>5825000</v>
      </c>
      <c r="AU26" s="35">
        <v>6028000</v>
      </c>
      <c r="AV26" s="34">
        <v>5915000</v>
      </c>
      <c r="AW26" s="35">
        <v>6118000</v>
      </c>
      <c r="AX26" s="34">
        <v>5848000</v>
      </c>
      <c r="AY26" s="35">
        <v>6051000</v>
      </c>
      <c r="AZ26" s="34">
        <v>5998000</v>
      </c>
      <c r="BA26" s="35">
        <v>6201000</v>
      </c>
      <c r="BB26" s="34">
        <v>5057000</v>
      </c>
      <c r="BC26" s="35">
        <v>5260000</v>
      </c>
      <c r="BD26" s="34">
        <v>5057000</v>
      </c>
      <c r="BE26" s="35">
        <v>5260000</v>
      </c>
      <c r="BF26" s="34">
        <v>5057000</v>
      </c>
      <c r="BG26" s="35">
        <v>5260000</v>
      </c>
      <c r="BH26" s="34">
        <v>5057000</v>
      </c>
      <c r="BI26" s="35">
        <v>5260000</v>
      </c>
      <c r="BJ26" s="34">
        <v>5039000</v>
      </c>
      <c r="BK26" s="35">
        <v>5242000</v>
      </c>
      <c r="BL26" s="34">
        <v>5152000</v>
      </c>
      <c r="BM26" s="35">
        <v>5355000</v>
      </c>
      <c r="BN26" s="34">
        <v>5152000</v>
      </c>
      <c r="BO26" s="35">
        <v>5355000</v>
      </c>
      <c r="BP26" s="34">
        <v>5129000</v>
      </c>
      <c r="BQ26" s="35">
        <v>5332000</v>
      </c>
      <c r="BR26" s="34">
        <v>5057000</v>
      </c>
      <c r="BS26" s="35">
        <v>5260000</v>
      </c>
      <c r="BT26" s="34">
        <v>5033000</v>
      </c>
      <c r="BU26" s="35">
        <v>5236000</v>
      </c>
      <c r="BV26" s="34">
        <v>5033000</v>
      </c>
      <c r="BW26" s="35">
        <v>5236000</v>
      </c>
      <c r="BX26" s="34">
        <v>5033000</v>
      </c>
      <c r="BY26" s="35">
        <v>5236000</v>
      </c>
      <c r="BZ26" s="34">
        <v>4932000</v>
      </c>
      <c r="CA26" s="35">
        <v>5135000</v>
      </c>
      <c r="CB26" s="34">
        <v>4817000</v>
      </c>
      <c r="CC26" s="35">
        <v>5020000</v>
      </c>
      <c r="CD26" s="34">
        <v>4817000</v>
      </c>
      <c r="CE26" s="35">
        <v>5020000</v>
      </c>
      <c r="CF26" s="34">
        <v>4932000</v>
      </c>
      <c r="CG26" s="35">
        <v>5135000</v>
      </c>
      <c r="CH26" s="34">
        <v>5634000</v>
      </c>
      <c r="CI26" s="35">
        <v>5837000</v>
      </c>
    </row>
    <row r="27" spans="1:87">
      <c r="A27" s="43"/>
      <c r="B27" s="25" t="s">
        <v>74</v>
      </c>
      <c r="C27" s="26">
        <v>620</v>
      </c>
      <c r="D27" s="26">
        <v>600</v>
      </c>
      <c r="E27" s="26">
        <v>300</v>
      </c>
      <c r="F27" s="27">
        <v>3112000</v>
      </c>
      <c r="G27" s="28">
        <v>3179000</v>
      </c>
      <c r="H27" s="42">
        <v>2733000</v>
      </c>
      <c r="I27" s="28">
        <v>2800000</v>
      </c>
      <c r="J27" s="42">
        <v>3490000</v>
      </c>
      <c r="K27" s="28">
        <v>3557000</v>
      </c>
      <c r="L27" s="42">
        <v>3147000</v>
      </c>
      <c r="M27" s="28">
        <v>3214000</v>
      </c>
      <c r="N27" s="42">
        <v>4081000</v>
      </c>
      <c r="O27" s="28">
        <v>4148000</v>
      </c>
      <c r="P27" s="42">
        <v>2759000</v>
      </c>
      <c r="Q27" s="28">
        <v>2826000</v>
      </c>
      <c r="R27" s="42">
        <v>3207000</v>
      </c>
      <c r="S27" s="28">
        <v>3274000</v>
      </c>
      <c r="T27" s="29"/>
      <c r="U27" s="30"/>
      <c r="V27" s="27">
        <v>2378000</v>
      </c>
      <c r="W27" s="28">
        <v>2445000</v>
      </c>
      <c r="X27" s="27">
        <v>2308000</v>
      </c>
      <c r="Y27" s="28">
        <v>2375000</v>
      </c>
      <c r="Z27" s="27">
        <v>2472000</v>
      </c>
      <c r="AA27" s="28">
        <v>2539000</v>
      </c>
      <c r="AB27" s="27">
        <v>2511000</v>
      </c>
      <c r="AC27" s="28">
        <v>2578000</v>
      </c>
      <c r="AD27" s="27">
        <v>2529000</v>
      </c>
      <c r="AE27" s="28">
        <v>2596000</v>
      </c>
      <c r="AF27" s="27">
        <v>2596000</v>
      </c>
      <c r="AG27" s="28">
        <v>2663000</v>
      </c>
      <c r="AH27" s="27">
        <v>2596000</v>
      </c>
      <c r="AI27" s="28">
        <v>2663000</v>
      </c>
      <c r="AJ27" s="27">
        <v>2506000</v>
      </c>
      <c r="AK27" s="28">
        <v>2573000</v>
      </c>
      <c r="AL27" s="27">
        <v>2627000</v>
      </c>
      <c r="AM27" s="28">
        <v>2694000</v>
      </c>
      <c r="AN27" s="27">
        <v>2392000</v>
      </c>
      <c r="AO27" s="28">
        <v>2459000</v>
      </c>
      <c r="AP27" s="27">
        <v>2586000</v>
      </c>
      <c r="AQ27" s="28">
        <v>2653000</v>
      </c>
      <c r="AR27" s="27">
        <v>2633000</v>
      </c>
      <c r="AS27" s="28">
        <v>2700000</v>
      </c>
      <c r="AT27" s="27">
        <v>2586000</v>
      </c>
      <c r="AU27" s="28">
        <v>2653000</v>
      </c>
      <c r="AV27" s="27">
        <v>2600000</v>
      </c>
      <c r="AW27" s="28">
        <v>2667000</v>
      </c>
      <c r="AX27" s="27">
        <v>2588000</v>
      </c>
      <c r="AY27" s="28">
        <v>2655000</v>
      </c>
      <c r="AZ27" s="27">
        <v>2615000</v>
      </c>
      <c r="BA27" s="28">
        <v>2682000</v>
      </c>
      <c r="BB27" s="27">
        <v>2428000</v>
      </c>
      <c r="BC27" s="28">
        <v>2495000</v>
      </c>
      <c r="BD27" s="27">
        <v>2428000</v>
      </c>
      <c r="BE27" s="28">
        <v>2495000</v>
      </c>
      <c r="BF27" s="27">
        <v>2428000</v>
      </c>
      <c r="BG27" s="28">
        <v>2495000</v>
      </c>
      <c r="BH27" s="27">
        <v>2428000</v>
      </c>
      <c r="BI27" s="28">
        <v>2495000</v>
      </c>
      <c r="BJ27" s="27">
        <v>2425000</v>
      </c>
      <c r="BK27" s="28">
        <v>2492000</v>
      </c>
      <c r="BL27" s="27">
        <v>2446000</v>
      </c>
      <c r="BM27" s="28">
        <v>2513000</v>
      </c>
      <c r="BN27" s="27">
        <v>2446000</v>
      </c>
      <c r="BO27" s="28">
        <v>2513000</v>
      </c>
      <c r="BP27" s="27">
        <v>2442000</v>
      </c>
      <c r="BQ27" s="28">
        <v>2509000</v>
      </c>
      <c r="BR27" s="27">
        <v>2428000</v>
      </c>
      <c r="BS27" s="28">
        <v>2495000</v>
      </c>
      <c r="BT27" s="27">
        <v>2424000</v>
      </c>
      <c r="BU27" s="28">
        <v>2491000</v>
      </c>
      <c r="BV27" s="27">
        <v>2424000</v>
      </c>
      <c r="BW27" s="28">
        <v>2491000</v>
      </c>
      <c r="BX27" s="27">
        <v>2424000</v>
      </c>
      <c r="BY27" s="28">
        <v>2491000</v>
      </c>
      <c r="BZ27" s="27">
        <v>2432000</v>
      </c>
      <c r="CA27" s="28">
        <v>2499000</v>
      </c>
      <c r="CB27" s="27">
        <v>2411000</v>
      </c>
      <c r="CC27" s="28">
        <v>2478000</v>
      </c>
      <c r="CD27" s="27">
        <v>2411000</v>
      </c>
      <c r="CE27" s="28">
        <v>2478000</v>
      </c>
      <c r="CF27" s="27">
        <v>2432000</v>
      </c>
      <c r="CG27" s="28">
        <v>2499000</v>
      </c>
      <c r="CH27" s="27">
        <v>2553000</v>
      </c>
      <c r="CI27" s="28">
        <v>2620000</v>
      </c>
    </row>
    <row r="28" spans="1:87">
      <c r="A28" s="43"/>
      <c r="B28" s="25" t="s">
        <v>75</v>
      </c>
      <c r="C28" s="26">
        <v>620</v>
      </c>
      <c r="D28" s="26">
        <v>600</v>
      </c>
      <c r="E28" s="26">
        <v>450</v>
      </c>
      <c r="F28" s="27">
        <v>3945000</v>
      </c>
      <c r="G28" s="28">
        <v>4046000</v>
      </c>
      <c r="H28" s="42">
        <v>3376000</v>
      </c>
      <c r="I28" s="28">
        <v>3477000</v>
      </c>
      <c r="J28" s="42">
        <v>4511000</v>
      </c>
      <c r="K28" s="28">
        <v>4612000</v>
      </c>
      <c r="L28" s="42">
        <v>3997000</v>
      </c>
      <c r="M28" s="28">
        <v>4098000</v>
      </c>
      <c r="N28" s="42">
        <v>5398000</v>
      </c>
      <c r="O28" s="28">
        <v>5499000</v>
      </c>
      <c r="P28" s="42">
        <v>3318000</v>
      </c>
      <c r="Q28" s="28">
        <v>3419000</v>
      </c>
      <c r="R28" s="42">
        <v>4215000</v>
      </c>
      <c r="S28" s="28">
        <v>4316000</v>
      </c>
      <c r="T28" s="29"/>
      <c r="U28" s="30"/>
      <c r="V28" s="27">
        <v>2836000</v>
      </c>
      <c r="W28" s="28">
        <v>2937000</v>
      </c>
      <c r="X28" s="27">
        <v>2731000</v>
      </c>
      <c r="Y28" s="28">
        <v>2832000</v>
      </c>
      <c r="Z28" s="27">
        <v>2967000</v>
      </c>
      <c r="AA28" s="28">
        <v>3068000</v>
      </c>
      <c r="AB28" s="27">
        <v>3020000</v>
      </c>
      <c r="AC28" s="28">
        <v>3121000</v>
      </c>
      <c r="AD28" s="27">
        <v>3040000</v>
      </c>
      <c r="AE28" s="28">
        <v>3141000</v>
      </c>
      <c r="AF28" s="27">
        <v>3135000</v>
      </c>
      <c r="AG28" s="28">
        <v>3236000</v>
      </c>
      <c r="AH28" s="27">
        <v>3135000</v>
      </c>
      <c r="AI28" s="28">
        <v>3236000</v>
      </c>
      <c r="AJ28" s="27">
        <v>3015000</v>
      </c>
      <c r="AK28" s="28">
        <v>3116000</v>
      </c>
      <c r="AL28" s="27">
        <v>3195000</v>
      </c>
      <c r="AM28" s="28">
        <v>3296000</v>
      </c>
      <c r="AN28" s="27">
        <v>2847000</v>
      </c>
      <c r="AO28" s="28">
        <v>2948000</v>
      </c>
      <c r="AP28" s="27">
        <v>3131000</v>
      </c>
      <c r="AQ28" s="28">
        <v>3232000</v>
      </c>
      <c r="AR28" s="27">
        <v>3203000</v>
      </c>
      <c r="AS28" s="28">
        <v>3304000</v>
      </c>
      <c r="AT28" s="27">
        <v>3131000</v>
      </c>
      <c r="AU28" s="28">
        <v>3232000</v>
      </c>
      <c r="AV28" s="27">
        <v>3154000</v>
      </c>
      <c r="AW28" s="28">
        <v>3255000</v>
      </c>
      <c r="AX28" s="27">
        <v>3136000</v>
      </c>
      <c r="AY28" s="28">
        <v>3237000</v>
      </c>
      <c r="AZ28" s="27">
        <v>3177000</v>
      </c>
      <c r="BA28" s="28">
        <v>3278000</v>
      </c>
      <c r="BB28" s="27">
        <v>2910000</v>
      </c>
      <c r="BC28" s="28">
        <v>3011000</v>
      </c>
      <c r="BD28" s="27">
        <v>2910000</v>
      </c>
      <c r="BE28" s="28">
        <v>3011000</v>
      </c>
      <c r="BF28" s="27">
        <v>2910000</v>
      </c>
      <c r="BG28" s="28">
        <v>3011000</v>
      </c>
      <c r="BH28" s="27">
        <v>2910000</v>
      </c>
      <c r="BI28" s="28">
        <v>3011000</v>
      </c>
      <c r="BJ28" s="27">
        <v>2906000</v>
      </c>
      <c r="BK28" s="28">
        <v>3007000</v>
      </c>
      <c r="BL28" s="27">
        <v>2937000</v>
      </c>
      <c r="BM28" s="28">
        <v>3038000</v>
      </c>
      <c r="BN28" s="27">
        <v>2937000</v>
      </c>
      <c r="BO28" s="28">
        <v>3038000</v>
      </c>
      <c r="BP28" s="27">
        <v>2930000</v>
      </c>
      <c r="BQ28" s="28">
        <v>3031000</v>
      </c>
      <c r="BR28" s="27">
        <v>2910000</v>
      </c>
      <c r="BS28" s="28">
        <v>3011000</v>
      </c>
      <c r="BT28" s="27">
        <v>2904000</v>
      </c>
      <c r="BU28" s="28">
        <v>3005000</v>
      </c>
      <c r="BV28" s="27">
        <v>2904000</v>
      </c>
      <c r="BW28" s="28">
        <v>3005000</v>
      </c>
      <c r="BX28" s="27">
        <v>2904000</v>
      </c>
      <c r="BY28" s="28">
        <v>3005000</v>
      </c>
      <c r="BZ28" s="27">
        <v>2892000</v>
      </c>
      <c r="CA28" s="28">
        <v>2993000</v>
      </c>
      <c r="CB28" s="27">
        <v>2861000</v>
      </c>
      <c r="CC28" s="28">
        <v>2962000</v>
      </c>
      <c r="CD28" s="27">
        <v>2861000</v>
      </c>
      <c r="CE28" s="28">
        <v>2962000</v>
      </c>
      <c r="CF28" s="27">
        <v>2892000</v>
      </c>
      <c r="CG28" s="28">
        <v>2993000</v>
      </c>
      <c r="CH28" s="27">
        <v>3080000</v>
      </c>
      <c r="CI28" s="28">
        <v>3181000</v>
      </c>
    </row>
    <row r="29" spans="1:87">
      <c r="A29" s="43"/>
      <c r="B29" s="25" t="s">
        <v>76</v>
      </c>
      <c r="C29" s="26">
        <v>620</v>
      </c>
      <c r="D29" s="26">
        <v>600</v>
      </c>
      <c r="E29" s="26">
        <v>600</v>
      </c>
      <c r="F29" s="27">
        <v>4802000</v>
      </c>
      <c r="G29" s="28">
        <v>4938000</v>
      </c>
      <c r="H29" s="42">
        <v>4044000</v>
      </c>
      <c r="I29" s="28">
        <v>4180000</v>
      </c>
      <c r="J29" s="42">
        <v>5557000</v>
      </c>
      <c r="K29" s="28">
        <v>5693000</v>
      </c>
      <c r="L29" s="42">
        <v>4872000</v>
      </c>
      <c r="M29" s="28">
        <v>5008000</v>
      </c>
      <c r="N29" s="42">
        <v>6739000</v>
      </c>
      <c r="O29" s="28">
        <v>6875000</v>
      </c>
      <c r="P29" s="42">
        <v>3902000</v>
      </c>
      <c r="Q29" s="28">
        <v>4038000</v>
      </c>
      <c r="R29" s="42">
        <v>5247000</v>
      </c>
      <c r="S29" s="28">
        <v>5383000</v>
      </c>
      <c r="T29" s="29"/>
      <c r="U29" s="30"/>
      <c r="V29" s="27">
        <v>3317000</v>
      </c>
      <c r="W29" s="28">
        <v>3453000</v>
      </c>
      <c r="X29" s="27">
        <v>3177000</v>
      </c>
      <c r="Y29" s="28">
        <v>3313000</v>
      </c>
      <c r="Z29" s="27">
        <v>3485000</v>
      </c>
      <c r="AA29" s="28">
        <v>3621000</v>
      </c>
      <c r="AB29" s="27">
        <v>3553000</v>
      </c>
      <c r="AC29" s="28">
        <v>3689000</v>
      </c>
      <c r="AD29" s="27">
        <v>3575000</v>
      </c>
      <c r="AE29" s="28">
        <v>3711000</v>
      </c>
      <c r="AF29" s="27">
        <v>3698000</v>
      </c>
      <c r="AG29" s="28">
        <v>3834000</v>
      </c>
      <c r="AH29" s="27">
        <v>3698000</v>
      </c>
      <c r="AI29" s="28">
        <v>3834000</v>
      </c>
      <c r="AJ29" s="27">
        <v>3549000</v>
      </c>
      <c r="AK29" s="28">
        <v>3685000</v>
      </c>
      <c r="AL29" s="27">
        <v>3787000</v>
      </c>
      <c r="AM29" s="28">
        <v>3923000</v>
      </c>
      <c r="AN29" s="27">
        <v>3326000</v>
      </c>
      <c r="AO29" s="28">
        <v>3462000</v>
      </c>
      <c r="AP29" s="27">
        <v>3700000</v>
      </c>
      <c r="AQ29" s="28">
        <v>3836000</v>
      </c>
      <c r="AR29" s="27">
        <v>3796000</v>
      </c>
      <c r="AS29" s="28">
        <v>3932000</v>
      </c>
      <c r="AT29" s="27">
        <v>3700000</v>
      </c>
      <c r="AU29" s="28">
        <v>3836000</v>
      </c>
      <c r="AV29" s="27">
        <v>3733000</v>
      </c>
      <c r="AW29" s="28">
        <v>3869000</v>
      </c>
      <c r="AX29" s="27">
        <v>3709000</v>
      </c>
      <c r="AY29" s="28">
        <v>3845000</v>
      </c>
      <c r="AZ29" s="27">
        <v>3763000</v>
      </c>
      <c r="BA29" s="28">
        <v>3899000</v>
      </c>
      <c r="BB29" s="27">
        <v>3416000</v>
      </c>
      <c r="BC29" s="28">
        <v>3552000</v>
      </c>
      <c r="BD29" s="27">
        <v>3416000</v>
      </c>
      <c r="BE29" s="28">
        <v>3552000</v>
      </c>
      <c r="BF29" s="27">
        <v>3416000</v>
      </c>
      <c r="BG29" s="28">
        <v>3552000</v>
      </c>
      <c r="BH29" s="27">
        <v>3416000</v>
      </c>
      <c r="BI29" s="28">
        <v>3552000</v>
      </c>
      <c r="BJ29" s="27">
        <v>3410000</v>
      </c>
      <c r="BK29" s="28">
        <v>3546000</v>
      </c>
      <c r="BL29" s="27">
        <v>3451000</v>
      </c>
      <c r="BM29" s="28">
        <v>3587000</v>
      </c>
      <c r="BN29" s="27">
        <v>3451000</v>
      </c>
      <c r="BO29" s="28">
        <v>3587000</v>
      </c>
      <c r="BP29" s="27">
        <v>3442000</v>
      </c>
      <c r="BQ29" s="28">
        <v>3578000</v>
      </c>
      <c r="BR29" s="27">
        <v>3416000</v>
      </c>
      <c r="BS29" s="28">
        <v>3552000</v>
      </c>
      <c r="BT29" s="27">
        <v>3408000</v>
      </c>
      <c r="BU29" s="28">
        <v>3544000</v>
      </c>
      <c r="BV29" s="27">
        <v>3408000</v>
      </c>
      <c r="BW29" s="28">
        <v>3544000</v>
      </c>
      <c r="BX29" s="27">
        <v>3408000</v>
      </c>
      <c r="BY29" s="28">
        <v>3544000</v>
      </c>
      <c r="BZ29" s="27">
        <v>3376000</v>
      </c>
      <c r="CA29" s="28">
        <v>3512000</v>
      </c>
      <c r="CB29" s="27">
        <v>3334000</v>
      </c>
      <c r="CC29" s="28">
        <v>3470000</v>
      </c>
      <c r="CD29" s="27">
        <v>3334000</v>
      </c>
      <c r="CE29" s="28">
        <v>3470000</v>
      </c>
      <c r="CF29" s="27">
        <v>3376000</v>
      </c>
      <c r="CG29" s="28">
        <v>3512000</v>
      </c>
      <c r="CH29" s="27">
        <v>3631000</v>
      </c>
      <c r="CI29" s="28">
        <v>3767000</v>
      </c>
    </row>
    <row r="30" spans="1:87">
      <c r="A30" s="43"/>
      <c r="B30" s="25" t="s">
        <v>77</v>
      </c>
      <c r="C30" s="26">
        <v>620</v>
      </c>
      <c r="D30" s="26">
        <v>600</v>
      </c>
      <c r="E30" s="26">
        <v>900</v>
      </c>
      <c r="F30" s="27">
        <v>6841000</v>
      </c>
      <c r="G30" s="28">
        <v>7044000</v>
      </c>
      <c r="H30" s="42">
        <v>5703000</v>
      </c>
      <c r="I30" s="28">
        <v>5906000</v>
      </c>
      <c r="J30" s="42">
        <v>7973000</v>
      </c>
      <c r="K30" s="28">
        <v>8176000</v>
      </c>
      <c r="L30" s="42">
        <v>6945000</v>
      </c>
      <c r="M30" s="28">
        <v>7148000</v>
      </c>
      <c r="N30" s="42">
        <v>9746000</v>
      </c>
      <c r="O30" s="28">
        <v>9949000</v>
      </c>
      <c r="P30" s="42">
        <v>5670000</v>
      </c>
      <c r="Q30" s="28">
        <v>5873000</v>
      </c>
      <c r="R30" s="42">
        <v>7913000</v>
      </c>
      <c r="S30" s="28">
        <v>8116000</v>
      </c>
      <c r="T30" s="29"/>
      <c r="U30" s="30"/>
      <c r="V30" s="27">
        <v>4622000</v>
      </c>
      <c r="W30" s="28">
        <v>4825000</v>
      </c>
      <c r="X30" s="27">
        <v>4412000</v>
      </c>
      <c r="Y30" s="28">
        <v>4615000</v>
      </c>
      <c r="Z30" s="27">
        <v>4884000</v>
      </c>
      <c r="AA30" s="28">
        <v>5087000</v>
      </c>
      <c r="AB30" s="27">
        <v>4990000</v>
      </c>
      <c r="AC30" s="28">
        <v>5193000</v>
      </c>
      <c r="AD30" s="27">
        <v>5030000</v>
      </c>
      <c r="AE30" s="28">
        <v>5233000</v>
      </c>
      <c r="AF30" s="27">
        <v>5220000</v>
      </c>
      <c r="AG30" s="28">
        <v>5423000</v>
      </c>
      <c r="AH30" s="27">
        <v>5220000</v>
      </c>
      <c r="AI30" s="28">
        <v>5423000</v>
      </c>
      <c r="AJ30" s="27">
        <v>4981000</v>
      </c>
      <c r="AK30" s="28">
        <v>5184000</v>
      </c>
      <c r="AL30" s="27">
        <v>5341000</v>
      </c>
      <c r="AM30" s="28">
        <v>5544000</v>
      </c>
      <c r="AN30" s="27">
        <v>4644000</v>
      </c>
      <c r="AO30" s="28">
        <v>4847000</v>
      </c>
      <c r="AP30" s="27">
        <v>5212000</v>
      </c>
      <c r="AQ30" s="28">
        <v>5415000</v>
      </c>
      <c r="AR30" s="27">
        <v>5356000</v>
      </c>
      <c r="AS30" s="28">
        <v>5559000</v>
      </c>
      <c r="AT30" s="27">
        <v>5212000</v>
      </c>
      <c r="AU30" s="28">
        <v>5415000</v>
      </c>
      <c r="AV30" s="27">
        <v>5259000</v>
      </c>
      <c r="AW30" s="28">
        <v>5462000</v>
      </c>
      <c r="AX30" s="27">
        <v>5223000</v>
      </c>
      <c r="AY30" s="28">
        <v>5426000</v>
      </c>
      <c r="AZ30" s="27">
        <v>5305000</v>
      </c>
      <c r="BA30" s="28">
        <v>5508000</v>
      </c>
      <c r="BB30" s="27">
        <v>4771000</v>
      </c>
      <c r="BC30" s="28">
        <v>4974000</v>
      </c>
      <c r="BD30" s="27">
        <v>4771000</v>
      </c>
      <c r="BE30" s="28">
        <v>4974000</v>
      </c>
      <c r="BF30" s="27">
        <v>4771000</v>
      </c>
      <c r="BG30" s="28">
        <v>4974000</v>
      </c>
      <c r="BH30" s="27">
        <v>4771000</v>
      </c>
      <c r="BI30" s="28">
        <v>4974000</v>
      </c>
      <c r="BJ30" s="27">
        <v>4762000</v>
      </c>
      <c r="BK30" s="28">
        <v>4965000</v>
      </c>
      <c r="BL30" s="27">
        <v>4824000</v>
      </c>
      <c r="BM30" s="28">
        <v>5027000</v>
      </c>
      <c r="BN30" s="27">
        <v>4824000</v>
      </c>
      <c r="BO30" s="28">
        <v>5027000</v>
      </c>
      <c r="BP30" s="27">
        <v>4811000</v>
      </c>
      <c r="BQ30" s="28">
        <v>5014000</v>
      </c>
      <c r="BR30" s="27">
        <v>4771000</v>
      </c>
      <c r="BS30" s="28">
        <v>4974000</v>
      </c>
      <c r="BT30" s="27">
        <v>4758000</v>
      </c>
      <c r="BU30" s="28">
        <v>4961000</v>
      </c>
      <c r="BV30" s="27">
        <v>4758000</v>
      </c>
      <c r="BW30" s="28">
        <v>4961000</v>
      </c>
      <c r="BX30" s="27">
        <v>4758000</v>
      </c>
      <c r="BY30" s="28">
        <v>4961000</v>
      </c>
      <c r="BZ30" s="27">
        <v>4735000</v>
      </c>
      <c r="CA30" s="28">
        <v>4938000</v>
      </c>
      <c r="CB30" s="27">
        <v>4672000</v>
      </c>
      <c r="CC30" s="28">
        <v>4875000</v>
      </c>
      <c r="CD30" s="27">
        <v>4672000</v>
      </c>
      <c r="CE30" s="28">
        <v>4875000</v>
      </c>
      <c r="CF30" s="27">
        <v>4735000</v>
      </c>
      <c r="CG30" s="28">
        <v>4938000</v>
      </c>
      <c r="CH30" s="27">
        <v>5111000</v>
      </c>
      <c r="CI30" s="28">
        <v>5314000</v>
      </c>
    </row>
    <row r="31" spans="1:87">
      <c r="A31" s="43"/>
      <c r="B31" s="25" t="s">
        <v>78</v>
      </c>
      <c r="C31" s="26">
        <v>620</v>
      </c>
      <c r="D31" s="26">
        <v>600</v>
      </c>
      <c r="E31" s="26">
        <v>1050</v>
      </c>
      <c r="F31" s="27">
        <v>5905000</v>
      </c>
      <c r="G31" s="28">
        <v>6141000</v>
      </c>
      <c r="H31" s="42">
        <v>5336000</v>
      </c>
      <c r="I31" s="28">
        <v>5572000</v>
      </c>
      <c r="J31" s="42">
        <v>6471000</v>
      </c>
      <c r="K31" s="28">
        <v>6707000</v>
      </c>
      <c r="L31" s="42">
        <v>5957000</v>
      </c>
      <c r="M31" s="28">
        <v>6193000</v>
      </c>
      <c r="N31" s="42">
        <v>7358000</v>
      </c>
      <c r="O31" s="28">
        <v>7594000</v>
      </c>
      <c r="P31" s="27">
        <v>5278000</v>
      </c>
      <c r="Q31" s="28">
        <v>5514000</v>
      </c>
      <c r="R31" s="27">
        <v>6175000</v>
      </c>
      <c r="S31" s="28">
        <v>6411000</v>
      </c>
      <c r="T31" s="29"/>
      <c r="U31" s="30"/>
      <c r="V31" s="27">
        <v>4796000</v>
      </c>
      <c r="W31" s="28">
        <v>5032000</v>
      </c>
      <c r="X31" s="27">
        <v>4691000</v>
      </c>
      <c r="Y31" s="28">
        <v>4927000</v>
      </c>
      <c r="Z31" s="27">
        <v>4927000</v>
      </c>
      <c r="AA31" s="28">
        <v>5163000</v>
      </c>
      <c r="AB31" s="27">
        <v>4980000</v>
      </c>
      <c r="AC31" s="28">
        <v>5216000</v>
      </c>
      <c r="AD31" s="27">
        <v>5000000</v>
      </c>
      <c r="AE31" s="28">
        <v>5236000</v>
      </c>
      <c r="AF31" s="27">
        <v>5095000</v>
      </c>
      <c r="AG31" s="28">
        <v>5331000</v>
      </c>
      <c r="AH31" s="27">
        <v>5095000</v>
      </c>
      <c r="AI31" s="28">
        <v>5331000</v>
      </c>
      <c r="AJ31" s="27">
        <v>4975000</v>
      </c>
      <c r="AK31" s="28">
        <v>5211000</v>
      </c>
      <c r="AL31" s="27">
        <v>5155000</v>
      </c>
      <c r="AM31" s="28">
        <v>5391000</v>
      </c>
      <c r="AN31" s="27">
        <v>4807000</v>
      </c>
      <c r="AO31" s="28">
        <v>5043000</v>
      </c>
      <c r="AP31" s="27">
        <v>5091000</v>
      </c>
      <c r="AQ31" s="28">
        <v>5327000</v>
      </c>
      <c r="AR31" s="27">
        <v>5163000</v>
      </c>
      <c r="AS31" s="28">
        <v>5399000</v>
      </c>
      <c r="AT31" s="27">
        <v>5091000</v>
      </c>
      <c r="AU31" s="28">
        <v>5327000</v>
      </c>
      <c r="AV31" s="27">
        <v>5114000</v>
      </c>
      <c r="AW31" s="28">
        <v>5350000</v>
      </c>
      <c r="AX31" s="27">
        <v>5096000</v>
      </c>
      <c r="AY31" s="28">
        <v>5332000</v>
      </c>
      <c r="AZ31" s="27">
        <v>5137000</v>
      </c>
      <c r="BA31" s="28">
        <v>5373000</v>
      </c>
      <c r="BB31" s="27">
        <v>4870000</v>
      </c>
      <c r="BC31" s="28">
        <v>5106000</v>
      </c>
      <c r="BD31" s="27">
        <v>4870000</v>
      </c>
      <c r="BE31" s="28">
        <v>5106000</v>
      </c>
      <c r="BF31" s="27">
        <v>4870000</v>
      </c>
      <c r="BG31" s="28">
        <v>5106000</v>
      </c>
      <c r="BH31" s="27">
        <v>4870000</v>
      </c>
      <c r="BI31" s="28">
        <v>5106000</v>
      </c>
      <c r="BJ31" s="27">
        <v>4866000</v>
      </c>
      <c r="BK31" s="28">
        <v>5102000</v>
      </c>
      <c r="BL31" s="27">
        <v>4897000</v>
      </c>
      <c r="BM31" s="28">
        <v>5133000</v>
      </c>
      <c r="BN31" s="27">
        <v>4897000</v>
      </c>
      <c r="BO31" s="28">
        <v>5133000</v>
      </c>
      <c r="BP31" s="27">
        <v>4890000</v>
      </c>
      <c r="BQ31" s="28">
        <v>5126000</v>
      </c>
      <c r="BR31" s="27">
        <v>4870000</v>
      </c>
      <c r="BS31" s="28">
        <v>5106000</v>
      </c>
      <c r="BT31" s="27">
        <v>4864000</v>
      </c>
      <c r="BU31" s="28">
        <v>5100000</v>
      </c>
      <c r="BV31" s="27">
        <v>4864000</v>
      </c>
      <c r="BW31" s="28">
        <v>5100000</v>
      </c>
      <c r="BX31" s="27">
        <v>4864000</v>
      </c>
      <c r="BY31" s="28">
        <v>5100000</v>
      </c>
      <c r="BZ31" s="27">
        <v>4852000</v>
      </c>
      <c r="CA31" s="28">
        <v>5088000</v>
      </c>
      <c r="CB31" s="27">
        <v>4821000</v>
      </c>
      <c r="CC31" s="28">
        <v>5057000</v>
      </c>
      <c r="CD31" s="27">
        <v>4821000</v>
      </c>
      <c r="CE31" s="28">
        <v>5057000</v>
      </c>
      <c r="CF31" s="27">
        <v>4852000</v>
      </c>
      <c r="CG31" s="28">
        <v>5088000</v>
      </c>
      <c r="CH31" s="27">
        <v>5040000</v>
      </c>
      <c r="CI31" s="28">
        <v>5276000</v>
      </c>
    </row>
    <row r="32" spans="1:87" ht="63" customHeight="1">
      <c r="A32" s="44" t="e">
        <f ca="1">_xludf.image("https://lh3.google.com/u/0/d/1A5WC7S6r4bLIuHZfNwp9nSlP95agY6so",1)</f>
        <v>#NAME?</v>
      </c>
      <c r="B32" s="45" t="s">
        <v>79</v>
      </c>
      <c r="C32" s="142"/>
      <c r="D32" s="136"/>
      <c r="E32" s="137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7" t="s">
        <v>80</v>
      </c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46"/>
      <c r="BC32" s="46"/>
      <c r="BD32" s="46"/>
      <c r="BE32" s="46"/>
      <c r="BF32" s="46"/>
      <c r="BG32" s="46"/>
      <c r="BH32" s="46"/>
      <c r="BI32" s="46"/>
      <c r="BJ32" s="46"/>
      <c r="BK32" s="46"/>
      <c r="BL32" s="46"/>
      <c r="BM32" s="46"/>
      <c r="BN32" s="46"/>
      <c r="BO32" s="46"/>
      <c r="BP32" s="46"/>
      <c r="BQ32" s="46"/>
      <c r="BR32" s="46"/>
      <c r="BS32" s="46"/>
      <c r="BT32" s="46"/>
      <c r="BU32" s="46"/>
      <c r="BV32" s="46"/>
      <c r="BW32" s="46"/>
      <c r="BX32" s="46"/>
      <c r="BY32" s="46"/>
      <c r="BZ32" s="46"/>
      <c r="CA32" s="46"/>
      <c r="CB32" s="46"/>
      <c r="CC32" s="46"/>
      <c r="CD32" s="46"/>
      <c r="CE32" s="46"/>
      <c r="CF32" s="46"/>
      <c r="CG32" s="46"/>
      <c r="CH32" s="46"/>
      <c r="CI32" s="46"/>
    </row>
    <row r="33" spans="1:87" ht="12.75">
      <c r="A33" s="20"/>
      <c r="B33" s="138" t="s">
        <v>81</v>
      </c>
      <c r="C33" s="136"/>
      <c r="D33" s="136"/>
      <c r="E33" s="137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</row>
    <row r="34" spans="1:87">
      <c r="A34" s="43"/>
      <c r="B34" s="25" t="s">
        <v>82</v>
      </c>
      <c r="C34" s="26">
        <v>620</v>
      </c>
      <c r="D34" s="26">
        <v>740</v>
      </c>
      <c r="E34" s="26">
        <v>300</v>
      </c>
      <c r="F34" s="27">
        <v>11258000</v>
      </c>
      <c r="G34" s="30"/>
      <c r="H34" s="42">
        <v>10790000</v>
      </c>
      <c r="I34" s="30"/>
      <c r="J34" s="29"/>
      <c r="K34" s="30"/>
      <c r="L34" s="42">
        <v>11301000</v>
      </c>
      <c r="M34" s="30"/>
      <c r="N34" s="42">
        <v>12452000</v>
      </c>
      <c r="O34" s="30"/>
      <c r="P34" s="42">
        <v>10531000</v>
      </c>
      <c r="Q34" s="30"/>
      <c r="R34" s="29"/>
      <c r="S34" s="30"/>
      <c r="T34" s="29"/>
      <c r="U34" s="30"/>
      <c r="V34" s="42">
        <v>10375000</v>
      </c>
      <c r="W34" s="30"/>
      <c r="X34" s="42">
        <v>10289000</v>
      </c>
      <c r="Y34" s="30"/>
      <c r="Z34" s="42">
        <v>10520000</v>
      </c>
      <c r="AA34" s="30"/>
      <c r="AB34" s="42">
        <v>10580000</v>
      </c>
      <c r="AC34" s="30"/>
      <c r="AD34" s="42">
        <v>10622000</v>
      </c>
      <c r="AE34" s="30"/>
      <c r="AF34" s="42">
        <v>10721000</v>
      </c>
      <c r="AG34" s="30"/>
      <c r="AH34" s="42">
        <v>10721000</v>
      </c>
      <c r="AI34" s="30"/>
      <c r="AJ34" s="42">
        <v>10565000</v>
      </c>
      <c r="AK34" s="30"/>
      <c r="AL34" s="42">
        <v>10720000</v>
      </c>
      <c r="AM34" s="30"/>
      <c r="AN34" s="42">
        <v>10420000</v>
      </c>
      <c r="AO34" s="30"/>
      <c r="AP34" s="42">
        <v>10675000</v>
      </c>
      <c r="AQ34" s="30"/>
      <c r="AR34" s="42">
        <v>10734000</v>
      </c>
      <c r="AS34" s="30"/>
      <c r="AT34" s="42">
        <v>10675000</v>
      </c>
      <c r="AU34" s="30"/>
      <c r="AV34" s="42">
        <v>10688000</v>
      </c>
      <c r="AW34" s="30"/>
      <c r="AX34" s="42">
        <v>10673000</v>
      </c>
      <c r="AY34" s="30"/>
      <c r="AZ34" s="42">
        <v>10706000</v>
      </c>
      <c r="BA34" s="30"/>
      <c r="BB34" s="42">
        <v>10440000</v>
      </c>
      <c r="BC34" s="30"/>
      <c r="BD34" s="42">
        <v>10440000</v>
      </c>
      <c r="BE34" s="30"/>
      <c r="BF34" s="42">
        <v>10440000</v>
      </c>
      <c r="BG34" s="30"/>
      <c r="BH34" s="42">
        <v>10440000</v>
      </c>
      <c r="BI34" s="30"/>
      <c r="BJ34" s="42">
        <v>10436000</v>
      </c>
      <c r="BK34" s="30"/>
      <c r="BL34" s="42">
        <v>10461000</v>
      </c>
      <c r="BM34" s="30"/>
      <c r="BN34" s="42">
        <v>10461000</v>
      </c>
      <c r="BO34" s="30"/>
      <c r="BP34" s="42">
        <v>10456000</v>
      </c>
      <c r="BQ34" s="30"/>
      <c r="BR34" s="42">
        <v>10440000</v>
      </c>
      <c r="BS34" s="30"/>
      <c r="BT34" s="42">
        <v>10434000</v>
      </c>
      <c r="BU34" s="30"/>
      <c r="BV34" s="42">
        <v>10434000</v>
      </c>
      <c r="BW34" s="30"/>
      <c r="BX34" s="42">
        <v>10434000</v>
      </c>
      <c r="BY34" s="30"/>
      <c r="BZ34" s="42">
        <v>10509000</v>
      </c>
      <c r="CA34" s="30"/>
      <c r="CB34" s="42">
        <v>10483000</v>
      </c>
      <c r="CC34" s="30"/>
      <c r="CD34" s="42">
        <v>10483000</v>
      </c>
      <c r="CE34" s="30"/>
      <c r="CF34" s="42">
        <v>10509000</v>
      </c>
      <c r="CG34" s="30"/>
      <c r="CH34" s="42">
        <v>10642000</v>
      </c>
      <c r="CI34" s="30"/>
    </row>
    <row r="35" spans="1:87">
      <c r="A35" s="43"/>
      <c r="B35" s="25" t="s">
        <v>83</v>
      </c>
      <c r="C35" s="26">
        <v>620</v>
      </c>
      <c r="D35" s="26">
        <v>740</v>
      </c>
      <c r="E35" s="26">
        <v>450</v>
      </c>
      <c r="F35" s="27">
        <v>12297000</v>
      </c>
      <c r="G35" s="30"/>
      <c r="H35" s="42">
        <v>11595000</v>
      </c>
      <c r="I35" s="30"/>
      <c r="J35" s="29"/>
      <c r="K35" s="30"/>
      <c r="L35" s="42">
        <v>12361000</v>
      </c>
      <c r="M35" s="30"/>
      <c r="N35" s="42">
        <v>14089000</v>
      </c>
      <c r="O35" s="30"/>
      <c r="P35" s="42">
        <v>11178000</v>
      </c>
      <c r="Q35" s="30"/>
      <c r="R35" s="29"/>
      <c r="S35" s="30"/>
      <c r="T35" s="29"/>
      <c r="U35" s="30"/>
      <c r="V35" s="42">
        <v>10963000</v>
      </c>
      <c r="W35" s="30"/>
      <c r="X35" s="42">
        <v>10834000</v>
      </c>
      <c r="Y35" s="30"/>
      <c r="Z35" s="42">
        <v>11168000</v>
      </c>
      <c r="AA35" s="30"/>
      <c r="AB35" s="42">
        <v>11252000</v>
      </c>
      <c r="AC35" s="30"/>
      <c r="AD35" s="42">
        <v>11306000</v>
      </c>
      <c r="AE35" s="30"/>
      <c r="AF35" s="42">
        <v>11448000</v>
      </c>
      <c r="AG35" s="30"/>
      <c r="AH35" s="42">
        <v>11448000</v>
      </c>
      <c r="AI35" s="30"/>
      <c r="AJ35" s="42">
        <v>11234000</v>
      </c>
      <c r="AK35" s="30"/>
      <c r="AL35" s="42">
        <v>11463000</v>
      </c>
      <c r="AM35" s="30"/>
      <c r="AN35" s="42">
        <v>11018000</v>
      </c>
      <c r="AO35" s="30"/>
      <c r="AP35" s="42">
        <v>11393000</v>
      </c>
      <c r="AQ35" s="30"/>
      <c r="AR35" s="42">
        <v>11482000</v>
      </c>
      <c r="AS35" s="30"/>
      <c r="AT35" s="42">
        <v>11393000</v>
      </c>
      <c r="AU35" s="30"/>
      <c r="AV35" s="42">
        <v>11414000</v>
      </c>
      <c r="AW35" s="30"/>
      <c r="AX35" s="42">
        <v>11392000</v>
      </c>
      <c r="AY35" s="30"/>
      <c r="AZ35" s="42">
        <v>11442000</v>
      </c>
      <c r="BA35" s="30"/>
      <c r="BB35" s="42">
        <v>11059000</v>
      </c>
      <c r="BC35" s="30"/>
      <c r="BD35" s="42">
        <v>11059000</v>
      </c>
      <c r="BE35" s="30"/>
      <c r="BF35" s="42">
        <v>11059000</v>
      </c>
      <c r="BG35" s="30"/>
      <c r="BH35" s="42">
        <v>11059000</v>
      </c>
      <c r="BI35" s="30"/>
      <c r="BJ35" s="42">
        <v>11052000</v>
      </c>
      <c r="BK35" s="30"/>
      <c r="BL35" s="42">
        <v>11091000</v>
      </c>
      <c r="BM35" s="30"/>
      <c r="BN35" s="42">
        <v>11091000</v>
      </c>
      <c r="BO35" s="30"/>
      <c r="BP35" s="42">
        <v>11083000</v>
      </c>
      <c r="BQ35" s="30"/>
      <c r="BR35" s="42">
        <v>11059000</v>
      </c>
      <c r="BS35" s="30"/>
      <c r="BT35" s="42">
        <v>11050000</v>
      </c>
      <c r="BU35" s="30"/>
      <c r="BV35" s="42">
        <v>11050000</v>
      </c>
      <c r="BW35" s="30"/>
      <c r="BX35" s="42">
        <v>11050000</v>
      </c>
      <c r="BY35" s="30"/>
      <c r="BZ35" s="42">
        <v>11134000</v>
      </c>
      <c r="CA35" s="30"/>
      <c r="CB35" s="42">
        <v>11095000</v>
      </c>
      <c r="CC35" s="30"/>
      <c r="CD35" s="42">
        <v>11095000</v>
      </c>
      <c r="CE35" s="30"/>
      <c r="CF35" s="42">
        <v>11134000</v>
      </c>
      <c r="CG35" s="30"/>
      <c r="CH35" s="42">
        <v>11340000</v>
      </c>
      <c r="CI35" s="30"/>
    </row>
    <row r="36" spans="1:87">
      <c r="A36" s="43"/>
      <c r="B36" s="25" t="s">
        <v>84</v>
      </c>
      <c r="C36" s="26">
        <v>620</v>
      </c>
      <c r="D36" s="26">
        <v>740</v>
      </c>
      <c r="E36" s="26">
        <v>600</v>
      </c>
      <c r="F36" s="27">
        <v>13362000</v>
      </c>
      <c r="G36" s="30"/>
      <c r="H36" s="42">
        <v>12427000</v>
      </c>
      <c r="I36" s="30"/>
      <c r="J36" s="29"/>
      <c r="K36" s="30"/>
      <c r="L36" s="42">
        <v>13448000</v>
      </c>
      <c r="M36" s="30"/>
      <c r="N36" s="42">
        <v>15751000</v>
      </c>
      <c r="O36" s="30"/>
      <c r="P36" s="42">
        <v>11852000</v>
      </c>
      <c r="Q36" s="30"/>
      <c r="R36" s="29"/>
      <c r="S36" s="30"/>
      <c r="T36" s="29"/>
      <c r="U36" s="30"/>
      <c r="V36" s="42">
        <v>11577000</v>
      </c>
      <c r="W36" s="30"/>
      <c r="X36" s="42">
        <v>11404000</v>
      </c>
      <c r="Y36" s="30"/>
      <c r="Z36" s="42">
        <v>11841000</v>
      </c>
      <c r="AA36" s="30"/>
      <c r="AB36" s="42">
        <v>11950000</v>
      </c>
      <c r="AC36" s="30"/>
      <c r="AD36" s="42">
        <v>12016000</v>
      </c>
      <c r="AE36" s="30"/>
      <c r="AF36" s="42">
        <v>12200000</v>
      </c>
      <c r="AG36" s="30"/>
      <c r="AH36" s="42">
        <v>12200000</v>
      </c>
      <c r="AI36" s="30"/>
      <c r="AJ36" s="42">
        <v>11928000</v>
      </c>
      <c r="AK36" s="30"/>
      <c r="AL36" s="42">
        <v>12232000</v>
      </c>
      <c r="AM36" s="30"/>
      <c r="AN36" s="42">
        <v>11642000</v>
      </c>
      <c r="AO36" s="30"/>
      <c r="AP36" s="42">
        <v>12137000</v>
      </c>
      <c r="AQ36" s="30"/>
      <c r="AR36" s="42">
        <v>12255000</v>
      </c>
      <c r="AS36" s="30"/>
      <c r="AT36" s="42">
        <v>12137000</v>
      </c>
      <c r="AU36" s="30"/>
      <c r="AV36" s="42">
        <v>12167000</v>
      </c>
      <c r="AW36" s="30"/>
      <c r="AX36" s="42">
        <v>12137000</v>
      </c>
      <c r="AY36" s="30"/>
      <c r="AZ36" s="42">
        <v>12204000</v>
      </c>
      <c r="BA36" s="30"/>
      <c r="BB36" s="42">
        <v>11703000</v>
      </c>
      <c r="BC36" s="30"/>
      <c r="BD36" s="42">
        <v>11703000</v>
      </c>
      <c r="BE36" s="30"/>
      <c r="BF36" s="42">
        <v>11703000</v>
      </c>
      <c r="BG36" s="30"/>
      <c r="BH36" s="42">
        <v>11703000</v>
      </c>
      <c r="BI36" s="30"/>
      <c r="BJ36" s="42">
        <v>11695000</v>
      </c>
      <c r="BK36" s="30"/>
      <c r="BL36" s="42">
        <v>11746000</v>
      </c>
      <c r="BM36" s="30"/>
      <c r="BN36" s="42">
        <v>11746000</v>
      </c>
      <c r="BO36" s="30"/>
      <c r="BP36" s="42">
        <v>11736000</v>
      </c>
      <c r="BQ36" s="30"/>
      <c r="BR36" s="42">
        <v>11703000</v>
      </c>
      <c r="BS36" s="30"/>
      <c r="BT36" s="42">
        <v>11693000</v>
      </c>
      <c r="BU36" s="30"/>
      <c r="BV36" s="42">
        <v>11693000</v>
      </c>
      <c r="BW36" s="30"/>
      <c r="BX36" s="42">
        <v>11693000</v>
      </c>
      <c r="BY36" s="30"/>
      <c r="BZ36" s="42">
        <v>11784000</v>
      </c>
      <c r="CA36" s="30"/>
      <c r="CB36" s="42">
        <v>11733000</v>
      </c>
      <c r="CC36" s="30"/>
      <c r="CD36" s="42">
        <v>11733000</v>
      </c>
      <c r="CE36" s="30"/>
      <c r="CF36" s="42">
        <v>11784000</v>
      </c>
      <c r="CG36" s="30"/>
      <c r="CH36" s="42">
        <v>12064000</v>
      </c>
      <c r="CI36" s="30"/>
    </row>
    <row r="37" spans="1:87">
      <c r="A37" s="43"/>
      <c r="B37" s="25" t="s">
        <v>85</v>
      </c>
      <c r="C37" s="26">
        <v>620</v>
      </c>
      <c r="D37" s="26">
        <v>740</v>
      </c>
      <c r="E37" s="26">
        <v>900</v>
      </c>
      <c r="F37" s="27">
        <v>15458000</v>
      </c>
      <c r="G37" s="30"/>
      <c r="H37" s="42">
        <v>14054000</v>
      </c>
      <c r="I37" s="30"/>
      <c r="J37" s="29"/>
      <c r="K37" s="30"/>
      <c r="L37" s="42">
        <v>15586000</v>
      </c>
      <c r="M37" s="30"/>
      <c r="N37" s="42">
        <v>19041000</v>
      </c>
      <c r="O37" s="30"/>
      <c r="P37" s="42">
        <v>13163000</v>
      </c>
      <c r="Q37" s="30"/>
      <c r="R37" s="29"/>
      <c r="S37" s="30"/>
      <c r="T37" s="29"/>
      <c r="U37" s="30"/>
      <c r="V37" s="42">
        <v>12769000</v>
      </c>
      <c r="W37" s="30"/>
      <c r="X37" s="42">
        <v>12510000</v>
      </c>
      <c r="Y37" s="30"/>
      <c r="Z37" s="42">
        <v>13153000</v>
      </c>
      <c r="AA37" s="30"/>
      <c r="AB37" s="42">
        <v>13310000</v>
      </c>
      <c r="AC37" s="30"/>
      <c r="AD37" s="42">
        <v>13400000</v>
      </c>
      <c r="AE37" s="30"/>
      <c r="AF37" s="42">
        <v>13670000</v>
      </c>
      <c r="AG37" s="30"/>
      <c r="AH37" s="42">
        <v>13670000</v>
      </c>
      <c r="AI37" s="30"/>
      <c r="AJ37" s="42">
        <v>13281000</v>
      </c>
      <c r="AK37" s="30"/>
      <c r="AL37" s="42">
        <v>13735000</v>
      </c>
      <c r="AM37" s="30"/>
      <c r="AN37" s="42">
        <v>12855000</v>
      </c>
      <c r="AO37" s="30"/>
      <c r="AP37" s="42">
        <v>13590000</v>
      </c>
      <c r="AQ37" s="30"/>
      <c r="AR37" s="42">
        <v>13767000</v>
      </c>
      <c r="AS37" s="30"/>
      <c r="AT37" s="42">
        <v>13590000</v>
      </c>
      <c r="AU37" s="30"/>
      <c r="AV37" s="42">
        <v>13637000</v>
      </c>
      <c r="AW37" s="30"/>
      <c r="AX37" s="42">
        <v>13592000</v>
      </c>
      <c r="AY37" s="30"/>
      <c r="AZ37" s="42">
        <v>13693000</v>
      </c>
      <c r="BA37" s="30"/>
      <c r="BB37" s="42">
        <v>12958000</v>
      </c>
      <c r="BC37" s="30"/>
      <c r="BD37" s="42">
        <v>12958000</v>
      </c>
      <c r="BE37" s="30"/>
      <c r="BF37" s="42">
        <v>12958000</v>
      </c>
      <c r="BG37" s="30"/>
      <c r="BH37" s="42">
        <v>12958000</v>
      </c>
      <c r="BI37" s="30"/>
      <c r="BJ37" s="42">
        <v>12946000</v>
      </c>
      <c r="BK37" s="30"/>
      <c r="BL37" s="42">
        <v>13023000</v>
      </c>
      <c r="BM37" s="30"/>
      <c r="BN37" s="42">
        <v>13023000</v>
      </c>
      <c r="BO37" s="30"/>
      <c r="BP37" s="42">
        <v>13006000</v>
      </c>
      <c r="BQ37" s="30"/>
      <c r="BR37" s="42">
        <v>12958000</v>
      </c>
      <c r="BS37" s="30"/>
      <c r="BT37" s="42">
        <v>12942000</v>
      </c>
      <c r="BU37" s="30"/>
      <c r="BV37" s="42">
        <v>12942000</v>
      </c>
      <c r="BW37" s="30"/>
      <c r="BX37" s="42">
        <v>12942000</v>
      </c>
      <c r="BY37" s="30"/>
      <c r="BZ37" s="42">
        <v>13051000</v>
      </c>
      <c r="CA37" s="30"/>
      <c r="CB37" s="42">
        <v>12973000</v>
      </c>
      <c r="CC37" s="30"/>
      <c r="CD37" s="42">
        <v>12973000</v>
      </c>
      <c r="CE37" s="30"/>
      <c r="CF37" s="42">
        <v>13051000</v>
      </c>
      <c r="CG37" s="30"/>
      <c r="CH37" s="42">
        <v>13478000</v>
      </c>
      <c r="CI37" s="30"/>
    </row>
    <row r="38" spans="1:87" ht="63" customHeight="1">
      <c r="A38" s="44" t="e">
        <f ca="1">_xludf.image("https://lh3.google.com/u/0/d/1h9dkY1U9jfWB7JXUm7PpXHW0K3jxEheb",1)</f>
        <v>#NAME?</v>
      </c>
      <c r="B38" s="45" t="s">
        <v>86</v>
      </c>
      <c r="C38" s="141"/>
      <c r="D38" s="136"/>
      <c r="E38" s="137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7" t="s">
        <v>87</v>
      </c>
      <c r="Q38" s="46"/>
      <c r="R38" s="47" t="s">
        <v>87</v>
      </c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46"/>
      <c r="AI38" s="46"/>
      <c r="AJ38" s="46"/>
      <c r="AK38" s="46"/>
      <c r="AL38" s="46"/>
      <c r="AM38" s="46"/>
      <c r="AN38" s="46"/>
      <c r="AO38" s="46"/>
      <c r="AP38" s="46"/>
      <c r="AQ38" s="46"/>
      <c r="AR38" s="46"/>
      <c r="AS38" s="46"/>
      <c r="AT38" s="46"/>
      <c r="AU38" s="46"/>
      <c r="AV38" s="46"/>
      <c r="AW38" s="46"/>
      <c r="AX38" s="46"/>
      <c r="AY38" s="46"/>
      <c r="AZ38" s="46"/>
      <c r="BA38" s="46"/>
      <c r="BB38" s="46"/>
      <c r="BC38" s="46"/>
      <c r="BD38" s="46"/>
      <c r="BE38" s="46"/>
      <c r="BF38" s="46"/>
      <c r="BG38" s="46"/>
      <c r="BH38" s="46"/>
      <c r="BI38" s="46"/>
      <c r="BJ38" s="46"/>
      <c r="BK38" s="46"/>
      <c r="BL38" s="46"/>
      <c r="BM38" s="46"/>
      <c r="BN38" s="46"/>
      <c r="BO38" s="46"/>
      <c r="BP38" s="46"/>
      <c r="BQ38" s="46"/>
      <c r="BR38" s="46"/>
      <c r="BS38" s="46"/>
      <c r="BT38" s="46"/>
      <c r="BU38" s="46"/>
      <c r="BV38" s="46"/>
      <c r="BW38" s="46"/>
      <c r="BX38" s="46"/>
      <c r="BY38" s="46"/>
      <c r="BZ38" s="46"/>
      <c r="CA38" s="46"/>
      <c r="CB38" s="46"/>
      <c r="CC38" s="46"/>
      <c r="CD38" s="46"/>
      <c r="CE38" s="46"/>
      <c r="CF38" s="46"/>
      <c r="CG38" s="46"/>
      <c r="CH38" s="46"/>
      <c r="CI38" s="46"/>
    </row>
    <row r="39" spans="1:87" ht="12.75">
      <c r="A39" s="20"/>
      <c r="B39" s="138" t="s">
        <v>81</v>
      </c>
      <c r="C39" s="136"/>
      <c r="D39" s="136"/>
      <c r="E39" s="137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</row>
    <row r="40" spans="1:87">
      <c r="A40" s="43"/>
      <c r="B40" s="25" t="s">
        <v>88</v>
      </c>
      <c r="C40" s="26">
        <v>620</v>
      </c>
      <c r="D40" s="26">
        <v>740</v>
      </c>
      <c r="E40" s="26">
        <v>300</v>
      </c>
      <c r="F40" s="27">
        <v>10605000</v>
      </c>
      <c r="G40" s="48">
        <v>10754000</v>
      </c>
      <c r="H40" s="42">
        <v>10137000</v>
      </c>
      <c r="I40" s="48">
        <v>10286000</v>
      </c>
      <c r="J40" s="29"/>
      <c r="K40" s="30"/>
      <c r="L40" s="42">
        <v>10648000</v>
      </c>
      <c r="M40" s="48">
        <v>10797000</v>
      </c>
      <c r="N40" s="29"/>
      <c r="O40" s="30"/>
      <c r="P40" s="42">
        <v>10138000</v>
      </c>
      <c r="Q40" s="48">
        <v>10287000</v>
      </c>
      <c r="R40" s="42">
        <v>10358000</v>
      </c>
      <c r="S40" s="48">
        <v>10507000</v>
      </c>
      <c r="T40" s="29"/>
      <c r="U40" s="30"/>
      <c r="V40" s="42">
        <v>9714000</v>
      </c>
      <c r="W40" s="48">
        <v>9863000</v>
      </c>
      <c r="X40" s="42">
        <v>9628000</v>
      </c>
      <c r="Y40" s="48">
        <v>9777000</v>
      </c>
      <c r="Z40" s="42">
        <v>9849000</v>
      </c>
      <c r="AA40" s="48">
        <v>9998000</v>
      </c>
      <c r="AB40" s="42">
        <v>9904000</v>
      </c>
      <c r="AC40" s="48">
        <v>10053000</v>
      </c>
      <c r="AD40" s="42">
        <v>9939000</v>
      </c>
      <c r="AE40" s="48">
        <v>10088000</v>
      </c>
      <c r="AF40" s="42">
        <v>10032000</v>
      </c>
      <c r="AG40" s="48">
        <v>10181000</v>
      </c>
      <c r="AH40" s="42">
        <v>10032000</v>
      </c>
      <c r="AI40" s="48">
        <v>10181000</v>
      </c>
      <c r="AJ40" s="42">
        <v>9892000</v>
      </c>
      <c r="AK40" s="48">
        <v>10041000</v>
      </c>
      <c r="AL40" s="42">
        <v>10045000</v>
      </c>
      <c r="AM40" s="48">
        <v>10194000</v>
      </c>
      <c r="AN40" s="42">
        <v>9749000</v>
      </c>
      <c r="AO40" s="48">
        <v>9898000</v>
      </c>
      <c r="AP40" s="42">
        <v>9998000</v>
      </c>
      <c r="AQ40" s="48">
        <v>10147000</v>
      </c>
      <c r="AR40" s="42">
        <v>10057000</v>
      </c>
      <c r="AS40" s="48">
        <v>10206000</v>
      </c>
      <c r="AT40" s="42">
        <v>9998000</v>
      </c>
      <c r="AU40" s="48">
        <v>10147000</v>
      </c>
      <c r="AV40" s="42">
        <v>10012000</v>
      </c>
      <c r="AW40" s="48">
        <v>10161000</v>
      </c>
      <c r="AX40" s="42">
        <v>9997000</v>
      </c>
      <c r="AY40" s="48">
        <v>10146000</v>
      </c>
      <c r="AZ40" s="42">
        <v>10031000</v>
      </c>
      <c r="BA40" s="48">
        <v>10180000</v>
      </c>
      <c r="BB40" s="42">
        <v>9778000</v>
      </c>
      <c r="BC40" s="48">
        <v>9927000</v>
      </c>
      <c r="BD40" s="42">
        <v>9778000</v>
      </c>
      <c r="BE40" s="48">
        <v>9927000</v>
      </c>
      <c r="BF40" s="42">
        <v>9778000</v>
      </c>
      <c r="BG40" s="48">
        <v>9927000</v>
      </c>
      <c r="BH40" s="42">
        <v>9778000</v>
      </c>
      <c r="BI40" s="48">
        <v>9927000</v>
      </c>
      <c r="BJ40" s="42">
        <v>9774000</v>
      </c>
      <c r="BK40" s="48">
        <v>9923000</v>
      </c>
      <c r="BL40" s="42">
        <v>9799000</v>
      </c>
      <c r="BM40" s="48">
        <v>9948000</v>
      </c>
      <c r="BN40" s="42">
        <v>9799000</v>
      </c>
      <c r="BO40" s="48">
        <v>9948000</v>
      </c>
      <c r="BP40" s="42">
        <v>9794000</v>
      </c>
      <c r="BQ40" s="48">
        <v>9943000</v>
      </c>
      <c r="BR40" s="42">
        <v>9778000</v>
      </c>
      <c r="BS40" s="48">
        <v>9927000</v>
      </c>
      <c r="BT40" s="42">
        <v>9772000</v>
      </c>
      <c r="BU40" s="48">
        <v>9921000</v>
      </c>
      <c r="BV40" s="42">
        <v>9772000</v>
      </c>
      <c r="BW40" s="48">
        <v>9921000</v>
      </c>
      <c r="BX40" s="42">
        <v>9772000</v>
      </c>
      <c r="BY40" s="48">
        <v>9921000</v>
      </c>
      <c r="BZ40" s="42">
        <v>9824000</v>
      </c>
      <c r="CA40" s="48">
        <v>9973000</v>
      </c>
      <c r="CB40" s="42">
        <v>9798000</v>
      </c>
      <c r="CC40" s="48">
        <v>9947000</v>
      </c>
      <c r="CD40" s="42">
        <v>9798000</v>
      </c>
      <c r="CE40" s="48">
        <v>9947000</v>
      </c>
      <c r="CF40" s="42">
        <v>9824000</v>
      </c>
      <c r="CG40" s="48">
        <v>9973000</v>
      </c>
      <c r="CH40" s="42">
        <v>9962000</v>
      </c>
      <c r="CI40" s="48">
        <v>10111000</v>
      </c>
    </row>
    <row r="41" spans="1:87">
      <c r="A41" s="43"/>
      <c r="B41" s="25" t="s">
        <v>89</v>
      </c>
      <c r="C41" s="26">
        <v>620</v>
      </c>
      <c r="D41" s="26">
        <v>740</v>
      </c>
      <c r="E41" s="26">
        <v>450</v>
      </c>
      <c r="F41" s="27">
        <v>11611000</v>
      </c>
      <c r="G41" s="48">
        <v>11835000</v>
      </c>
      <c r="H41" s="42">
        <v>10909000</v>
      </c>
      <c r="I41" s="48">
        <v>11133000</v>
      </c>
      <c r="J41" s="29"/>
      <c r="K41" s="30"/>
      <c r="L41" s="42">
        <v>11675000</v>
      </c>
      <c r="M41" s="48">
        <v>11899000</v>
      </c>
      <c r="N41" s="29"/>
      <c r="O41" s="30"/>
      <c r="P41" s="42">
        <v>10832000</v>
      </c>
      <c r="Q41" s="48">
        <v>11056000</v>
      </c>
      <c r="R41" s="42">
        <v>11271000</v>
      </c>
      <c r="S41" s="48">
        <v>11495000</v>
      </c>
      <c r="T41" s="29"/>
      <c r="U41" s="30"/>
      <c r="V41" s="42">
        <v>10265000</v>
      </c>
      <c r="W41" s="48">
        <v>10489000</v>
      </c>
      <c r="X41" s="42">
        <v>10135000</v>
      </c>
      <c r="Y41" s="48">
        <v>10359000</v>
      </c>
      <c r="Z41" s="42">
        <v>10454000</v>
      </c>
      <c r="AA41" s="48">
        <v>10678000</v>
      </c>
      <c r="AB41" s="42">
        <v>10531000</v>
      </c>
      <c r="AC41" s="48">
        <v>10755000</v>
      </c>
      <c r="AD41" s="42">
        <v>10574000</v>
      </c>
      <c r="AE41" s="48">
        <v>10798000</v>
      </c>
      <c r="AF41" s="42">
        <v>10707000</v>
      </c>
      <c r="AG41" s="48">
        <v>10931000</v>
      </c>
      <c r="AH41" s="42">
        <v>10707000</v>
      </c>
      <c r="AI41" s="48">
        <v>10931000</v>
      </c>
      <c r="AJ41" s="42">
        <v>10517000</v>
      </c>
      <c r="AK41" s="48">
        <v>10741000</v>
      </c>
      <c r="AL41" s="42">
        <v>10744000</v>
      </c>
      <c r="AM41" s="48">
        <v>10968000</v>
      </c>
      <c r="AN41" s="42">
        <v>10305000</v>
      </c>
      <c r="AO41" s="48">
        <v>10529000</v>
      </c>
      <c r="AP41" s="42">
        <v>10671000</v>
      </c>
      <c r="AQ41" s="48">
        <v>10895000</v>
      </c>
      <c r="AR41" s="42">
        <v>10759000</v>
      </c>
      <c r="AS41" s="48">
        <v>10983000</v>
      </c>
      <c r="AT41" s="42">
        <v>10671000</v>
      </c>
      <c r="AU41" s="48">
        <v>10895000</v>
      </c>
      <c r="AV41" s="42">
        <v>10695000</v>
      </c>
      <c r="AW41" s="48">
        <v>10919000</v>
      </c>
      <c r="AX41" s="42">
        <v>10672000</v>
      </c>
      <c r="AY41" s="48">
        <v>10896000</v>
      </c>
      <c r="AZ41" s="42">
        <v>10723000</v>
      </c>
      <c r="BA41" s="48">
        <v>10947000</v>
      </c>
      <c r="BB41" s="42">
        <v>10359000</v>
      </c>
      <c r="BC41" s="48">
        <v>10583000</v>
      </c>
      <c r="BD41" s="42">
        <v>10359000</v>
      </c>
      <c r="BE41" s="48">
        <v>10583000</v>
      </c>
      <c r="BF41" s="42">
        <v>10359000</v>
      </c>
      <c r="BG41" s="48">
        <v>10583000</v>
      </c>
      <c r="BH41" s="42">
        <v>10359000</v>
      </c>
      <c r="BI41" s="48">
        <v>10583000</v>
      </c>
      <c r="BJ41" s="42">
        <v>10353000</v>
      </c>
      <c r="BK41" s="48">
        <v>10577000</v>
      </c>
      <c r="BL41" s="42">
        <v>10391000</v>
      </c>
      <c r="BM41" s="48">
        <v>10615000</v>
      </c>
      <c r="BN41" s="42">
        <v>10391000</v>
      </c>
      <c r="BO41" s="48">
        <v>10615000</v>
      </c>
      <c r="BP41" s="42">
        <v>10383000</v>
      </c>
      <c r="BQ41" s="48">
        <v>10607000</v>
      </c>
      <c r="BR41" s="42">
        <v>10359000</v>
      </c>
      <c r="BS41" s="48">
        <v>10583000</v>
      </c>
      <c r="BT41" s="42">
        <v>10351000</v>
      </c>
      <c r="BU41" s="48">
        <v>10575000</v>
      </c>
      <c r="BV41" s="42">
        <v>10351000</v>
      </c>
      <c r="BW41" s="48">
        <v>10575000</v>
      </c>
      <c r="BX41" s="42">
        <v>10351000</v>
      </c>
      <c r="BY41" s="48">
        <v>10575000</v>
      </c>
      <c r="BZ41" s="42">
        <v>10399000</v>
      </c>
      <c r="CA41" s="48">
        <v>10623000</v>
      </c>
      <c r="CB41" s="42">
        <v>10360000</v>
      </c>
      <c r="CC41" s="48">
        <v>10584000</v>
      </c>
      <c r="CD41" s="42">
        <v>10360000</v>
      </c>
      <c r="CE41" s="48">
        <v>10584000</v>
      </c>
      <c r="CF41" s="42">
        <v>10399000</v>
      </c>
      <c r="CG41" s="48">
        <v>10623000</v>
      </c>
      <c r="CH41" s="42">
        <v>10614000</v>
      </c>
      <c r="CI41" s="48">
        <v>10838000</v>
      </c>
    </row>
    <row r="42" spans="1:87">
      <c r="A42" s="43"/>
      <c r="B42" s="25" t="s">
        <v>90</v>
      </c>
      <c r="C42" s="26">
        <v>620</v>
      </c>
      <c r="D42" s="26">
        <v>740</v>
      </c>
      <c r="E42" s="26">
        <v>600</v>
      </c>
      <c r="F42" s="27">
        <v>12642000</v>
      </c>
      <c r="G42" s="48">
        <v>12940000</v>
      </c>
      <c r="H42" s="42">
        <v>11707000</v>
      </c>
      <c r="I42" s="48">
        <v>12005000</v>
      </c>
      <c r="J42" s="29"/>
      <c r="K42" s="30"/>
      <c r="L42" s="42">
        <v>12728000</v>
      </c>
      <c r="M42" s="48">
        <v>13026000</v>
      </c>
      <c r="N42" s="29"/>
      <c r="O42" s="30"/>
      <c r="P42" s="42">
        <v>11551000</v>
      </c>
      <c r="Q42" s="48">
        <v>11849000</v>
      </c>
      <c r="R42" s="42">
        <v>12209000</v>
      </c>
      <c r="S42" s="48">
        <v>12507000</v>
      </c>
      <c r="T42" s="29"/>
      <c r="U42" s="30"/>
      <c r="V42" s="42">
        <v>10840000</v>
      </c>
      <c r="W42" s="48">
        <v>11138000</v>
      </c>
      <c r="X42" s="42">
        <v>10668000</v>
      </c>
      <c r="Y42" s="48">
        <v>10966000</v>
      </c>
      <c r="Z42" s="42">
        <v>11084000</v>
      </c>
      <c r="AA42" s="48">
        <v>11382000</v>
      </c>
      <c r="AB42" s="42">
        <v>11183000</v>
      </c>
      <c r="AC42" s="48">
        <v>11481000</v>
      </c>
      <c r="AD42" s="42">
        <v>11235000</v>
      </c>
      <c r="AE42" s="48">
        <v>11533000</v>
      </c>
      <c r="AF42" s="42">
        <v>11408000</v>
      </c>
      <c r="AG42" s="48">
        <v>11706000</v>
      </c>
      <c r="AH42" s="42">
        <v>11408000</v>
      </c>
      <c r="AI42" s="48">
        <v>11706000</v>
      </c>
      <c r="AJ42" s="42">
        <v>11168000</v>
      </c>
      <c r="AK42" s="48">
        <v>11466000</v>
      </c>
      <c r="AL42" s="42">
        <v>11468000</v>
      </c>
      <c r="AM42" s="48">
        <v>11766000</v>
      </c>
      <c r="AN42" s="42">
        <v>10886000</v>
      </c>
      <c r="AO42" s="48">
        <v>11184000</v>
      </c>
      <c r="AP42" s="42">
        <v>11369000</v>
      </c>
      <c r="AQ42" s="48">
        <v>11667000</v>
      </c>
      <c r="AR42" s="42">
        <v>11487000</v>
      </c>
      <c r="AS42" s="48">
        <v>11785000</v>
      </c>
      <c r="AT42" s="42">
        <v>11369000</v>
      </c>
      <c r="AU42" s="48">
        <v>11667000</v>
      </c>
      <c r="AV42" s="42">
        <v>11402000</v>
      </c>
      <c r="AW42" s="48">
        <v>11700000</v>
      </c>
      <c r="AX42" s="42">
        <v>11372000</v>
      </c>
      <c r="AY42" s="48">
        <v>11670000</v>
      </c>
      <c r="AZ42" s="42">
        <v>11440000</v>
      </c>
      <c r="BA42" s="48">
        <v>11738000</v>
      </c>
      <c r="BB42" s="42">
        <v>10965000</v>
      </c>
      <c r="BC42" s="48">
        <v>11263000</v>
      </c>
      <c r="BD42" s="42">
        <v>10965000</v>
      </c>
      <c r="BE42" s="48">
        <v>11263000</v>
      </c>
      <c r="BF42" s="42">
        <v>10965000</v>
      </c>
      <c r="BG42" s="48">
        <v>11263000</v>
      </c>
      <c r="BH42" s="42">
        <v>10965000</v>
      </c>
      <c r="BI42" s="48">
        <v>11263000</v>
      </c>
      <c r="BJ42" s="42">
        <v>10957000</v>
      </c>
      <c r="BK42" s="48">
        <v>11255000</v>
      </c>
      <c r="BL42" s="42">
        <v>11008000</v>
      </c>
      <c r="BM42" s="48">
        <v>11306000</v>
      </c>
      <c r="BN42" s="42">
        <v>11008000</v>
      </c>
      <c r="BO42" s="48">
        <v>11306000</v>
      </c>
      <c r="BP42" s="42">
        <v>10997000</v>
      </c>
      <c r="BQ42" s="48">
        <v>11295000</v>
      </c>
      <c r="BR42" s="42">
        <v>10965000</v>
      </c>
      <c r="BS42" s="48">
        <v>11263000</v>
      </c>
      <c r="BT42" s="42">
        <v>10955000</v>
      </c>
      <c r="BU42" s="48">
        <v>11253000</v>
      </c>
      <c r="BV42" s="42">
        <v>10955000</v>
      </c>
      <c r="BW42" s="48">
        <v>11253000</v>
      </c>
      <c r="BX42" s="42">
        <v>10955000</v>
      </c>
      <c r="BY42" s="48">
        <v>11253000</v>
      </c>
      <c r="BZ42" s="42">
        <v>10999000</v>
      </c>
      <c r="CA42" s="48">
        <v>11297000</v>
      </c>
      <c r="CB42" s="42">
        <v>10948000</v>
      </c>
      <c r="CC42" s="48">
        <v>11246000</v>
      </c>
      <c r="CD42" s="42">
        <v>10948000</v>
      </c>
      <c r="CE42" s="48">
        <v>11246000</v>
      </c>
      <c r="CF42" s="42">
        <v>10999000</v>
      </c>
      <c r="CG42" s="48">
        <v>11297000</v>
      </c>
      <c r="CH42" s="42">
        <v>11292000</v>
      </c>
      <c r="CI42" s="48">
        <v>11590000</v>
      </c>
    </row>
    <row r="43" spans="1:87">
      <c r="A43" s="43"/>
      <c r="B43" s="25" t="s">
        <v>91</v>
      </c>
      <c r="C43" s="26">
        <v>620</v>
      </c>
      <c r="D43" s="26">
        <v>740</v>
      </c>
      <c r="E43" s="26">
        <v>900</v>
      </c>
      <c r="F43" s="27">
        <v>14670000</v>
      </c>
      <c r="G43" s="48">
        <v>15118000</v>
      </c>
      <c r="H43" s="42">
        <v>13266000</v>
      </c>
      <c r="I43" s="48">
        <v>13714000</v>
      </c>
      <c r="J43" s="29"/>
      <c r="K43" s="30"/>
      <c r="L43" s="42">
        <v>14798000</v>
      </c>
      <c r="M43" s="48">
        <v>15246000</v>
      </c>
      <c r="N43" s="29"/>
      <c r="O43" s="30"/>
      <c r="P43" s="42">
        <v>12954000</v>
      </c>
      <c r="Q43" s="48">
        <v>13402000</v>
      </c>
      <c r="R43" s="42">
        <v>14051000</v>
      </c>
      <c r="S43" s="48">
        <v>14499000</v>
      </c>
      <c r="T43" s="29"/>
      <c r="U43" s="30"/>
      <c r="V43" s="42">
        <v>11956000</v>
      </c>
      <c r="W43" s="48">
        <v>12404000</v>
      </c>
      <c r="X43" s="42">
        <v>11698000</v>
      </c>
      <c r="Y43" s="48">
        <v>12146000</v>
      </c>
      <c r="Z43" s="42">
        <v>12309000</v>
      </c>
      <c r="AA43" s="48">
        <v>12757000</v>
      </c>
      <c r="AB43" s="42">
        <v>12453000</v>
      </c>
      <c r="AC43" s="48">
        <v>12901000</v>
      </c>
      <c r="AD43" s="42">
        <v>12522000</v>
      </c>
      <c r="AE43" s="48">
        <v>12970000</v>
      </c>
      <c r="AF43" s="42">
        <v>12773000</v>
      </c>
      <c r="AG43" s="48">
        <v>13221000</v>
      </c>
      <c r="AH43" s="42">
        <v>12773000</v>
      </c>
      <c r="AI43" s="48">
        <v>13221000</v>
      </c>
      <c r="AJ43" s="42">
        <v>12433000</v>
      </c>
      <c r="AK43" s="48">
        <v>12881000</v>
      </c>
      <c r="AL43" s="42">
        <v>12881000</v>
      </c>
      <c r="AM43" s="48">
        <v>13329000</v>
      </c>
      <c r="AN43" s="42">
        <v>12012000</v>
      </c>
      <c r="AO43" s="48">
        <v>12460000</v>
      </c>
      <c r="AP43" s="42">
        <v>12729000</v>
      </c>
      <c r="AQ43" s="48">
        <v>13177000</v>
      </c>
      <c r="AR43" s="42">
        <v>12907000</v>
      </c>
      <c r="AS43" s="48">
        <v>13355000</v>
      </c>
      <c r="AT43" s="42">
        <v>12729000</v>
      </c>
      <c r="AU43" s="48">
        <v>13177000</v>
      </c>
      <c r="AV43" s="42">
        <v>12782000</v>
      </c>
      <c r="AW43" s="48">
        <v>13230000</v>
      </c>
      <c r="AX43" s="42">
        <v>12737000</v>
      </c>
      <c r="AY43" s="48">
        <v>13185000</v>
      </c>
      <c r="AZ43" s="42">
        <v>12839000</v>
      </c>
      <c r="BA43" s="48">
        <v>13287000</v>
      </c>
      <c r="BB43" s="42">
        <v>12143000</v>
      </c>
      <c r="BC43" s="48">
        <v>12591000</v>
      </c>
      <c r="BD43" s="42">
        <v>12143000</v>
      </c>
      <c r="BE43" s="48">
        <v>12591000</v>
      </c>
      <c r="BF43" s="42">
        <v>12143000</v>
      </c>
      <c r="BG43" s="48">
        <v>12591000</v>
      </c>
      <c r="BH43" s="42">
        <v>12143000</v>
      </c>
      <c r="BI43" s="48">
        <v>12591000</v>
      </c>
      <c r="BJ43" s="42">
        <v>12131000</v>
      </c>
      <c r="BK43" s="48">
        <v>12579000</v>
      </c>
      <c r="BL43" s="42">
        <v>12207000</v>
      </c>
      <c r="BM43" s="48">
        <v>12655000</v>
      </c>
      <c r="BN43" s="42">
        <v>12207000</v>
      </c>
      <c r="BO43" s="48">
        <v>12655000</v>
      </c>
      <c r="BP43" s="42">
        <v>12191000</v>
      </c>
      <c r="BQ43" s="48">
        <v>12639000</v>
      </c>
      <c r="BR43" s="42">
        <v>12143000</v>
      </c>
      <c r="BS43" s="48">
        <v>12591000</v>
      </c>
      <c r="BT43" s="42">
        <v>12127000</v>
      </c>
      <c r="BU43" s="48">
        <v>12575000</v>
      </c>
      <c r="BV43" s="42">
        <v>12127000</v>
      </c>
      <c r="BW43" s="48">
        <v>12575000</v>
      </c>
      <c r="BX43" s="42">
        <v>12127000</v>
      </c>
      <c r="BY43" s="48">
        <v>12575000</v>
      </c>
      <c r="BZ43" s="42">
        <v>12165000</v>
      </c>
      <c r="CA43" s="48">
        <v>12613000</v>
      </c>
      <c r="CB43" s="42">
        <v>12087000</v>
      </c>
      <c r="CC43" s="48">
        <v>12535000</v>
      </c>
      <c r="CD43" s="42">
        <v>12087000</v>
      </c>
      <c r="CE43" s="48">
        <v>12535000</v>
      </c>
      <c r="CF43" s="42">
        <v>12165000</v>
      </c>
      <c r="CG43" s="48">
        <v>12613000</v>
      </c>
      <c r="CH43" s="42">
        <v>12611000</v>
      </c>
      <c r="CI43" s="48">
        <v>13059000</v>
      </c>
    </row>
    <row r="44" spans="1:87" ht="63" customHeight="1">
      <c r="A44" s="44" t="e">
        <f ca="1">_xludf.image("https://lh3.google.com/u/0/d/1aiDuDZpCgGayVk2Stcnt53BGxCzeTkTk",1)</f>
        <v>#NAME?</v>
      </c>
      <c r="B44" s="45" t="s">
        <v>92</v>
      </c>
      <c r="C44" s="141"/>
      <c r="D44" s="136"/>
      <c r="E44" s="137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46"/>
      <c r="AI44" s="46"/>
      <c r="AJ44" s="46"/>
      <c r="AK44" s="46"/>
      <c r="AL44" s="46"/>
      <c r="AM44" s="46"/>
      <c r="AN44" s="46"/>
      <c r="AO44" s="46"/>
      <c r="AP44" s="46"/>
      <c r="AQ44" s="46"/>
      <c r="AR44" s="46"/>
      <c r="AS44" s="46"/>
      <c r="AT44" s="46"/>
      <c r="AU44" s="46"/>
      <c r="AV44" s="46"/>
      <c r="AW44" s="46"/>
      <c r="AX44" s="46"/>
      <c r="AY44" s="46"/>
      <c r="AZ44" s="46"/>
      <c r="BA44" s="46"/>
      <c r="BB44" s="46"/>
      <c r="BC44" s="46"/>
      <c r="BD44" s="46"/>
      <c r="BE44" s="46"/>
      <c r="BF44" s="46"/>
      <c r="BG44" s="46"/>
      <c r="BH44" s="46"/>
      <c r="BI44" s="46"/>
      <c r="BJ44" s="46"/>
      <c r="BK44" s="46"/>
      <c r="BL44" s="46"/>
      <c r="BM44" s="46"/>
      <c r="BN44" s="46"/>
      <c r="BO44" s="46"/>
      <c r="BP44" s="46"/>
      <c r="BQ44" s="46"/>
      <c r="BR44" s="46"/>
      <c r="BS44" s="46"/>
      <c r="BT44" s="46"/>
      <c r="BU44" s="46"/>
      <c r="BV44" s="46"/>
      <c r="BW44" s="46"/>
      <c r="BX44" s="46"/>
      <c r="BY44" s="46"/>
      <c r="BZ44" s="46"/>
      <c r="CA44" s="46"/>
      <c r="CB44" s="46"/>
      <c r="CC44" s="46"/>
      <c r="CD44" s="46"/>
      <c r="CE44" s="46"/>
      <c r="CF44" s="46"/>
      <c r="CG44" s="46"/>
      <c r="CH44" s="46"/>
      <c r="CI44" s="46"/>
    </row>
    <row r="45" spans="1:87" ht="12.75">
      <c r="A45" s="20"/>
      <c r="B45" s="138" t="s">
        <v>81</v>
      </c>
      <c r="C45" s="136"/>
      <c r="D45" s="136"/>
      <c r="E45" s="137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</row>
    <row r="46" spans="1:87">
      <c r="A46" s="43"/>
      <c r="B46" s="25" t="s">
        <v>93</v>
      </c>
      <c r="C46" s="26">
        <v>620</v>
      </c>
      <c r="D46" s="26">
        <v>740</v>
      </c>
      <c r="E46" s="26">
        <v>300</v>
      </c>
      <c r="F46" s="27">
        <v>9952000</v>
      </c>
      <c r="G46" s="48">
        <v>10101000</v>
      </c>
      <c r="H46" s="42">
        <v>9484000</v>
      </c>
      <c r="I46" s="48">
        <v>9633000</v>
      </c>
      <c r="J46" s="29"/>
      <c r="K46" s="30"/>
      <c r="L46" s="42">
        <v>9995000</v>
      </c>
      <c r="M46" s="48">
        <v>10144000</v>
      </c>
      <c r="N46" s="29"/>
      <c r="O46" s="30"/>
      <c r="P46" s="42">
        <v>9543000</v>
      </c>
      <c r="Q46" s="48">
        <v>9692000</v>
      </c>
      <c r="R46" s="42">
        <v>10131000</v>
      </c>
      <c r="S46" s="48">
        <v>10280000</v>
      </c>
      <c r="T46" s="29"/>
      <c r="U46" s="30"/>
      <c r="V46" s="42">
        <v>9053000</v>
      </c>
      <c r="W46" s="48">
        <v>9202000</v>
      </c>
      <c r="X46" s="42">
        <v>8967000</v>
      </c>
      <c r="Y46" s="48">
        <v>9116000</v>
      </c>
      <c r="Z46" s="42">
        <v>9177000</v>
      </c>
      <c r="AA46" s="48">
        <v>9326000</v>
      </c>
      <c r="AB46" s="42">
        <v>9228000</v>
      </c>
      <c r="AC46" s="48">
        <v>9377000</v>
      </c>
      <c r="AD46" s="42">
        <v>9255000</v>
      </c>
      <c r="AE46" s="48">
        <v>9404000</v>
      </c>
      <c r="AF46" s="42">
        <v>9343000</v>
      </c>
      <c r="AG46" s="48">
        <v>9492000</v>
      </c>
      <c r="AH46" s="42">
        <v>9343000</v>
      </c>
      <c r="AI46" s="48">
        <v>9492000</v>
      </c>
      <c r="AJ46" s="42">
        <v>9219000</v>
      </c>
      <c r="AK46" s="48">
        <v>9368000</v>
      </c>
      <c r="AL46" s="42">
        <v>9370000</v>
      </c>
      <c r="AM46" s="48">
        <v>9519000</v>
      </c>
      <c r="AN46" s="42">
        <v>9078000</v>
      </c>
      <c r="AO46" s="48">
        <v>9227000</v>
      </c>
      <c r="AP46" s="42">
        <v>9321000</v>
      </c>
      <c r="AQ46" s="48">
        <v>9470000</v>
      </c>
      <c r="AR46" s="42">
        <v>9380000</v>
      </c>
      <c r="AS46" s="48">
        <v>9529000</v>
      </c>
      <c r="AT46" s="42">
        <v>9321000</v>
      </c>
      <c r="AU46" s="48">
        <v>9470000</v>
      </c>
      <c r="AV46" s="42">
        <v>9337000</v>
      </c>
      <c r="AW46" s="48">
        <v>9486000</v>
      </c>
      <c r="AX46" s="42">
        <v>9322000</v>
      </c>
      <c r="AY46" s="48">
        <v>9471000</v>
      </c>
      <c r="AZ46" s="42">
        <v>9356000</v>
      </c>
      <c r="BA46" s="48">
        <v>9505000</v>
      </c>
      <c r="BB46" s="42">
        <v>9116000</v>
      </c>
      <c r="BC46" s="48">
        <v>9265000</v>
      </c>
      <c r="BD46" s="42">
        <v>9116000</v>
      </c>
      <c r="BE46" s="48">
        <v>9265000</v>
      </c>
      <c r="BF46" s="42">
        <v>9116000</v>
      </c>
      <c r="BG46" s="48">
        <v>9265000</v>
      </c>
      <c r="BH46" s="42">
        <v>9116000</v>
      </c>
      <c r="BI46" s="48">
        <v>9265000</v>
      </c>
      <c r="BJ46" s="42">
        <v>9111000</v>
      </c>
      <c r="BK46" s="48">
        <v>9260000</v>
      </c>
      <c r="BL46" s="42">
        <v>9137000</v>
      </c>
      <c r="BM46" s="48">
        <v>9286000</v>
      </c>
      <c r="BN46" s="42">
        <v>9137000</v>
      </c>
      <c r="BO46" s="48">
        <v>9286000</v>
      </c>
      <c r="BP46" s="42">
        <v>9132000</v>
      </c>
      <c r="BQ46" s="48">
        <v>9281000</v>
      </c>
      <c r="BR46" s="42">
        <v>9116000</v>
      </c>
      <c r="BS46" s="48">
        <v>9265000</v>
      </c>
      <c r="BT46" s="42">
        <v>9110000</v>
      </c>
      <c r="BU46" s="48">
        <v>9259000</v>
      </c>
      <c r="BV46" s="42">
        <v>9110000</v>
      </c>
      <c r="BW46" s="48">
        <v>9259000</v>
      </c>
      <c r="BX46" s="42">
        <v>9110000</v>
      </c>
      <c r="BY46" s="48">
        <v>9259000</v>
      </c>
      <c r="BZ46" s="42">
        <v>9138000</v>
      </c>
      <c r="CA46" s="48">
        <v>9287000</v>
      </c>
      <c r="CB46" s="42">
        <v>9112000</v>
      </c>
      <c r="CC46" s="48">
        <v>9261000</v>
      </c>
      <c r="CD46" s="42">
        <v>9112000</v>
      </c>
      <c r="CE46" s="48">
        <v>9261000</v>
      </c>
      <c r="CF46" s="42">
        <v>9138000</v>
      </c>
      <c r="CG46" s="48">
        <v>9287000</v>
      </c>
      <c r="CH46" s="42">
        <v>9283000</v>
      </c>
      <c r="CI46" s="48">
        <v>9432000</v>
      </c>
    </row>
    <row r="47" spans="1:87">
      <c r="A47" s="43"/>
      <c r="B47" s="25" t="s">
        <v>94</v>
      </c>
      <c r="C47" s="26">
        <v>620</v>
      </c>
      <c r="D47" s="26">
        <v>740</v>
      </c>
      <c r="E47" s="26">
        <v>450</v>
      </c>
      <c r="F47" s="27">
        <v>10924000</v>
      </c>
      <c r="G47" s="48">
        <v>11148000</v>
      </c>
      <c r="H47" s="42">
        <v>10222000</v>
      </c>
      <c r="I47" s="48">
        <v>10446000</v>
      </c>
      <c r="J47" s="29"/>
      <c r="K47" s="30"/>
      <c r="L47" s="42">
        <v>10988000</v>
      </c>
      <c r="M47" s="48">
        <v>11212000</v>
      </c>
      <c r="N47" s="29"/>
      <c r="O47" s="30"/>
      <c r="P47" s="42">
        <v>10195000</v>
      </c>
      <c r="Q47" s="48">
        <v>10419000</v>
      </c>
      <c r="R47" s="42">
        <v>11371000</v>
      </c>
      <c r="S47" s="48">
        <v>11595000</v>
      </c>
      <c r="T47" s="29"/>
      <c r="U47" s="30"/>
      <c r="V47" s="42">
        <v>9565000</v>
      </c>
      <c r="W47" s="48">
        <v>9789000</v>
      </c>
      <c r="X47" s="42">
        <v>9436000</v>
      </c>
      <c r="Y47" s="48">
        <v>9660000</v>
      </c>
      <c r="Z47" s="42">
        <v>9739000</v>
      </c>
      <c r="AA47" s="48">
        <v>9963000</v>
      </c>
      <c r="AB47" s="42">
        <v>9809000</v>
      </c>
      <c r="AC47" s="48">
        <v>10033000</v>
      </c>
      <c r="AD47" s="42">
        <v>9842000</v>
      </c>
      <c r="AE47" s="48">
        <v>10066000</v>
      </c>
      <c r="AF47" s="42">
        <v>9966000</v>
      </c>
      <c r="AG47" s="48">
        <v>10190000</v>
      </c>
      <c r="AH47" s="42">
        <v>9966000</v>
      </c>
      <c r="AI47" s="48">
        <v>10190000</v>
      </c>
      <c r="AJ47" s="42">
        <v>9800000</v>
      </c>
      <c r="AK47" s="48">
        <v>10024000</v>
      </c>
      <c r="AL47" s="42">
        <v>10024000</v>
      </c>
      <c r="AM47" s="48">
        <v>10248000</v>
      </c>
      <c r="AN47" s="42">
        <v>9590000</v>
      </c>
      <c r="AO47" s="48">
        <v>9814000</v>
      </c>
      <c r="AP47" s="42">
        <v>9948000</v>
      </c>
      <c r="AQ47" s="48">
        <v>10172000</v>
      </c>
      <c r="AR47" s="42">
        <v>10036000</v>
      </c>
      <c r="AS47" s="48">
        <v>10260000</v>
      </c>
      <c r="AT47" s="42">
        <v>9948000</v>
      </c>
      <c r="AU47" s="48">
        <v>10172000</v>
      </c>
      <c r="AV47" s="42">
        <v>9974000</v>
      </c>
      <c r="AW47" s="48">
        <v>10198000</v>
      </c>
      <c r="AX47" s="42">
        <v>9952000</v>
      </c>
      <c r="AY47" s="48">
        <v>10176000</v>
      </c>
      <c r="AZ47" s="42">
        <v>10003000</v>
      </c>
      <c r="BA47" s="48">
        <v>10227000</v>
      </c>
      <c r="BB47" s="42">
        <v>9658000</v>
      </c>
      <c r="BC47" s="48">
        <v>9882000</v>
      </c>
      <c r="BD47" s="42">
        <v>9658000</v>
      </c>
      <c r="BE47" s="48">
        <v>9882000</v>
      </c>
      <c r="BF47" s="42">
        <v>9658000</v>
      </c>
      <c r="BG47" s="48">
        <v>9882000</v>
      </c>
      <c r="BH47" s="42">
        <v>9658000</v>
      </c>
      <c r="BI47" s="48">
        <v>9882000</v>
      </c>
      <c r="BJ47" s="42">
        <v>9652000</v>
      </c>
      <c r="BK47" s="48">
        <v>9876000</v>
      </c>
      <c r="BL47" s="42">
        <v>9691000</v>
      </c>
      <c r="BM47" s="48">
        <v>9915000</v>
      </c>
      <c r="BN47" s="42">
        <v>9691000</v>
      </c>
      <c r="BO47" s="48">
        <v>9915000</v>
      </c>
      <c r="BP47" s="42">
        <v>9682000</v>
      </c>
      <c r="BQ47" s="48">
        <v>9906000</v>
      </c>
      <c r="BR47" s="42">
        <v>9658000</v>
      </c>
      <c r="BS47" s="48">
        <v>9882000</v>
      </c>
      <c r="BT47" s="42">
        <v>9650000</v>
      </c>
      <c r="BU47" s="48">
        <v>9874000</v>
      </c>
      <c r="BV47" s="42">
        <v>9650000</v>
      </c>
      <c r="BW47" s="48">
        <v>9874000</v>
      </c>
      <c r="BX47" s="42">
        <v>9650000</v>
      </c>
      <c r="BY47" s="48">
        <v>9874000</v>
      </c>
      <c r="BZ47" s="42">
        <v>9663000</v>
      </c>
      <c r="CA47" s="48">
        <v>9887000</v>
      </c>
      <c r="CB47" s="42">
        <v>9624000</v>
      </c>
      <c r="CC47" s="48">
        <v>9848000</v>
      </c>
      <c r="CD47" s="42">
        <v>9624000</v>
      </c>
      <c r="CE47" s="48">
        <v>9848000</v>
      </c>
      <c r="CF47" s="42">
        <v>9663000</v>
      </c>
      <c r="CG47" s="48">
        <v>9887000</v>
      </c>
      <c r="CH47" s="42">
        <v>9888000</v>
      </c>
      <c r="CI47" s="48">
        <v>10112000</v>
      </c>
    </row>
    <row r="48" spans="1:87">
      <c r="A48" s="43"/>
      <c r="B48" s="25" t="s">
        <v>95</v>
      </c>
      <c r="C48" s="26">
        <v>620</v>
      </c>
      <c r="D48" s="26">
        <v>740</v>
      </c>
      <c r="E48" s="26">
        <v>600</v>
      </c>
      <c r="F48" s="27">
        <v>11922000</v>
      </c>
      <c r="G48" s="48">
        <v>12220000</v>
      </c>
      <c r="H48" s="42">
        <v>10987000</v>
      </c>
      <c r="I48" s="48">
        <v>11285000</v>
      </c>
      <c r="J48" s="29"/>
      <c r="K48" s="30"/>
      <c r="L48" s="42">
        <v>12008000</v>
      </c>
      <c r="M48" s="48">
        <v>12306000</v>
      </c>
      <c r="N48" s="29"/>
      <c r="O48" s="30"/>
      <c r="P48" s="42">
        <v>10873000</v>
      </c>
      <c r="Q48" s="48">
        <v>11171000</v>
      </c>
      <c r="R48" s="42">
        <v>12637000</v>
      </c>
      <c r="S48" s="48">
        <v>12935000</v>
      </c>
      <c r="T48" s="29"/>
      <c r="U48" s="30"/>
      <c r="V48" s="42">
        <v>10104000</v>
      </c>
      <c r="W48" s="48">
        <v>10402000</v>
      </c>
      <c r="X48" s="42">
        <v>9931000</v>
      </c>
      <c r="Y48" s="48">
        <v>10229000</v>
      </c>
      <c r="Z48" s="42">
        <v>10327000</v>
      </c>
      <c r="AA48" s="48">
        <v>10625000</v>
      </c>
      <c r="AB48" s="42">
        <v>10417000</v>
      </c>
      <c r="AC48" s="48">
        <v>10715000</v>
      </c>
      <c r="AD48" s="42">
        <v>10455000</v>
      </c>
      <c r="AE48" s="48">
        <v>10753000</v>
      </c>
      <c r="AF48" s="42">
        <v>10615000</v>
      </c>
      <c r="AG48" s="48">
        <v>10913000</v>
      </c>
      <c r="AH48" s="42">
        <v>10615000</v>
      </c>
      <c r="AI48" s="48">
        <v>10913000</v>
      </c>
      <c r="AJ48" s="42">
        <v>10407000</v>
      </c>
      <c r="AK48" s="48">
        <v>10705000</v>
      </c>
      <c r="AL48" s="42">
        <v>10704000</v>
      </c>
      <c r="AM48" s="48">
        <v>11002000</v>
      </c>
      <c r="AN48" s="42">
        <v>10129000</v>
      </c>
      <c r="AO48" s="48">
        <v>10427000</v>
      </c>
      <c r="AP48" s="42">
        <v>10600000</v>
      </c>
      <c r="AQ48" s="48">
        <v>10898000</v>
      </c>
      <c r="AR48" s="42">
        <v>10719000</v>
      </c>
      <c r="AS48" s="48">
        <v>11017000</v>
      </c>
      <c r="AT48" s="42">
        <v>10600000</v>
      </c>
      <c r="AU48" s="48">
        <v>10898000</v>
      </c>
      <c r="AV48" s="42">
        <v>10638000</v>
      </c>
      <c r="AW48" s="48">
        <v>10936000</v>
      </c>
      <c r="AX48" s="42">
        <v>10608000</v>
      </c>
      <c r="AY48" s="48">
        <v>10906000</v>
      </c>
      <c r="AZ48" s="42">
        <v>10675000</v>
      </c>
      <c r="BA48" s="48">
        <v>10973000</v>
      </c>
      <c r="BB48" s="42">
        <v>10227000</v>
      </c>
      <c r="BC48" s="48">
        <v>10525000</v>
      </c>
      <c r="BD48" s="42">
        <v>10227000</v>
      </c>
      <c r="BE48" s="48">
        <v>10525000</v>
      </c>
      <c r="BF48" s="42">
        <v>10227000</v>
      </c>
      <c r="BG48" s="48">
        <v>10525000</v>
      </c>
      <c r="BH48" s="42">
        <v>10227000</v>
      </c>
      <c r="BI48" s="48">
        <v>10525000</v>
      </c>
      <c r="BJ48" s="42">
        <v>10219000</v>
      </c>
      <c r="BK48" s="48">
        <v>10517000</v>
      </c>
      <c r="BL48" s="42">
        <v>10270000</v>
      </c>
      <c r="BM48" s="48">
        <v>10568000</v>
      </c>
      <c r="BN48" s="42">
        <v>10270000</v>
      </c>
      <c r="BO48" s="48">
        <v>10568000</v>
      </c>
      <c r="BP48" s="42">
        <v>10259000</v>
      </c>
      <c r="BQ48" s="48">
        <v>10557000</v>
      </c>
      <c r="BR48" s="42">
        <v>10227000</v>
      </c>
      <c r="BS48" s="48">
        <v>10525000</v>
      </c>
      <c r="BT48" s="42">
        <v>10216000</v>
      </c>
      <c r="BU48" s="48">
        <v>10514000</v>
      </c>
      <c r="BV48" s="42">
        <v>10216000</v>
      </c>
      <c r="BW48" s="48">
        <v>10514000</v>
      </c>
      <c r="BX48" s="42">
        <v>10216000</v>
      </c>
      <c r="BY48" s="48">
        <v>10514000</v>
      </c>
      <c r="BZ48" s="42">
        <v>10214000</v>
      </c>
      <c r="CA48" s="48">
        <v>10512000</v>
      </c>
      <c r="CB48" s="42">
        <v>10162000</v>
      </c>
      <c r="CC48" s="48">
        <v>10460000</v>
      </c>
      <c r="CD48" s="42">
        <v>10162000</v>
      </c>
      <c r="CE48" s="48">
        <v>10460000</v>
      </c>
      <c r="CF48" s="42">
        <v>10214000</v>
      </c>
      <c r="CG48" s="48">
        <v>10512000</v>
      </c>
      <c r="CH48" s="42">
        <v>10519000</v>
      </c>
      <c r="CI48" s="48">
        <v>10817000</v>
      </c>
    </row>
    <row r="49" spans="1:87">
      <c r="A49" s="43"/>
      <c r="B49" s="25" t="s">
        <v>96</v>
      </c>
      <c r="C49" s="26">
        <v>620</v>
      </c>
      <c r="D49" s="26">
        <v>740</v>
      </c>
      <c r="E49" s="26">
        <v>900</v>
      </c>
      <c r="F49" s="27">
        <v>13882000</v>
      </c>
      <c r="G49" s="48">
        <v>14330000</v>
      </c>
      <c r="H49" s="42">
        <v>12478000</v>
      </c>
      <c r="I49" s="48">
        <v>12926000</v>
      </c>
      <c r="J49" s="29"/>
      <c r="K49" s="30"/>
      <c r="L49" s="42">
        <v>14010000</v>
      </c>
      <c r="M49" s="48">
        <v>14458000</v>
      </c>
      <c r="N49" s="29"/>
      <c r="O49" s="30"/>
      <c r="P49" s="42">
        <v>12193000</v>
      </c>
      <c r="Q49" s="48">
        <v>12641000</v>
      </c>
      <c r="R49" s="42">
        <v>15132000</v>
      </c>
      <c r="S49" s="48">
        <v>15580000</v>
      </c>
      <c r="T49" s="29"/>
      <c r="U49" s="30"/>
      <c r="V49" s="42">
        <v>11143000</v>
      </c>
      <c r="W49" s="48">
        <v>11591000</v>
      </c>
      <c r="X49" s="42">
        <v>10885000</v>
      </c>
      <c r="Y49" s="48">
        <v>11333000</v>
      </c>
      <c r="Z49" s="42">
        <v>11465000</v>
      </c>
      <c r="AA49" s="48">
        <v>11913000</v>
      </c>
      <c r="AB49" s="42">
        <v>11595000</v>
      </c>
      <c r="AC49" s="48">
        <v>12043000</v>
      </c>
      <c r="AD49" s="42">
        <v>11644000</v>
      </c>
      <c r="AE49" s="48">
        <v>12092000</v>
      </c>
      <c r="AF49" s="42">
        <v>11877000</v>
      </c>
      <c r="AG49" s="48">
        <v>12325000</v>
      </c>
      <c r="AH49" s="42">
        <v>11877000</v>
      </c>
      <c r="AI49" s="48">
        <v>12325000</v>
      </c>
      <c r="AJ49" s="42">
        <v>11585000</v>
      </c>
      <c r="AK49" s="48">
        <v>12033000</v>
      </c>
      <c r="AL49" s="42">
        <v>12028000</v>
      </c>
      <c r="AM49" s="48">
        <v>12476000</v>
      </c>
      <c r="AN49" s="42">
        <v>11170000</v>
      </c>
      <c r="AO49" s="48">
        <v>11618000</v>
      </c>
      <c r="AP49" s="42">
        <v>11869000</v>
      </c>
      <c r="AQ49" s="48">
        <v>12317000</v>
      </c>
      <c r="AR49" s="42">
        <v>12046000</v>
      </c>
      <c r="AS49" s="48">
        <v>12494000</v>
      </c>
      <c r="AT49" s="42">
        <v>11869000</v>
      </c>
      <c r="AU49" s="48">
        <v>12317000</v>
      </c>
      <c r="AV49" s="42">
        <v>11927000</v>
      </c>
      <c r="AW49" s="48">
        <v>12375000</v>
      </c>
      <c r="AX49" s="42">
        <v>11882000</v>
      </c>
      <c r="AY49" s="48">
        <v>12330000</v>
      </c>
      <c r="AZ49" s="42">
        <v>11984000</v>
      </c>
      <c r="BA49" s="48">
        <v>12432000</v>
      </c>
      <c r="BB49" s="42">
        <v>11328000</v>
      </c>
      <c r="BC49" s="48">
        <v>11776000</v>
      </c>
      <c r="BD49" s="42">
        <v>11328000</v>
      </c>
      <c r="BE49" s="48">
        <v>11776000</v>
      </c>
      <c r="BF49" s="42">
        <v>11328000</v>
      </c>
      <c r="BG49" s="48">
        <v>11776000</v>
      </c>
      <c r="BH49" s="42">
        <v>11328000</v>
      </c>
      <c r="BI49" s="48">
        <v>11776000</v>
      </c>
      <c r="BJ49" s="42">
        <v>11316000</v>
      </c>
      <c r="BK49" s="48">
        <v>11764000</v>
      </c>
      <c r="BL49" s="42">
        <v>11392000</v>
      </c>
      <c r="BM49" s="48">
        <v>11840000</v>
      </c>
      <c r="BN49" s="42">
        <v>11392000</v>
      </c>
      <c r="BO49" s="48">
        <v>11840000</v>
      </c>
      <c r="BP49" s="42">
        <v>11376000</v>
      </c>
      <c r="BQ49" s="48">
        <v>11824000</v>
      </c>
      <c r="BR49" s="42">
        <v>11328000</v>
      </c>
      <c r="BS49" s="48">
        <v>11776000</v>
      </c>
      <c r="BT49" s="42">
        <v>11312000</v>
      </c>
      <c r="BU49" s="48">
        <v>11760000</v>
      </c>
      <c r="BV49" s="42">
        <v>11312000</v>
      </c>
      <c r="BW49" s="48">
        <v>11760000</v>
      </c>
      <c r="BX49" s="42">
        <v>11312000</v>
      </c>
      <c r="BY49" s="48">
        <v>11760000</v>
      </c>
      <c r="BZ49" s="42">
        <v>11279000</v>
      </c>
      <c r="CA49" s="48">
        <v>11727000</v>
      </c>
      <c r="CB49" s="42">
        <v>11201000</v>
      </c>
      <c r="CC49" s="48">
        <v>11649000</v>
      </c>
      <c r="CD49" s="42">
        <v>11201000</v>
      </c>
      <c r="CE49" s="48">
        <v>11649000</v>
      </c>
      <c r="CF49" s="42">
        <v>11279000</v>
      </c>
      <c r="CG49" s="48">
        <v>11727000</v>
      </c>
      <c r="CH49" s="42">
        <v>11744000</v>
      </c>
      <c r="CI49" s="48">
        <v>12192000</v>
      </c>
    </row>
    <row r="50" spans="1:87">
      <c r="A50" s="43"/>
      <c r="B50" s="25" t="s">
        <v>97</v>
      </c>
      <c r="C50" s="26">
        <v>620</v>
      </c>
      <c r="D50" s="26">
        <v>740</v>
      </c>
      <c r="E50" s="26">
        <v>1200</v>
      </c>
      <c r="F50" s="27">
        <v>15827000</v>
      </c>
      <c r="G50" s="48">
        <v>16424000</v>
      </c>
      <c r="H50" s="42">
        <v>13956000</v>
      </c>
      <c r="I50" s="48">
        <v>14553000</v>
      </c>
      <c r="J50" s="29"/>
      <c r="K50" s="30"/>
      <c r="L50" s="42">
        <v>15999000</v>
      </c>
      <c r="M50" s="48">
        <v>16596000</v>
      </c>
      <c r="N50" s="29"/>
      <c r="O50" s="30"/>
      <c r="P50" s="42">
        <v>13498000</v>
      </c>
      <c r="Q50" s="48">
        <v>14095000</v>
      </c>
      <c r="R50" s="42">
        <v>17614000</v>
      </c>
      <c r="S50" s="48">
        <v>18211000</v>
      </c>
      <c r="T50" s="29"/>
      <c r="U50" s="30"/>
      <c r="V50" s="42">
        <v>12169000</v>
      </c>
      <c r="W50" s="48">
        <v>12766000</v>
      </c>
      <c r="X50" s="42">
        <v>11824000</v>
      </c>
      <c r="Y50" s="48">
        <v>12421000</v>
      </c>
      <c r="Z50" s="42">
        <v>12590000</v>
      </c>
      <c r="AA50" s="48">
        <v>13187000</v>
      </c>
      <c r="AB50" s="42">
        <v>12759000</v>
      </c>
      <c r="AC50" s="48">
        <v>13356000</v>
      </c>
      <c r="AD50" s="42">
        <v>12818000</v>
      </c>
      <c r="AE50" s="48">
        <v>13415000</v>
      </c>
      <c r="AF50" s="42">
        <v>13124000</v>
      </c>
      <c r="AG50" s="48">
        <v>13721000</v>
      </c>
      <c r="AH50" s="42">
        <v>13124000</v>
      </c>
      <c r="AI50" s="48">
        <v>13721000</v>
      </c>
      <c r="AJ50" s="42">
        <v>12748000</v>
      </c>
      <c r="AK50" s="48">
        <v>13345000</v>
      </c>
      <c r="AL50" s="42">
        <v>13337000</v>
      </c>
      <c r="AM50" s="48">
        <v>13934000</v>
      </c>
      <c r="AN50" s="42">
        <v>12196000</v>
      </c>
      <c r="AO50" s="48">
        <v>12793000</v>
      </c>
      <c r="AP50" s="42">
        <v>13124000</v>
      </c>
      <c r="AQ50" s="48">
        <v>13721000</v>
      </c>
      <c r="AR50" s="42">
        <v>13360000</v>
      </c>
      <c r="AS50" s="48">
        <v>13957000</v>
      </c>
      <c r="AT50" s="42">
        <v>13124000</v>
      </c>
      <c r="AU50" s="48">
        <v>13721000</v>
      </c>
      <c r="AV50" s="42">
        <v>13203000</v>
      </c>
      <c r="AW50" s="48">
        <v>13800000</v>
      </c>
      <c r="AX50" s="42">
        <v>13143000</v>
      </c>
      <c r="AY50" s="48">
        <v>13740000</v>
      </c>
      <c r="AZ50" s="42">
        <v>13278000</v>
      </c>
      <c r="BA50" s="48">
        <v>13875000</v>
      </c>
      <c r="BB50" s="42">
        <v>12414000</v>
      </c>
      <c r="BC50" s="48">
        <v>13011000</v>
      </c>
      <c r="BD50" s="42">
        <v>12414000</v>
      </c>
      <c r="BE50" s="48">
        <v>13011000</v>
      </c>
      <c r="BF50" s="42">
        <v>12414000</v>
      </c>
      <c r="BG50" s="48">
        <v>13011000</v>
      </c>
      <c r="BH50" s="42">
        <v>12414000</v>
      </c>
      <c r="BI50" s="48">
        <v>13011000</v>
      </c>
      <c r="BJ50" s="42">
        <v>12398000</v>
      </c>
      <c r="BK50" s="48">
        <v>12995000</v>
      </c>
      <c r="BL50" s="42">
        <v>12500000</v>
      </c>
      <c r="BM50" s="48">
        <v>13097000</v>
      </c>
      <c r="BN50" s="42">
        <v>12500000</v>
      </c>
      <c r="BO50" s="48">
        <v>13097000</v>
      </c>
      <c r="BP50" s="42">
        <v>12479000</v>
      </c>
      <c r="BQ50" s="48">
        <v>13076000</v>
      </c>
      <c r="BR50" s="42">
        <v>12414000</v>
      </c>
      <c r="BS50" s="48">
        <v>13011000</v>
      </c>
      <c r="BT50" s="42">
        <v>12393000</v>
      </c>
      <c r="BU50" s="48">
        <v>12990000</v>
      </c>
      <c r="BV50" s="42">
        <v>12393000</v>
      </c>
      <c r="BW50" s="48">
        <v>12990000</v>
      </c>
      <c r="BX50" s="42">
        <v>12393000</v>
      </c>
      <c r="BY50" s="48">
        <v>12990000</v>
      </c>
      <c r="BZ50" s="42">
        <v>12330000</v>
      </c>
      <c r="CA50" s="48">
        <v>12927000</v>
      </c>
      <c r="CB50" s="42">
        <v>12226000</v>
      </c>
      <c r="CC50" s="48">
        <v>12823000</v>
      </c>
      <c r="CD50" s="42">
        <v>12226000</v>
      </c>
      <c r="CE50" s="48">
        <v>12823000</v>
      </c>
      <c r="CF50" s="42">
        <v>12330000</v>
      </c>
      <c r="CG50" s="48">
        <v>12927000</v>
      </c>
      <c r="CH50" s="42">
        <v>12955000</v>
      </c>
      <c r="CI50" s="48">
        <v>13552000</v>
      </c>
    </row>
    <row r="51" spans="1:87" ht="63" customHeight="1">
      <c r="A51" s="44" t="e">
        <f ca="1">_xludf.image("https://lh3.google.com/u/0/d/1aiDuDZpCgGayVk2Stcnt53BGxCzeTkTk",1)</f>
        <v>#NAME?</v>
      </c>
      <c r="B51" s="45" t="s">
        <v>98</v>
      </c>
      <c r="C51" s="141"/>
      <c r="D51" s="136"/>
      <c r="E51" s="137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6"/>
      <c r="AR51" s="46"/>
      <c r="AS51" s="46"/>
      <c r="AT51" s="46"/>
      <c r="AU51" s="46"/>
      <c r="AV51" s="46"/>
      <c r="AW51" s="46"/>
      <c r="AX51" s="46"/>
      <c r="AY51" s="46"/>
      <c r="AZ51" s="46"/>
      <c r="BA51" s="46"/>
      <c r="BB51" s="46"/>
      <c r="BC51" s="46"/>
      <c r="BD51" s="46"/>
      <c r="BE51" s="46"/>
      <c r="BF51" s="46"/>
      <c r="BG51" s="46"/>
      <c r="BH51" s="46"/>
      <c r="BI51" s="46"/>
      <c r="BJ51" s="46"/>
      <c r="BK51" s="46"/>
      <c r="BL51" s="46"/>
      <c r="BM51" s="46"/>
      <c r="BN51" s="46"/>
      <c r="BO51" s="46"/>
      <c r="BP51" s="46"/>
      <c r="BQ51" s="46"/>
      <c r="BR51" s="46"/>
      <c r="BS51" s="46"/>
      <c r="BT51" s="46"/>
      <c r="BU51" s="46"/>
      <c r="BV51" s="46"/>
      <c r="BW51" s="46"/>
      <c r="BX51" s="46"/>
      <c r="BY51" s="46"/>
      <c r="BZ51" s="46"/>
      <c r="CA51" s="46"/>
      <c r="CB51" s="46"/>
      <c r="CC51" s="46"/>
      <c r="CD51" s="46"/>
      <c r="CE51" s="46"/>
      <c r="CF51" s="46"/>
      <c r="CG51" s="46"/>
      <c r="CH51" s="46"/>
      <c r="CI51" s="46"/>
    </row>
    <row r="52" spans="1:87" ht="12.75">
      <c r="A52" s="20"/>
      <c r="B52" s="138" t="s">
        <v>99</v>
      </c>
      <c r="C52" s="136"/>
      <c r="D52" s="136"/>
      <c r="E52" s="137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</row>
    <row r="53" spans="1:87">
      <c r="A53" s="43"/>
      <c r="B53" s="25" t="s">
        <v>100</v>
      </c>
      <c r="C53" s="26">
        <v>620</v>
      </c>
      <c r="D53" s="26">
        <v>740</v>
      </c>
      <c r="E53" s="26">
        <v>300</v>
      </c>
      <c r="F53" s="27">
        <v>11943000</v>
      </c>
      <c r="G53" s="48">
        <v>12092000</v>
      </c>
      <c r="H53" s="42">
        <v>11475000</v>
      </c>
      <c r="I53" s="48">
        <v>11624000</v>
      </c>
      <c r="J53" s="29"/>
      <c r="K53" s="30"/>
      <c r="L53" s="42">
        <v>11986000</v>
      </c>
      <c r="M53" s="48">
        <v>12135000</v>
      </c>
      <c r="N53" s="29"/>
      <c r="O53" s="30"/>
      <c r="P53" s="42">
        <v>11534000</v>
      </c>
      <c r="Q53" s="48">
        <v>11683000</v>
      </c>
      <c r="R53" s="42">
        <v>12122000</v>
      </c>
      <c r="S53" s="48">
        <v>12271000</v>
      </c>
      <c r="T53" s="29"/>
      <c r="U53" s="30"/>
      <c r="V53" s="42">
        <v>11044000</v>
      </c>
      <c r="W53" s="48">
        <v>11193000</v>
      </c>
      <c r="X53" s="42">
        <v>10958000</v>
      </c>
      <c r="Y53" s="48">
        <v>11107000</v>
      </c>
      <c r="Z53" s="42">
        <v>11168000</v>
      </c>
      <c r="AA53" s="48">
        <v>11317000</v>
      </c>
      <c r="AB53" s="42">
        <v>11219000</v>
      </c>
      <c r="AC53" s="48">
        <v>11368000</v>
      </c>
      <c r="AD53" s="42">
        <v>11246000</v>
      </c>
      <c r="AE53" s="48">
        <v>11395000</v>
      </c>
      <c r="AF53" s="42">
        <v>11334000</v>
      </c>
      <c r="AG53" s="48">
        <v>11483000</v>
      </c>
      <c r="AH53" s="42">
        <v>11334000</v>
      </c>
      <c r="AI53" s="48">
        <v>11483000</v>
      </c>
      <c r="AJ53" s="42">
        <v>11210000</v>
      </c>
      <c r="AK53" s="48">
        <v>11359000</v>
      </c>
      <c r="AL53" s="42">
        <v>11361000</v>
      </c>
      <c r="AM53" s="48">
        <v>11510000</v>
      </c>
      <c r="AN53" s="42">
        <v>11069000</v>
      </c>
      <c r="AO53" s="48">
        <v>11218000</v>
      </c>
      <c r="AP53" s="42">
        <v>11312000</v>
      </c>
      <c r="AQ53" s="48">
        <v>11461000</v>
      </c>
      <c r="AR53" s="42">
        <v>11371000</v>
      </c>
      <c r="AS53" s="48">
        <v>11520000</v>
      </c>
      <c r="AT53" s="42">
        <v>11312000</v>
      </c>
      <c r="AU53" s="48">
        <v>11461000</v>
      </c>
      <c r="AV53" s="42">
        <v>11328000</v>
      </c>
      <c r="AW53" s="48">
        <v>11477000</v>
      </c>
      <c r="AX53" s="42">
        <v>11313000</v>
      </c>
      <c r="AY53" s="48">
        <v>11462000</v>
      </c>
      <c r="AZ53" s="42">
        <v>11347000</v>
      </c>
      <c r="BA53" s="48">
        <v>11496000</v>
      </c>
      <c r="BB53" s="42">
        <v>11107000</v>
      </c>
      <c r="BC53" s="48">
        <v>11256000</v>
      </c>
      <c r="BD53" s="42">
        <v>11107000</v>
      </c>
      <c r="BE53" s="48">
        <v>11256000</v>
      </c>
      <c r="BF53" s="42">
        <v>11107000</v>
      </c>
      <c r="BG53" s="48">
        <v>11256000</v>
      </c>
      <c r="BH53" s="42">
        <v>11107000</v>
      </c>
      <c r="BI53" s="48">
        <v>11256000</v>
      </c>
      <c r="BJ53" s="42">
        <v>11102000</v>
      </c>
      <c r="BK53" s="48">
        <v>11251000</v>
      </c>
      <c r="BL53" s="42">
        <v>11128000</v>
      </c>
      <c r="BM53" s="48">
        <v>11277000</v>
      </c>
      <c r="BN53" s="42">
        <v>11128000</v>
      </c>
      <c r="BO53" s="48">
        <v>11277000</v>
      </c>
      <c r="BP53" s="42">
        <v>11123000</v>
      </c>
      <c r="BQ53" s="48">
        <v>11272000</v>
      </c>
      <c r="BR53" s="42">
        <v>11107000</v>
      </c>
      <c r="BS53" s="48">
        <v>11256000</v>
      </c>
      <c r="BT53" s="42">
        <v>11101000</v>
      </c>
      <c r="BU53" s="48">
        <v>11250000</v>
      </c>
      <c r="BV53" s="42">
        <v>11101000</v>
      </c>
      <c r="BW53" s="48">
        <v>11250000</v>
      </c>
      <c r="BX53" s="42">
        <v>11101000</v>
      </c>
      <c r="BY53" s="48">
        <v>11250000</v>
      </c>
      <c r="BZ53" s="42">
        <v>11129000</v>
      </c>
      <c r="CA53" s="48">
        <v>11278000</v>
      </c>
      <c r="CB53" s="42">
        <v>11103000</v>
      </c>
      <c r="CC53" s="48">
        <v>11252000</v>
      </c>
      <c r="CD53" s="42">
        <v>11103000</v>
      </c>
      <c r="CE53" s="48">
        <v>11252000</v>
      </c>
      <c r="CF53" s="42">
        <v>11129000</v>
      </c>
      <c r="CG53" s="48">
        <v>11278000</v>
      </c>
      <c r="CH53" s="42">
        <v>11274000</v>
      </c>
      <c r="CI53" s="48">
        <v>11423000</v>
      </c>
    </row>
    <row r="54" spans="1:87">
      <c r="A54" s="43"/>
      <c r="B54" s="25" t="s">
        <v>101</v>
      </c>
      <c r="C54" s="26">
        <v>620</v>
      </c>
      <c r="D54" s="26">
        <v>740</v>
      </c>
      <c r="E54" s="26">
        <v>450</v>
      </c>
      <c r="F54" s="27">
        <v>12958000</v>
      </c>
      <c r="G54" s="48">
        <v>13182000</v>
      </c>
      <c r="H54" s="42">
        <v>12256000</v>
      </c>
      <c r="I54" s="48">
        <v>12480000</v>
      </c>
      <c r="J54" s="29"/>
      <c r="K54" s="30"/>
      <c r="L54" s="42">
        <v>13022000</v>
      </c>
      <c r="M54" s="48">
        <v>13246000</v>
      </c>
      <c r="N54" s="29"/>
      <c r="O54" s="30"/>
      <c r="P54" s="42">
        <v>12229000</v>
      </c>
      <c r="Q54" s="48">
        <v>12453000</v>
      </c>
      <c r="R54" s="42">
        <v>13405000</v>
      </c>
      <c r="S54" s="48">
        <v>13629000</v>
      </c>
      <c r="T54" s="29"/>
      <c r="U54" s="30"/>
      <c r="V54" s="42">
        <v>11599000</v>
      </c>
      <c r="W54" s="48">
        <v>11823000</v>
      </c>
      <c r="X54" s="42">
        <v>11470000</v>
      </c>
      <c r="Y54" s="48">
        <v>11694000</v>
      </c>
      <c r="Z54" s="42">
        <v>11773000</v>
      </c>
      <c r="AA54" s="48">
        <v>11997000</v>
      </c>
      <c r="AB54" s="42">
        <v>11843000</v>
      </c>
      <c r="AC54" s="48">
        <v>12067000</v>
      </c>
      <c r="AD54" s="42">
        <v>11876000</v>
      </c>
      <c r="AE54" s="48">
        <v>12100000</v>
      </c>
      <c r="AF54" s="42">
        <v>12000000</v>
      </c>
      <c r="AG54" s="48">
        <v>12224000</v>
      </c>
      <c r="AH54" s="42">
        <v>12000000</v>
      </c>
      <c r="AI54" s="48">
        <v>12224000</v>
      </c>
      <c r="AJ54" s="42">
        <v>11834000</v>
      </c>
      <c r="AK54" s="48">
        <v>12058000</v>
      </c>
      <c r="AL54" s="42">
        <v>12058000</v>
      </c>
      <c r="AM54" s="48">
        <v>12282000</v>
      </c>
      <c r="AN54" s="42">
        <v>11624000</v>
      </c>
      <c r="AO54" s="48">
        <v>11848000</v>
      </c>
      <c r="AP54" s="42">
        <v>11982000</v>
      </c>
      <c r="AQ54" s="48">
        <v>12206000</v>
      </c>
      <c r="AR54" s="42">
        <v>12070000</v>
      </c>
      <c r="AS54" s="48">
        <v>12294000</v>
      </c>
      <c r="AT54" s="42">
        <v>11982000</v>
      </c>
      <c r="AU54" s="48">
        <v>12206000</v>
      </c>
      <c r="AV54" s="42">
        <v>12008000</v>
      </c>
      <c r="AW54" s="48">
        <v>12232000</v>
      </c>
      <c r="AX54" s="42">
        <v>11986000</v>
      </c>
      <c r="AY54" s="48">
        <v>12210000</v>
      </c>
      <c r="AZ54" s="42">
        <v>12037000</v>
      </c>
      <c r="BA54" s="48">
        <v>12261000</v>
      </c>
      <c r="BB54" s="42">
        <v>11692000</v>
      </c>
      <c r="BC54" s="48">
        <v>11916000</v>
      </c>
      <c r="BD54" s="42">
        <v>11692000</v>
      </c>
      <c r="BE54" s="48">
        <v>11916000</v>
      </c>
      <c r="BF54" s="42">
        <v>11692000</v>
      </c>
      <c r="BG54" s="48">
        <v>11916000</v>
      </c>
      <c r="BH54" s="42">
        <v>11692000</v>
      </c>
      <c r="BI54" s="48">
        <v>11916000</v>
      </c>
      <c r="BJ54" s="42">
        <v>11686000</v>
      </c>
      <c r="BK54" s="48">
        <v>11910000</v>
      </c>
      <c r="BL54" s="42">
        <v>11725000</v>
      </c>
      <c r="BM54" s="48">
        <v>11949000</v>
      </c>
      <c r="BN54" s="42">
        <v>11725000</v>
      </c>
      <c r="BO54" s="48">
        <v>11949000</v>
      </c>
      <c r="BP54" s="42">
        <v>11716000</v>
      </c>
      <c r="BQ54" s="48">
        <v>11940000</v>
      </c>
      <c r="BR54" s="42">
        <v>11692000</v>
      </c>
      <c r="BS54" s="48">
        <v>11916000</v>
      </c>
      <c r="BT54" s="42">
        <v>11684000</v>
      </c>
      <c r="BU54" s="48">
        <v>11908000</v>
      </c>
      <c r="BV54" s="42">
        <v>11684000</v>
      </c>
      <c r="BW54" s="48">
        <v>11908000</v>
      </c>
      <c r="BX54" s="42">
        <v>11684000</v>
      </c>
      <c r="BY54" s="48">
        <v>11908000</v>
      </c>
      <c r="BZ54" s="42">
        <v>11697000</v>
      </c>
      <c r="CA54" s="48">
        <v>11921000</v>
      </c>
      <c r="CB54" s="42">
        <v>11658000</v>
      </c>
      <c r="CC54" s="48">
        <v>11882000</v>
      </c>
      <c r="CD54" s="42">
        <v>11658000</v>
      </c>
      <c r="CE54" s="48">
        <v>11882000</v>
      </c>
      <c r="CF54" s="42">
        <v>11697000</v>
      </c>
      <c r="CG54" s="48">
        <v>11921000</v>
      </c>
      <c r="CH54" s="42">
        <v>11922000</v>
      </c>
      <c r="CI54" s="48">
        <v>12146000</v>
      </c>
    </row>
    <row r="55" spans="1:87">
      <c r="A55" s="43"/>
      <c r="B55" s="25" t="s">
        <v>102</v>
      </c>
      <c r="C55" s="26">
        <v>620</v>
      </c>
      <c r="D55" s="26">
        <v>740</v>
      </c>
      <c r="E55" s="26">
        <v>600</v>
      </c>
      <c r="F55" s="27">
        <v>13998000</v>
      </c>
      <c r="G55" s="48">
        <v>14296000</v>
      </c>
      <c r="H55" s="42">
        <v>13063000</v>
      </c>
      <c r="I55" s="48">
        <v>13361000</v>
      </c>
      <c r="J55" s="29"/>
      <c r="K55" s="30"/>
      <c r="L55" s="42">
        <v>14084000</v>
      </c>
      <c r="M55" s="48">
        <v>14382000</v>
      </c>
      <c r="N55" s="29"/>
      <c r="O55" s="30"/>
      <c r="P55" s="42">
        <v>12949000</v>
      </c>
      <c r="Q55" s="48">
        <v>13247000</v>
      </c>
      <c r="R55" s="42">
        <v>14713000</v>
      </c>
      <c r="S55" s="48">
        <v>15011000</v>
      </c>
      <c r="T55" s="29"/>
      <c r="U55" s="30"/>
      <c r="V55" s="42">
        <v>12180000</v>
      </c>
      <c r="W55" s="48">
        <v>12478000</v>
      </c>
      <c r="X55" s="42">
        <v>12007000</v>
      </c>
      <c r="Y55" s="48">
        <v>12305000</v>
      </c>
      <c r="Z55" s="42">
        <v>12403000</v>
      </c>
      <c r="AA55" s="48">
        <v>12701000</v>
      </c>
      <c r="AB55" s="42">
        <v>12493000</v>
      </c>
      <c r="AC55" s="48">
        <v>12791000</v>
      </c>
      <c r="AD55" s="42">
        <v>12531000</v>
      </c>
      <c r="AE55" s="48">
        <v>12829000</v>
      </c>
      <c r="AF55" s="42">
        <v>12691000</v>
      </c>
      <c r="AG55" s="48">
        <v>12989000</v>
      </c>
      <c r="AH55" s="42">
        <v>12691000</v>
      </c>
      <c r="AI55" s="48">
        <v>12989000</v>
      </c>
      <c r="AJ55" s="42">
        <v>12483000</v>
      </c>
      <c r="AK55" s="48">
        <v>12781000</v>
      </c>
      <c r="AL55" s="42">
        <v>12780000</v>
      </c>
      <c r="AM55" s="48">
        <v>13078000</v>
      </c>
      <c r="AN55" s="42">
        <v>12205000</v>
      </c>
      <c r="AO55" s="48">
        <v>12503000</v>
      </c>
      <c r="AP55" s="42">
        <v>12676000</v>
      </c>
      <c r="AQ55" s="48">
        <v>12974000</v>
      </c>
      <c r="AR55" s="42">
        <v>12795000</v>
      </c>
      <c r="AS55" s="48">
        <v>13093000</v>
      </c>
      <c r="AT55" s="42">
        <v>12676000</v>
      </c>
      <c r="AU55" s="48">
        <v>12974000</v>
      </c>
      <c r="AV55" s="42">
        <v>12714000</v>
      </c>
      <c r="AW55" s="48">
        <v>13012000</v>
      </c>
      <c r="AX55" s="42">
        <v>12684000</v>
      </c>
      <c r="AY55" s="48">
        <v>12982000</v>
      </c>
      <c r="AZ55" s="42">
        <v>12751000</v>
      </c>
      <c r="BA55" s="48">
        <v>13049000</v>
      </c>
      <c r="BB55" s="42">
        <v>12303000</v>
      </c>
      <c r="BC55" s="48">
        <v>12601000</v>
      </c>
      <c r="BD55" s="42">
        <v>12303000</v>
      </c>
      <c r="BE55" s="48">
        <v>12601000</v>
      </c>
      <c r="BF55" s="42">
        <v>12303000</v>
      </c>
      <c r="BG55" s="48">
        <v>12601000</v>
      </c>
      <c r="BH55" s="42">
        <v>12303000</v>
      </c>
      <c r="BI55" s="48">
        <v>12601000</v>
      </c>
      <c r="BJ55" s="42">
        <v>12295000</v>
      </c>
      <c r="BK55" s="48">
        <v>12593000</v>
      </c>
      <c r="BL55" s="42">
        <v>12346000</v>
      </c>
      <c r="BM55" s="48">
        <v>12644000</v>
      </c>
      <c r="BN55" s="42">
        <v>12346000</v>
      </c>
      <c r="BO55" s="48">
        <v>12644000</v>
      </c>
      <c r="BP55" s="42">
        <v>12335000</v>
      </c>
      <c r="BQ55" s="48">
        <v>12633000</v>
      </c>
      <c r="BR55" s="42">
        <v>12303000</v>
      </c>
      <c r="BS55" s="48">
        <v>12601000</v>
      </c>
      <c r="BT55" s="42">
        <v>12292000</v>
      </c>
      <c r="BU55" s="48">
        <v>12590000</v>
      </c>
      <c r="BV55" s="42">
        <v>12292000</v>
      </c>
      <c r="BW55" s="48">
        <v>12590000</v>
      </c>
      <c r="BX55" s="42">
        <v>12292000</v>
      </c>
      <c r="BY55" s="48">
        <v>12590000</v>
      </c>
      <c r="BZ55" s="42">
        <v>12290000</v>
      </c>
      <c r="CA55" s="48">
        <v>12588000</v>
      </c>
      <c r="CB55" s="42">
        <v>12238000</v>
      </c>
      <c r="CC55" s="48">
        <v>12536000</v>
      </c>
      <c r="CD55" s="42">
        <v>12238000</v>
      </c>
      <c r="CE55" s="48">
        <v>12536000</v>
      </c>
      <c r="CF55" s="42">
        <v>12290000</v>
      </c>
      <c r="CG55" s="48">
        <v>12588000</v>
      </c>
      <c r="CH55" s="42">
        <v>12595000</v>
      </c>
      <c r="CI55" s="48">
        <v>12893000</v>
      </c>
    </row>
    <row r="56" spans="1:87">
      <c r="A56" s="43"/>
      <c r="B56" s="25" t="s">
        <v>103</v>
      </c>
      <c r="C56" s="26">
        <v>620</v>
      </c>
      <c r="D56" s="26">
        <v>740</v>
      </c>
      <c r="E56" s="26">
        <v>900</v>
      </c>
      <c r="F56" s="27">
        <v>16044000</v>
      </c>
      <c r="G56" s="48">
        <v>16492000</v>
      </c>
      <c r="H56" s="42">
        <v>14640000</v>
      </c>
      <c r="I56" s="48">
        <v>15088000</v>
      </c>
      <c r="J56" s="29"/>
      <c r="K56" s="30"/>
      <c r="L56" s="42">
        <v>16172000</v>
      </c>
      <c r="M56" s="48">
        <v>16620000</v>
      </c>
      <c r="N56" s="29"/>
      <c r="O56" s="30"/>
      <c r="P56" s="42">
        <v>14355000</v>
      </c>
      <c r="Q56" s="48">
        <v>14803000</v>
      </c>
      <c r="R56" s="42">
        <v>17294000</v>
      </c>
      <c r="S56" s="48">
        <v>17742000</v>
      </c>
      <c r="T56" s="29"/>
      <c r="U56" s="30"/>
      <c r="V56" s="42">
        <v>13305000</v>
      </c>
      <c r="W56" s="48">
        <v>13753000</v>
      </c>
      <c r="X56" s="42">
        <v>13047000</v>
      </c>
      <c r="Y56" s="48">
        <v>13495000</v>
      </c>
      <c r="Z56" s="42">
        <v>13627000</v>
      </c>
      <c r="AA56" s="48">
        <v>14075000</v>
      </c>
      <c r="AB56" s="42">
        <v>13757000</v>
      </c>
      <c r="AC56" s="48">
        <v>14205000</v>
      </c>
      <c r="AD56" s="42">
        <v>13806000</v>
      </c>
      <c r="AE56" s="48">
        <v>14254000</v>
      </c>
      <c r="AF56" s="42">
        <v>14039000</v>
      </c>
      <c r="AG56" s="48">
        <v>14487000</v>
      </c>
      <c r="AH56" s="42">
        <v>14039000</v>
      </c>
      <c r="AI56" s="48">
        <v>14487000</v>
      </c>
      <c r="AJ56" s="42">
        <v>13747000</v>
      </c>
      <c r="AK56" s="48">
        <v>14195000</v>
      </c>
      <c r="AL56" s="42">
        <v>14190000</v>
      </c>
      <c r="AM56" s="48">
        <v>14638000</v>
      </c>
      <c r="AN56" s="42">
        <v>13332000</v>
      </c>
      <c r="AO56" s="48">
        <v>13780000</v>
      </c>
      <c r="AP56" s="42">
        <v>14031000</v>
      </c>
      <c r="AQ56" s="48">
        <v>14479000</v>
      </c>
      <c r="AR56" s="42">
        <v>14208000</v>
      </c>
      <c r="AS56" s="48">
        <v>14656000</v>
      </c>
      <c r="AT56" s="42">
        <v>14031000</v>
      </c>
      <c r="AU56" s="48">
        <v>14479000</v>
      </c>
      <c r="AV56" s="42">
        <v>14089000</v>
      </c>
      <c r="AW56" s="48">
        <v>14537000</v>
      </c>
      <c r="AX56" s="42">
        <v>14044000</v>
      </c>
      <c r="AY56" s="48">
        <v>14492000</v>
      </c>
      <c r="AZ56" s="42">
        <v>14146000</v>
      </c>
      <c r="BA56" s="48">
        <v>14594000</v>
      </c>
      <c r="BB56" s="42">
        <v>13490000</v>
      </c>
      <c r="BC56" s="48">
        <v>13938000</v>
      </c>
      <c r="BD56" s="42">
        <v>13490000</v>
      </c>
      <c r="BE56" s="48">
        <v>13938000</v>
      </c>
      <c r="BF56" s="42">
        <v>13490000</v>
      </c>
      <c r="BG56" s="48">
        <v>13938000</v>
      </c>
      <c r="BH56" s="42">
        <v>13490000</v>
      </c>
      <c r="BI56" s="48">
        <v>13938000</v>
      </c>
      <c r="BJ56" s="42">
        <v>13478000</v>
      </c>
      <c r="BK56" s="48">
        <v>13926000</v>
      </c>
      <c r="BL56" s="42">
        <v>13554000</v>
      </c>
      <c r="BM56" s="48">
        <v>14002000</v>
      </c>
      <c r="BN56" s="42">
        <v>13554000</v>
      </c>
      <c r="BO56" s="48">
        <v>14002000</v>
      </c>
      <c r="BP56" s="42">
        <v>13538000</v>
      </c>
      <c r="BQ56" s="48">
        <v>13986000</v>
      </c>
      <c r="BR56" s="42">
        <v>13490000</v>
      </c>
      <c r="BS56" s="48">
        <v>13938000</v>
      </c>
      <c r="BT56" s="42">
        <v>13474000</v>
      </c>
      <c r="BU56" s="48">
        <v>13922000</v>
      </c>
      <c r="BV56" s="42">
        <v>13474000</v>
      </c>
      <c r="BW56" s="48">
        <v>13922000</v>
      </c>
      <c r="BX56" s="42">
        <v>13474000</v>
      </c>
      <c r="BY56" s="48">
        <v>13922000</v>
      </c>
      <c r="BZ56" s="42">
        <v>13441000</v>
      </c>
      <c r="CA56" s="48">
        <v>13889000</v>
      </c>
      <c r="CB56" s="42">
        <v>13363000</v>
      </c>
      <c r="CC56" s="48">
        <v>13811000</v>
      </c>
      <c r="CD56" s="42">
        <v>13363000</v>
      </c>
      <c r="CE56" s="48">
        <v>13811000</v>
      </c>
      <c r="CF56" s="42">
        <v>13441000</v>
      </c>
      <c r="CG56" s="48">
        <v>13889000</v>
      </c>
      <c r="CH56" s="42">
        <v>13906000</v>
      </c>
      <c r="CI56" s="48">
        <v>14354000</v>
      </c>
    </row>
    <row r="57" spans="1:87">
      <c r="A57" s="43"/>
      <c r="B57" s="25" t="s">
        <v>104</v>
      </c>
      <c r="C57" s="26">
        <v>620</v>
      </c>
      <c r="D57" s="26">
        <v>740</v>
      </c>
      <c r="E57" s="26">
        <v>1200</v>
      </c>
      <c r="F57" s="27">
        <v>18074000</v>
      </c>
      <c r="G57" s="48">
        <v>18671000</v>
      </c>
      <c r="H57" s="42">
        <v>16203000</v>
      </c>
      <c r="I57" s="48">
        <v>16800000</v>
      </c>
      <c r="J57" s="29"/>
      <c r="K57" s="30"/>
      <c r="L57" s="42">
        <v>18246000</v>
      </c>
      <c r="M57" s="48">
        <v>18843000</v>
      </c>
      <c r="N57" s="29"/>
      <c r="O57" s="30"/>
      <c r="P57" s="42">
        <v>15745000</v>
      </c>
      <c r="Q57" s="48">
        <v>16342000</v>
      </c>
      <c r="R57" s="42">
        <v>19861000</v>
      </c>
      <c r="S57" s="48">
        <v>20458000</v>
      </c>
      <c r="T57" s="29"/>
      <c r="U57" s="30"/>
      <c r="V57" s="42">
        <v>14416000</v>
      </c>
      <c r="W57" s="48">
        <v>15013000</v>
      </c>
      <c r="X57" s="42">
        <v>14071000</v>
      </c>
      <c r="Y57" s="48">
        <v>14668000</v>
      </c>
      <c r="Z57" s="42">
        <v>14837000</v>
      </c>
      <c r="AA57" s="48">
        <v>15434000</v>
      </c>
      <c r="AB57" s="42">
        <v>15006000</v>
      </c>
      <c r="AC57" s="48">
        <v>15603000</v>
      </c>
      <c r="AD57" s="42">
        <v>15065000</v>
      </c>
      <c r="AE57" s="48">
        <v>15662000</v>
      </c>
      <c r="AF57" s="42">
        <v>15371000</v>
      </c>
      <c r="AG57" s="48">
        <v>15968000</v>
      </c>
      <c r="AH57" s="42">
        <v>15371000</v>
      </c>
      <c r="AI57" s="48">
        <v>15968000</v>
      </c>
      <c r="AJ57" s="42">
        <v>14995000</v>
      </c>
      <c r="AK57" s="48">
        <v>15592000</v>
      </c>
      <c r="AL57" s="42">
        <v>15584000</v>
      </c>
      <c r="AM57" s="48">
        <v>16181000</v>
      </c>
      <c r="AN57" s="42">
        <v>14443000</v>
      </c>
      <c r="AO57" s="48">
        <v>15040000</v>
      </c>
      <c r="AP57" s="42">
        <v>15371000</v>
      </c>
      <c r="AQ57" s="48">
        <v>15968000</v>
      </c>
      <c r="AR57" s="42">
        <v>15607000</v>
      </c>
      <c r="AS57" s="48">
        <v>16204000</v>
      </c>
      <c r="AT57" s="42">
        <v>15371000</v>
      </c>
      <c r="AU57" s="48">
        <v>15968000</v>
      </c>
      <c r="AV57" s="42">
        <v>15450000</v>
      </c>
      <c r="AW57" s="48">
        <v>16047000</v>
      </c>
      <c r="AX57" s="42">
        <v>15390000</v>
      </c>
      <c r="AY57" s="48">
        <v>15987000</v>
      </c>
      <c r="AZ57" s="42">
        <v>15525000</v>
      </c>
      <c r="BA57" s="48">
        <v>16122000</v>
      </c>
      <c r="BB57" s="42">
        <v>14661000</v>
      </c>
      <c r="BC57" s="48">
        <v>15258000</v>
      </c>
      <c r="BD57" s="42">
        <v>14661000</v>
      </c>
      <c r="BE57" s="48">
        <v>15258000</v>
      </c>
      <c r="BF57" s="42">
        <v>14661000</v>
      </c>
      <c r="BG57" s="48">
        <v>15258000</v>
      </c>
      <c r="BH57" s="42">
        <v>14661000</v>
      </c>
      <c r="BI57" s="48">
        <v>15258000</v>
      </c>
      <c r="BJ57" s="42">
        <v>14645000</v>
      </c>
      <c r="BK57" s="48">
        <v>15242000</v>
      </c>
      <c r="BL57" s="42">
        <v>14747000</v>
      </c>
      <c r="BM57" s="48">
        <v>15344000</v>
      </c>
      <c r="BN57" s="42">
        <v>14747000</v>
      </c>
      <c r="BO57" s="48">
        <v>15344000</v>
      </c>
      <c r="BP57" s="42">
        <v>14726000</v>
      </c>
      <c r="BQ57" s="48">
        <v>15323000</v>
      </c>
      <c r="BR57" s="42">
        <v>14661000</v>
      </c>
      <c r="BS57" s="48">
        <v>15258000</v>
      </c>
      <c r="BT57" s="42">
        <v>14640000</v>
      </c>
      <c r="BU57" s="48">
        <v>15237000</v>
      </c>
      <c r="BV57" s="42">
        <v>14640000</v>
      </c>
      <c r="BW57" s="48">
        <v>15237000</v>
      </c>
      <c r="BX57" s="42">
        <v>14640000</v>
      </c>
      <c r="BY57" s="48">
        <v>15237000</v>
      </c>
      <c r="BZ57" s="42">
        <v>14577000</v>
      </c>
      <c r="CA57" s="48">
        <v>15174000</v>
      </c>
      <c r="CB57" s="42">
        <v>14473000</v>
      </c>
      <c r="CC57" s="48">
        <v>15070000</v>
      </c>
      <c r="CD57" s="42">
        <v>14473000</v>
      </c>
      <c r="CE57" s="48">
        <v>15070000</v>
      </c>
      <c r="CF57" s="42">
        <v>14577000</v>
      </c>
      <c r="CG57" s="48">
        <v>15174000</v>
      </c>
      <c r="CH57" s="42">
        <v>15202000</v>
      </c>
      <c r="CI57" s="48">
        <v>15799000</v>
      </c>
    </row>
    <row r="58" spans="1:87" ht="63" customHeight="1">
      <c r="A58" s="49" t="e">
        <f ca="1">_xludf.image("https://lh3.google.com/u/0/d/1PzAxE3naivpCSZsXJhrBuGPUYiBzZce2",1)</f>
        <v>#NAME?</v>
      </c>
      <c r="B58" s="45" t="s">
        <v>105</v>
      </c>
      <c r="C58" s="143" t="e">
        <f ca="1">_xludf.image("https://lh3.google.com/u/0/d/18ZTKhRMWEbXIBtUxvjA-a3WTiJQGCXKE",1)</f>
        <v>#NAME?</v>
      </c>
      <c r="D58" s="136"/>
      <c r="E58" s="137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7" t="s">
        <v>106</v>
      </c>
      <c r="Q58" s="46"/>
      <c r="R58" s="47" t="s">
        <v>106</v>
      </c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  <c r="AK58" s="46"/>
      <c r="AL58" s="46"/>
      <c r="AM58" s="46"/>
      <c r="AN58" s="46"/>
      <c r="AO58" s="46"/>
      <c r="AP58" s="46"/>
      <c r="AQ58" s="46"/>
      <c r="AR58" s="46"/>
      <c r="AS58" s="46"/>
      <c r="AT58" s="46"/>
      <c r="AU58" s="46"/>
      <c r="AV58" s="46"/>
      <c r="AW58" s="46"/>
      <c r="AX58" s="46"/>
      <c r="AY58" s="46"/>
      <c r="AZ58" s="46"/>
      <c r="BA58" s="46"/>
      <c r="BB58" s="46"/>
      <c r="BC58" s="46"/>
      <c r="BD58" s="46"/>
      <c r="BE58" s="46"/>
      <c r="BF58" s="46"/>
      <c r="BG58" s="46"/>
      <c r="BH58" s="46"/>
      <c r="BI58" s="46"/>
      <c r="BJ58" s="46"/>
      <c r="BK58" s="46"/>
      <c r="BL58" s="46"/>
      <c r="BM58" s="46"/>
      <c r="BN58" s="46"/>
      <c r="BO58" s="46"/>
      <c r="BP58" s="46"/>
      <c r="BQ58" s="46"/>
      <c r="BR58" s="46"/>
      <c r="BS58" s="46"/>
      <c r="BT58" s="46"/>
      <c r="BU58" s="46"/>
      <c r="BV58" s="46"/>
      <c r="BW58" s="46"/>
      <c r="BX58" s="46"/>
      <c r="BY58" s="46"/>
      <c r="BZ58" s="46"/>
      <c r="CA58" s="46"/>
      <c r="CB58" s="46"/>
      <c r="CC58" s="46"/>
      <c r="CD58" s="46"/>
      <c r="CE58" s="46"/>
      <c r="CF58" s="46"/>
      <c r="CG58" s="46"/>
      <c r="CH58" s="46"/>
      <c r="CI58" s="46"/>
    </row>
    <row r="59" spans="1:87" ht="12.75">
      <c r="A59" s="20"/>
      <c r="B59" s="138" t="s">
        <v>107</v>
      </c>
      <c r="C59" s="136"/>
      <c r="D59" s="136"/>
      <c r="E59" s="137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</row>
    <row r="60" spans="1:87">
      <c r="A60" s="43"/>
      <c r="B60" s="25" t="s">
        <v>108</v>
      </c>
      <c r="C60" s="26">
        <v>620</v>
      </c>
      <c r="D60" s="26">
        <v>740</v>
      </c>
      <c r="E60" s="26">
        <v>300</v>
      </c>
      <c r="F60" s="27">
        <v>6108000</v>
      </c>
      <c r="G60" s="48">
        <v>6325000</v>
      </c>
      <c r="H60" s="42">
        <v>5640000</v>
      </c>
      <c r="I60" s="48">
        <v>5857000</v>
      </c>
      <c r="J60" s="29"/>
      <c r="K60" s="30"/>
      <c r="L60" s="42">
        <v>6151000</v>
      </c>
      <c r="M60" s="48">
        <v>6368000</v>
      </c>
      <c r="N60" s="29"/>
      <c r="O60" s="30"/>
      <c r="P60" s="42">
        <v>5737000</v>
      </c>
      <c r="Q60" s="48">
        <v>5954000</v>
      </c>
      <c r="R60" s="42">
        <v>6570000</v>
      </c>
      <c r="S60" s="48">
        <v>6787000</v>
      </c>
      <c r="T60" s="29"/>
      <c r="U60" s="30"/>
      <c r="V60" s="42">
        <v>5209000</v>
      </c>
      <c r="W60" s="48">
        <v>5426000</v>
      </c>
      <c r="X60" s="42">
        <v>5123000</v>
      </c>
      <c r="Y60" s="48">
        <v>5340000</v>
      </c>
      <c r="Z60" s="42">
        <v>5333000</v>
      </c>
      <c r="AA60" s="48">
        <v>5550000</v>
      </c>
      <c r="AB60" s="42">
        <v>5384000</v>
      </c>
      <c r="AC60" s="48">
        <v>5601000</v>
      </c>
      <c r="AD60" s="42">
        <v>5411000</v>
      </c>
      <c r="AE60" s="48">
        <v>5628000</v>
      </c>
      <c r="AF60" s="42">
        <v>5499000</v>
      </c>
      <c r="AG60" s="48">
        <v>5716000</v>
      </c>
      <c r="AH60" s="42">
        <v>5499000</v>
      </c>
      <c r="AI60" s="48">
        <v>5716000</v>
      </c>
      <c r="AJ60" s="42">
        <v>5375000</v>
      </c>
      <c r="AK60" s="48">
        <v>5592000</v>
      </c>
      <c r="AL60" s="42">
        <v>5526000</v>
      </c>
      <c r="AM60" s="48">
        <v>5743000</v>
      </c>
      <c r="AN60" s="42">
        <v>5234000</v>
      </c>
      <c r="AO60" s="48">
        <v>5451000</v>
      </c>
      <c r="AP60" s="42">
        <v>5477000</v>
      </c>
      <c r="AQ60" s="48">
        <v>5694000</v>
      </c>
      <c r="AR60" s="42">
        <v>5536000</v>
      </c>
      <c r="AS60" s="48">
        <v>5753000</v>
      </c>
      <c r="AT60" s="42">
        <v>5477000</v>
      </c>
      <c r="AU60" s="48">
        <v>5694000</v>
      </c>
      <c r="AV60" s="42">
        <v>5493000</v>
      </c>
      <c r="AW60" s="48">
        <v>5710000</v>
      </c>
      <c r="AX60" s="42">
        <v>5478000</v>
      </c>
      <c r="AY60" s="48">
        <v>5695000</v>
      </c>
      <c r="AZ60" s="42">
        <v>5512000</v>
      </c>
      <c r="BA60" s="48">
        <v>5729000</v>
      </c>
      <c r="BB60" s="42">
        <v>5272000</v>
      </c>
      <c r="BC60" s="48">
        <v>5489000</v>
      </c>
      <c r="BD60" s="42">
        <v>5272000</v>
      </c>
      <c r="BE60" s="48">
        <v>5489000</v>
      </c>
      <c r="BF60" s="42">
        <v>5272000</v>
      </c>
      <c r="BG60" s="48">
        <v>5489000</v>
      </c>
      <c r="BH60" s="42">
        <v>5272000</v>
      </c>
      <c r="BI60" s="48">
        <v>5489000</v>
      </c>
      <c r="BJ60" s="42">
        <v>5267000</v>
      </c>
      <c r="BK60" s="48">
        <v>5484000</v>
      </c>
      <c r="BL60" s="42">
        <v>5293000</v>
      </c>
      <c r="BM60" s="48">
        <v>5510000</v>
      </c>
      <c r="BN60" s="42">
        <v>5293000</v>
      </c>
      <c r="BO60" s="48">
        <v>5510000</v>
      </c>
      <c r="BP60" s="42">
        <v>5288000</v>
      </c>
      <c r="BQ60" s="48">
        <v>5505000</v>
      </c>
      <c r="BR60" s="42">
        <v>5272000</v>
      </c>
      <c r="BS60" s="48">
        <v>5489000</v>
      </c>
      <c r="BT60" s="42">
        <v>5266000</v>
      </c>
      <c r="BU60" s="48">
        <v>5483000</v>
      </c>
      <c r="BV60" s="42">
        <v>5266000</v>
      </c>
      <c r="BW60" s="48">
        <v>5483000</v>
      </c>
      <c r="BX60" s="42">
        <v>5266000</v>
      </c>
      <c r="BY60" s="48">
        <v>5483000</v>
      </c>
      <c r="BZ60" s="42">
        <v>5294000</v>
      </c>
      <c r="CA60" s="48">
        <v>5511000</v>
      </c>
      <c r="CB60" s="42">
        <v>5268000</v>
      </c>
      <c r="CC60" s="48">
        <v>5485000</v>
      </c>
      <c r="CD60" s="42">
        <v>5268000</v>
      </c>
      <c r="CE60" s="48">
        <v>5485000</v>
      </c>
      <c r="CF60" s="42">
        <v>5294000</v>
      </c>
      <c r="CG60" s="48">
        <v>5511000</v>
      </c>
      <c r="CH60" s="42">
        <v>5439000</v>
      </c>
      <c r="CI60" s="48">
        <v>5656000</v>
      </c>
    </row>
    <row r="61" spans="1:87">
      <c r="A61" s="43"/>
      <c r="B61" s="25" t="s">
        <v>109</v>
      </c>
      <c r="C61" s="26">
        <v>620</v>
      </c>
      <c r="D61" s="26">
        <v>740</v>
      </c>
      <c r="E61" s="26">
        <v>450</v>
      </c>
      <c r="F61" s="27">
        <v>7303000</v>
      </c>
      <c r="G61" s="48">
        <v>7554000</v>
      </c>
      <c r="H61" s="42">
        <v>6601000</v>
      </c>
      <c r="I61" s="48">
        <v>6852000</v>
      </c>
      <c r="J61" s="29"/>
      <c r="K61" s="30"/>
      <c r="L61" s="42">
        <v>7367000</v>
      </c>
      <c r="M61" s="48">
        <v>7618000</v>
      </c>
      <c r="N61" s="29"/>
      <c r="O61" s="30"/>
      <c r="P61" s="42">
        <v>6649000</v>
      </c>
      <c r="Q61" s="48">
        <v>6900000</v>
      </c>
      <c r="R61" s="42">
        <v>8317000</v>
      </c>
      <c r="S61" s="48">
        <v>8568000</v>
      </c>
      <c r="T61" s="29"/>
      <c r="U61" s="30"/>
      <c r="V61" s="42">
        <v>5944000</v>
      </c>
      <c r="W61" s="48">
        <v>6195000</v>
      </c>
      <c r="X61" s="42">
        <v>5815000</v>
      </c>
      <c r="Y61" s="48">
        <v>6066000</v>
      </c>
      <c r="Z61" s="42">
        <v>6118000</v>
      </c>
      <c r="AA61" s="48">
        <v>6369000</v>
      </c>
      <c r="AB61" s="42">
        <v>6188000</v>
      </c>
      <c r="AC61" s="48">
        <v>6439000</v>
      </c>
      <c r="AD61" s="42">
        <v>6221000</v>
      </c>
      <c r="AE61" s="48">
        <v>6472000</v>
      </c>
      <c r="AF61" s="42">
        <v>6345000</v>
      </c>
      <c r="AG61" s="48">
        <v>6596000</v>
      </c>
      <c r="AH61" s="42">
        <v>6345000</v>
      </c>
      <c r="AI61" s="48">
        <v>6596000</v>
      </c>
      <c r="AJ61" s="42">
        <v>6179000</v>
      </c>
      <c r="AK61" s="48">
        <v>6430000</v>
      </c>
      <c r="AL61" s="42">
        <v>6403000</v>
      </c>
      <c r="AM61" s="48">
        <v>6654000</v>
      </c>
      <c r="AN61" s="42">
        <v>5969000</v>
      </c>
      <c r="AO61" s="48">
        <v>6220000</v>
      </c>
      <c r="AP61" s="42">
        <v>6327000</v>
      </c>
      <c r="AQ61" s="48">
        <v>6578000</v>
      </c>
      <c r="AR61" s="42">
        <v>6415000</v>
      </c>
      <c r="AS61" s="48">
        <v>6666000</v>
      </c>
      <c r="AT61" s="42">
        <v>6327000</v>
      </c>
      <c r="AU61" s="48">
        <v>6578000</v>
      </c>
      <c r="AV61" s="42">
        <v>6353000</v>
      </c>
      <c r="AW61" s="48">
        <v>6604000</v>
      </c>
      <c r="AX61" s="42">
        <v>6331000</v>
      </c>
      <c r="AY61" s="48">
        <v>6582000</v>
      </c>
      <c r="AZ61" s="42">
        <v>6382000</v>
      </c>
      <c r="BA61" s="48">
        <v>6633000</v>
      </c>
      <c r="BB61" s="42">
        <v>6037000</v>
      </c>
      <c r="BC61" s="48">
        <v>6288000</v>
      </c>
      <c r="BD61" s="42">
        <v>6037000</v>
      </c>
      <c r="BE61" s="48">
        <v>6288000</v>
      </c>
      <c r="BF61" s="42">
        <v>6037000</v>
      </c>
      <c r="BG61" s="48">
        <v>6288000</v>
      </c>
      <c r="BH61" s="42">
        <v>6037000</v>
      </c>
      <c r="BI61" s="48">
        <v>6288000</v>
      </c>
      <c r="BJ61" s="42">
        <v>6031000</v>
      </c>
      <c r="BK61" s="48">
        <v>6282000</v>
      </c>
      <c r="BL61" s="42">
        <v>6070000</v>
      </c>
      <c r="BM61" s="48">
        <v>6321000</v>
      </c>
      <c r="BN61" s="42">
        <v>6070000</v>
      </c>
      <c r="BO61" s="48">
        <v>6321000</v>
      </c>
      <c r="BP61" s="42">
        <v>6061000</v>
      </c>
      <c r="BQ61" s="48">
        <v>6312000</v>
      </c>
      <c r="BR61" s="42">
        <v>6037000</v>
      </c>
      <c r="BS61" s="48">
        <v>6288000</v>
      </c>
      <c r="BT61" s="42">
        <v>6029000</v>
      </c>
      <c r="BU61" s="48">
        <v>6280000</v>
      </c>
      <c r="BV61" s="42">
        <v>6029000</v>
      </c>
      <c r="BW61" s="48">
        <v>6280000</v>
      </c>
      <c r="BX61" s="42">
        <v>6029000</v>
      </c>
      <c r="BY61" s="48">
        <v>6280000</v>
      </c>
      <c r="BZ61" s="42">
        <v>6042000</v>
      </c>
      <c r="CA61" s="48">
        <v>6293000</v>
      </c>
      <c r="CB61" s="42">
        <v>6003000</v>
      </c>
      <c r="CC61" s="48">
        <v>6254000</v>
      </c>
      <c r="CD61" s="42">
        <v>6003000</v>
      </c>
      <c r="CE61" s="48">
        <v>6254000</v>
      </c>
      <c r="CF61" s="42">
        <v>6042000</v>
      </c>
      <c r="CG61" s="48">
        <v>6293000</v>
      </c>
      <c r="CH61" s="42">
        <v>6267000</v>
      </c>
      <c r="CI61" s="48">
        <v>6518000</v>
      </c>
    </row>
    <row r="62" spans="1:87">
      <c r="A62" s="43"/>
      <c r="B62" s="25" t="s">
        <v>110</v>
      </c>
      <c r="C62" s="26">
        <v>620</v>
      </c>
      <c r="D62" s="26">
        <v>740</v>
      </c>
      <c r="E62" s="26">
        <v>600</v>
      </c>
      <c r="F62" s="27">
        <v>8523000</v>
      </c>
      <c r="G62" s="48">
        <v>8808000</v>
      </c>
      <c r="H62" s="42">
        <v>7588000</v>
      </c>
      <c r="I62" s="48">
        <v>7873000</v>
      </c>
      <c r="J62" s="29"/>
      <c r="K62" s="30"/>
      <c r="L62" s="42">
        <v>8609000</v>
      </c>
      <c r="M62" s="48">
        <v>8894000</v>
      </c>
      <c r="N62" s="29"/>
      <c r="O62" s="30"/>
      <c r="P62" s="42">
        <v>7587000</v>
      </c>
      <c r="Q62" s="48">
        <v>7872000</v>
      </c>
      <c r="R62" s="42">
        <v>10088000</v>
      </c>
      <c r="S62" s="48">
        <v>10373000</v>
      </c>
      <c r="T62" s="29"/>
      <c r="U62" s="30"/>
      <c r="V62" s="42">
        <v>6705000</v>
      </c>
      <c r="W62" s="48">
        <v>6990000</v>
      </c>
      <c r="X62" s="42">
        <v>6532000</v>
      </c>
      <c r="Y62" s="48">
        <v>6817000</v>
      </c>
      <c r="Z62" s="42">
        <v>6928000</v>
      </c>
      <c r="AA62" s="48">
        <v>7213000</v>
      </c>
      <c r="AB62" s="42">
        <v>7018000</v>
      </c>
      <c r="AC62" s="48">
        <v>7303000</v>
      </c>
      <c r="AD62" s="42">
        <v>7056000</v>
      </c>
      <c r="AE62" s="48">
        <v>7341000</v>
      </c>
      <c r="AF62" s="42">
        <v>7216000</v>
      </c>
      <c r="AG62" s="48">
        <v>7501000</v>
      </c>
      <c r="AH62" s="42">
        <v>7216000</v>
      </c>
      <c r="AI62" s="48">
        <v>7501000</v>
      </c>
      <c r="AJ62" s="42">
        <v>7008000</v>
      </c>
      <c r="AK62" s="48">
        <v>7293000</v>
      </c>
      <c r="AL62" s="42">
        <v>7305000</v>
      </c>
      <c r="AM62" s="48">
        <v>7590000</v>
      </c>
      <c r="AN62" s="42">
        <v>6730000</v>
      </c>
      <c r="AO62" s="48">
        <v>7015000</v>
      </c>
      <c r="AP62" s="42">
        <v>7201000</v>
      </c>
      <c r="AQ62" s="48">
        <v>7486000</v>
      </c>
      <c r="AR62" s="42">
        <v>7320000</v>
      </c>
      <c r="AS62" s="48">
        <v>7605000</v>
      </c>
      <c r="AT62" s="42">
        <v>7201000</v>
      </c>
      <c r="AU62" s="48">
        <v>7486000</v>
      </c>
      <c r="AV62" s="42">
        <v>7239000</v>
      </c>
      <c r="AW62" s="48">
        <v>7524000</v>
      </c>
      <c r="AX62" s="42">
        <v>7209000</v>
      </c>
      <c r="AY62" s="48">
        <v>7494000</v>
      </c>
      <c r="AZ62" s="42">
        <v>7276000</v>
      </c>
      <c r="BA62" s="48">
        <v>7561000</v>
      </c>
      <c r="BB62" s="42">
        <v>6828000</v>
      </c>
      <c r="BC62" s="48">
        <v>7113000</v>
      </c>
      <c r="BD62" s="42">
        <v>6828000</v>
      </c>
      <c r="BE62" s="48">
        <v>7113000</v>
      </c>
      <c r="BF62" s="42">
        <v>6828000</v>
      </c>
      <c r="BG62" s="48">
        <v>7113000</v>
      </c>
      <c r="BH62" s="42">
        <v>6828000</v>
      </c>
      <c r="BI62" s="48">
        <v>7113000</v>
      </c>
      <c r="BJ62" s="42">
        <v>6820000</v>
      </c>
      <c r="BK62" s="48">
        <v>7105000</v>
      </c>
      <c r="BL62" s="42">
        <v>6871000</v>
      </c>
      <c r="BM62" s="48">
        <v>7156000</v>
      </c>
      <c r="BN62" s="42">
        <v>6871000</v>
      </c>
      <c r="BO62" s="48">
        <v>7156000</v>
      </c>
      <c r="BP62" s="42">
        <v>6860000</v>
      </c>
      <c r="BQ62" s="48">
        <v>7145000</v>
      </c>
      <c r="BR62" s="42">
        <v>6828000</v>
      </c>
      <c r="BS62" s="48">
        <v>7113000</v>
      </c>
      <c r="BT62" s="42">
        <v>6817000</v>
      </c>
      <c r="BU62" s="48">
        <v>7102000</v>
      </c>
      <c r="BV62" s="42">
        <v>6817000</v>
      </c>
      <c r="BW62" s="48">
        <v>7102000</v>
      </c>
      <c r="BX62" s="42">
        <v>6817000</v>
      </c>
      <c r="BY62" s="48">
        <v>7102000</v>
      </c>
      <c r="BZ62" s="42">
        <v>6815000</v>
      </c>
      <c r="CA62" s="48">
        <v>7100000</v>
      </c>
      <c r="CB62" s="42">
        <v>6763000</v>
      </c>
      <c r="CC62" s="48">
        <v>7048000</v>
      </c>
      <c r="CD62" s="42">
        <v>6763000</v>
      </c>
      <c r="CE62" s="48">
        <v>7048000</v>
      </c>
      <c r="CF62" s="42">
        <v>6815000</v>
      </c>
      <c r="CG62" s="48">
        <v>7100000</v>
      </c>
      <c r="CH62" s="42">
        <v>7120000</v>
      </c>
      <c r="CI62" s="48">
        <v>7405000</v>
      </c>
    </row>
    <row r="63" spans="1:87">
      <c r="A63" s="43"/>
      <c r="B63" s="25" t="s">
        <v>111</v>
      </c>
      <c r="C63" s="26">
        <v>620</v>
      </c>
      <c r="D63" s="26">
        <v>740</v>
      </c>
      <c r="E63" s="26">
        <v>900</v>
      </c>
      <c r="F63" s="27">
        <v>11288000</v>
      </c>
      <c r="G63" s="48">
        <v>11791000</v>
      </c>
      <c r="H63" s="42">
        <v>9884000</v>
      </c>
      <c r="I63" s="48">
        <v>10387000</v>
      </c>
      <c r="J63" s="29"/>
      <c r="K63" s="30"/>
      <c r="L63" s="42">
        <v>11416000</v>
      </c>
      <c r="M63" s="48">
        <v>11919000</v>
      </c>
      <c r="N63" s="29"/>
      <c r="O63" s="30"/>
      <c r="P63" s="42">
        <v>10016000</v>
      </c>
      <c r="Q63" s="48">
        <v>10519000</v>
      </c>
      <c r="R63" s="42">
        <v>14185000</v>
      </c>
      <c r="S63" s="48">
        <v>14688000</v>
      </c>
      <c r="T63" s="29"/>
      <c r="U63" s="30"/>
      <c r="V63" s="42">
        <v>8570000</v>
      </c>
      <c r="W63" s="48">
        <v>9073000</v>
      </c>
      <c r="X63" s="42">
        <v>8311000</v>
      </c>
      <c r="Y63" s="48">
        <v>8814000</v>
      </c>
      <c r="Z63" s="42">
        <v>8917000</v>
      </c>
      <c r="AA63" s="48">
        <v>9420000</v>
      </c>
      <c r="AB63" s="42">
        <v>9058000</v>
      </c>
      <c r="AC63" s="48">
        <v>9561000</v>
      </c>
      <c r="AD63" s="42">
        <v>9124000</v>
      </c>
      <c r="AE63" s="48">
        <v>9627000</v>
      </c>
      <c r="AF63" s="42">
        <v>9372000</v>
      </c>
      <c r="AG63" s="48">
        <v>9875000</v>
      </c>
      <c r="AH63" s="42">
        <v>9372000</v>
      </c>
      <c r="AI63" s="48">
        <v>9875000</v>
      </c>
      <c r="AJ63" s="42">
        <v>9040000</v>
      </c>
      <c r="AK63" s="48">
        <v>9543000</v>
      </c>
      <c r="AL63" s="42">
        <v>9488000</v>
      </c>
      <c r="AM63" s="48">
        <v>9991000</v>
      </c>
      <c r="AN63" s="42">
        <v>8620000</v>
      </c>
      <c r="AO63" s="48">
        <v>9123000</v>
      </c>
      <c r="AP63" s="42">
        <v>9335000</v>
      </c>
      <c r="AQ63" s="48">
        <v>9838000</v>
      </c>
      <c r="AR63" s="42">
        <v>9512000</v>
      </c>
      <c r="AS63" s="48">
        <v>10015000</v>
      </c>
      <c r="AT63" s="42">
        <v>9335000</v>
      </c>
      <c r="AU63" s="48">
        <v>9838000</v>
      </c>
      <c r="AV63" s="42">
        <v>9388000</v>
      </c>
      <c r="AW63" s="48">
        <v>9891000</v>
      </c>
      <c r="AX63" s="42">
        <v>9343000</v>
      </c>
      <c r="AY63" s="48">
        <v>9846000</v>
      </c>
      <c r="AZ63" s="42">
        <v>9445000</v>
      </c>
      <c r="BA63" s="48">
        <v>9948000</v>
      </c>
      <c r="BB63" s="42">
        <v>8756000</v>
      </c>
      <c r="BC63" s="48">
        <v>9259000</v>
      </c>
      <c r="BD63" s="42">
        <v>8756000</v>
      </c>
      <c r="BE63" s="48">
        <v>9259000</v>
      </c>
      <c r="BF63" s="42">
        <v>8756000</v>
      </c>
      <c r="BG63" s="48">
        <v>9259000</v>
      </c>
      <c r="BH63" s="42">
        <v>8756000</v>
      </c>
      <c r="BI63" s="48">
        <v>9259000</v>
      </c>
      <c r="BJ63" s="42">
        <v>8744000</v>
      </c>
      <c r="BK63" s="48">
        <v>9247000</v>
      </c>
      <c r="BL63" s="42">
        <v>8821000</v>
      </c>
      <c r="BM63" s="48">
        <v>9324000</v>
      </c>
      <c r="BN63" s="42">
        <v>8821000</v>
      </c>
      <c r="BO63" s="48">
        <v>9324000</v>
      </c>
      <c r="BP63" s="42">
        <v>8804000</v>
      </c>
      <c r="BQ63" s="48">
        <v>9307000</v>
      </c>
      <c r="BR63" s="42">
        <v>8756000</v>
      </c>
      <c r="BS63" s="48">
        <v>9259000</v>
      </c>
      <c r="BT63" s="42">
        <v>8740000</v>
      </c>
      <c r="BU63" s="48">
        <v>9243000</v>
      </c>
      <c r="BV63" s="42">
        <v>8740000</v>
      </c>
      <c r="BW63" s="48">
        <v>9243000</v>
      </c>
      <c r="BX63" s="42">
        <v>8740000</v>
      </c>
      <c r="BY63" s="48">
        <v>9243000</v>
      </c>
      <c r="BZ63" s="42">
        <v>8765000</v>
      </c>
      <c r="CA63" s="48">
        <v>9268000</v>
      </c>
      <c r="CB63" s="42">
        <v>8688000</v>
      </c>
      <c r="CC63" s="48">
        <v>9191000</v>
      </c>
      <c r="CD63" s="42">
        <v>8688000</v>
      </c>
      <c r="CE63" s="48">
        <v>9191000</v>
      </c>
      <c r="CF63" s="42">
        <v>8765000</v>
      </c>
      <c r="CG63" s="48">
        <v>9268000</v>
      </c>
      <c r="CH63" s="42">
        <v>9215000</v>
      </c>
      <c r="CI63" s="48">
        <v>9718000</v>
      </c>
    </row>
    <row r="64" spans="1:87" ht="63" customHeight="1">
      <c r="A64" s="20" t="e">
        <f ca="1">_xludf.image("https://lh3.google.com/u/0/d/1Yb0Dv2TOdzAqfildI3J2J6dRwZ7F3PBG",1)</f>
        <v>#NAME?</v>
      </c>
      <c r="B64" s="45" t="s">
        <v>112</v>
      </c>
      <c r="C64" s="139" t="e">
        <f ca="1">_xludf.image("https://lh3.google.com/u/0/d/1WRHe4YvjzdHw6JYGIv4mptJC1daEep3u",1)</f>
        <v>#NAME?</v>
      </c>
      <c r="D64" s="136"/>
      <c r="E64" s="137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  <c r="AK64" s="46"/>
      <c r="AL64" s="46"/>
      <c r="AM64" s="46"/>
      <c r="AN64" s="46"/>
      <c r="AO64" s="46"/>
      <c r="AP64" s="46"/>
      <c r="AQ64" s="46"/>
      <c r="AR64" s="46"/>
      <c r="AS64" s="46"/>
      <c r="AT64" s="46"/>
      <c r="AU64" s="46"/>
      <c r="AV64" s="46"/>
      <c r="AW64" s="46"/>
      <c r="AX64" s="46"/>
      <c r="AY64" s="46"/>
      <c r="AZ64" s="46"/>
      <c r="BA64" s="46"/>
      <c r="BB64" s="46"/>
      <c r="BC64" s="46"/>
      <c r="BD64" s="46"/>
      <c r="BE64" s="46"/>
      <c r="BF64" s="46"/>
      <c r="BG64" s="46"/>
      <c r="BH64" s="46"/>
      <c r="BI64" s="46"/>
      <c r="BJ64" s="46"/>
      <c r="BK64" s="46"/>
      <c r="BL64" s="46"/>
      <c r="BM64" s="46"/>
      <c r="BN64" s="46"/>
      <c r="BO64" s="46"/>
      <c r="BP64" s="46"/>
      <c r="BQ64" s="46"/>
      <c r="BR64" s="46"/>
      <c r="BS64" s="46"/>
      <c r="BT64" s="46"/>
      <c r="BU64" s="46"/>
      <c r="BV64" s="46"/>
      <c r="BW64" s="46"/>
      <c r="BX64" s="46"/>
      <c r="BY64" s="46"/>
      <c r="BZ64" s="46"/>
      <c r="CA64" s="46"/>
      <c r="CB64" s="46"/>
      <c r="CC64" s="46"/>
      <c r="CD64" s="46"/>
      <c r="CE64" s="46"/>
      <c r="CF64" s="46"/>
      <c r="CG64" s="46"/>
      <c r="CH64" s="46"/>
      <c r="CI64" s="46"/>
    </row>
    <row r="65" spans="1:87" ht="12.75">
      <c r="A65" s="20"/>
      <c r="B65" s="138" t="s">
        <v>113</v>
      </c>
      <c r="C65" s="136"/>
      <c r="D65" s="136"/>
      <c r="E65" s="137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</row>
    <row r="66" spans="1:87">
      <c r="A66" s="43"/>
      <c r="B66" s="25" t="s">
        <v>114</v>
      </c>
      <c r="C66" s="26">
        <v>620</v>
      </c>
      <c r="D66" s="26">
        <v>740</v>
      </c>
      <c r="E66" s="26">
        <v>150</v>
      </c>
      <c r="F66" s="27">
        <v>1982000</v>
      </c>
      <c r="G66" s="48">
        <v>2016000</v>
      </c>
      <c r="H66" s="42">
        <v>1748000</v>
      </c>
      <c r="I66" s="48">
        <v>1782000</v>
      </c>
      <c r="J66" s="29"/>
      <c r="K66" s="30"/>
      <c r="L66" s="42">
        <v>2003000</v>
      </c>
      <c r="M66" s="48">
        <v>2037000</v>
      </c>
      <c r="N66" s="29"/>
      <c r="O66" s="30"/>
      <c r="P66" s="42">
        <v>1612000</v>
      </c>
      <c r="Q66" s="48">
        <v>1646000</v>
      </c>
      <c r="R66" s="29"/>
      <c r="S66" s="30"/>
      <c r="T66" s="29"/>
      <c r="U66" s="30"/>
      <c r="V66" s="42">
        <v>1538000</v>
      </c>
      <c r="W66" s="48">
        <v>1572000</v>
      </c>
      <c r="X66" s="42">
        <v>1495000</v>
      </c>
      <c r="Y66" s="48">
        <v>1529000</v>
      </c>
      <c r="Z66" s="42">
        <v>1608000</v>
      </c>
      <c r="AA66" s="48">
        <v>1642000</v>
      </c>
      <c r="AB66" s="42">
        <v>1637000</v>
      </c>
      <c r="AC66" s="48">
        <v>1671000</v>
      </c>
      <c r="AD66" s="42">
        <v>1656000</v>
      </c>
      <c r="AE66" s="48">
        <v>1690000</v>
      </c>
      <c r="AF66" s="42">
        <v>1704000</v>
      </c>
      <c r="AG66" s="48">
        <v>1738000</v>
      </c>
      <c r="AH66" s="42">
        <v>1704000</v>
      </c>
      <c r="AI66" s="48">
        <v>1738000</v>
      </c>
      <c r="AJ66" s="42">
        <v>1630000</v>
      </c>
      <c r="AK66" s="48">
        <v>1664000</v>
      </c>
      <c r="AL66" s="42">
        <v>1707000</v>
      </c>
      <c r="AM66" s="48">
        <v>1741000</v>
      </c>
      <c r="AN66" s="42">
        <v>1558000</v>
      </c>
      <c r="AO66" s="48">
        <v>1592000</v>
      </c>
      <c r="AP66" s="42">
        <v>1684000</v>
      </c>
      <c r="AQ66" s="48">
        <v>1718000</v>
      </c>
      <c r="AR66" s="42">
        <v>1713000</v>
      </c>
      <c r="AS66" s="48">
        <v>1747000</v>
      </c>
      <c r="AT66" s="42">
        <v>1684000</v>
      </c>
      <c r="AU66" s="48">
        <v>1718000</v>
      </c>
      <c r="AV66" s="42">
        <v>1691000</v>
      </c>
      <c r="AW66" s="48">
        <v>1725000</v>
      </c>
      <c r="AX66" s="42">
        <v>1683000</v>
      </c>
      <c r="AY66" s="48">
        <v>1717000</v>
      </c>
      <c r="AZ66" s="42">
        <v>1700000</v>
      </c>
      <c r="BA66" s="48">
        <v>1734000</v>
      </c>
      <c r="BB66" s="42">
        <v>1570000</v>
      </c>
      <c r="BC66" s="48">
        <v>1604000</v>
      </c>
      <c r="BD66" s="42">
        <v>1570000</v>
      </c>
      <c r="BE66" s="48">
        <v>1604000</v>
      </c>
      <c r="BF66" s="42">
        <v>1570000</v>
      </c>
      <c r="BG66" s="48">
        <v>1604000</v>
      </c>
      <c r="BH66" s="42">
        <v>1570000</v>
      </c>
      <c r="BI66" s="48">
        <v>1604000</v>
      </c>
      <c r="BJ66" s="42">
        <v>1568000</v>
      </c>
      <c r="BK66" s="48">
        <v>1602000</v>
      </c>
      <c r="BL66" s="42">
        <v>1581000</v>
      </c>
      <c r="BM66" s="48">
        <v>1615000</v>
      </c>
      <c r="BN66" s="42">
        <v>1581000</v>
      </c>
      <c r="BO66" s="48">
        <v>1615000</v>
      </c>
      <c r="BP66" s="42">
        <v>1578000</v>
      </c>
      <c r="BQ66" s="48">
        <v>1612000</v>
      </c>
      <c r="BR66" s="42">
        <v>1570000</v>
      </c>
      <c r="BS66" s="48">
        <v>1604000</v>
      </c>
      <c r="BT66" s="42">
        <v>1567000</v>
      </c>
      <c r="BU66" s="48">
        <v>1601000</v>
      </c>
      <c r="BV66" s="42">
        <v>1567000</v>
      </c>
      <c r="BW66" s="48">
        <v>1601000</v>
      </c>
      <c r="BX66" s="42">
        <v>1567000</v>
      </c>
      <c r="BY66" s="48">
        <v>1601000</v>
      </c>
      <c r="BZ66" s="42">
        <v>1599000</v>
      </c>
      <c r="CA66" s="48">
        <v>1633000</v>
      </c>
      <c r="CB66" s="42">
        <v>1586000</v>
      </c>
      <c r="CC66" s="48">
        <v>1620000</v>
      </c>
      <c r="CD66" s="42">
        <v>1586000</v>
      </c>
      <c r="CE66" s="48">
        <v>1620000</v>
      </c>
      <c r="CF66" s="42">
        <v>1599000</v>
      </c>
      <c r="CG66" s="48">
        <v>1633000</v>
      </c>
      <c r="CH66" s="42">
        <v>1666000</v>
      </c>
      <c r="CI66" s="48">
        <v>1700000</v>
      </c>
    </row>
    <row r="67" spans="1:87">
      <c r="A67" s="43"/>
      <c r="B67" s="25" t="s">
        <v>115</v>
      </c>
      <c r="C67" s="26">
        <v>620</v>
      </c>
      <c r="D67" s="26">
        <v>740</v>
      </c>
      <c r="E67" s="26">
        <v>300</v>
      </c>
      <c r="F67" s="27">
        <v>2824000</v>
      </c>
      <c r="G67" s="48">
        <v>2891000</v>
      </c>
      <c r="H67" s="42">
        <v>2356000</v>
      </c>
      <c r="I67" s="48">
        <v>2423000</v>
      </c>
      <c r="J67" s="29"/>
      <c r="K67" s="30"/>
      <c r="L67" s="42">
        <v>2867000</v>
      </c>
      <c r="M67" s="48">
        <v>2934000</v>
      </c>
      <c r="N67" s="29"/>
      <c r="O67" s="30"/>
      <c r="P67" s="27">
        <v>2346000</v>
      </c>
      <c r="Q67" s="48">
        <v>2413000</v>
      </c>
      <c r="R67" s="29"/>
      <c r="S67" s="30"/>
      <c r="T67" s="29"/>
      <c r="U67" s="30"/>
      <c r="V67" s="42">
        <v>1916000</v>
      </c>
      <c r="W67" s="48">
        <v>1983000</v>
      </c>
      <c r="X67" s="42">
        <v>1830000</v>
      </c>
      <c r="Y67" s="48">
        <v>1897000</v>
      </c>
      <c r="Z67" s="42">
        <v>2030000</v>
      </c>
      <c r="AA67" s="48">
        <v>2097000</v>
      </c>
      <c r="AB67" s="42">
        <v>2077000</v>
      </c>
      <c r="AC67" s="48">
        <v>2144000</v>
      </c>
      <c r="AD67" s="42">
        <v>2097000</v>
      </c>
      <c r="AE67" s="48">
        <v>2164000</v>
      </c>
      <c r="AF67" s="42">
        <v>2179000</v>
      </c>
      <c r="AG67" s="48">
        <v>2246000</v>
      </c>
      <c r="AH67" s="42">
        <v>2179000</v>
      </c>
      <c r="AI67" s="48">
        <v>2246000</v>
      </c>
      <c r="AJ67" s="42">
        <v>2071000</v>
      </c>
      <c r="AK67" s="48">
        <v>2138000</v>
      </c>
      <c r="AL67" s="42">
        <v>2220000</v>
      </c>
      <c r="AM67" s="48">
        <v>2287000</v>
      </c>
      <c r="AN67" s="42">
        <v>1932000</v>
      </c>
      <c r="AO67" s="48">
        <v>1999000</v>
      </c>
      <c r="AP67" s="42">
        <v>2169000</v>
      </c>
      <c r="AQ67" s="48">
        <v>2236000</v>
      </c>
      <c r="AR67" s="42">
        <v>2228000</v>
      </c>
      <c r="AS67" s="48">
        <v>2295000</v>
      </c>
      <c r="AT67" s="42">
        <v>2169000</v>
      </c>
      <c r="AU67" s="48">
        <v>2236000</v>
      </c>
      <c r="AV67" s="42">
        <v>2187000</v>
      </c>
      <c r="AW67" s="48">
        <v>2254000</v>
      </c>
      <c r="AX67" s="42">
        <v>2172000</v>
      </c>
      <c r="AY67" s="48">
        <v>2239000</v>
      </c>
      <c r="AZ67" s="42">
        <v>2206000</v>
      </c>
      <c r="BA67" s="48">
        <v>2273000</v>
      </c>
      <c r="BB67" s="42">
        <v>1978000</v>
      </c>
      <c r="BC67" s="48">
        <v>2045000</v>
      </c>
      <c r="BD67" s="42">
        <v>1978000</v>
      </c>
      <c r="BE67" s="48">
        <v>2045000</v>
      </c>
      <c r="BF67" s="42">
        <v>1978000</v>
      </c>
      <c r="BG67" s="48">
        <v>2045000</v>
      </c>
      <c r="BH67" s="42">
        <v>1978000</v>
      </c>
      <c r="BI67" s="48">
        <v>2045000</v>
      </c>
      <c r="BJ67" s="42">
        <v>1974000</v>
      </c>
      <c r="BK67" s="48">
        <v>2041000</v>
      </c>
      <c r="BL67" s="42">
        <v>2000000</v>
      </c>
      <c r="BM67" s="48">
        <v>2067000</v>
      </c>
      <c r="BN67" s="42">
        <v>2000000</v>
      </c>
      <c r="BO67" s="48">
        <v>2067000</v>
      </c>
      <c r="BP67" s="42">
        <v>1995000</v>
      </c>
      <c r="BQ67" s="48">
        <v>2062000</v>
      </c>
      <c r="BR67" s="42">
        <v>1978000</v>
      </c>
      <c r="BS67" s="48">
        <v>2045000</v>
      </c>
      <c r="BT67" s="42">
        <v>1973000</v>
      </c>
      <c r="BU67" s="48">
        <v>2040000</v>
      </c>
      <c r="BV67" s="42">
        <v>1973000</v>
      </c>
      <c r="BW67" s="48">
        <v>2040000</v>
      </c>
      <c r="BX67" s="42">
        <v>1973000</v>
      </c>
      <c r="BY67" s="48">
        <v>2040000</v>
      </c>
      <c r="BZ67" s="42">
        <v>1977000</v>
      </c>
      <c r="CA67" s="48">
        <v>2044000</v>
      </c>
      <c r="CB67" s="42">
        <v>1951000</v>
      </c>
      <c r="CC67" s="48">
        <v>2018000</v>
      </c>
      <c r="CD67" s="42">
        <v>1951000</v>
      </c>
      <c r="CE67" s="48">
        <v>2018000</v>
      </c>
      <c r="CF67" s="42">
        <v>1977000</v>
      </c>
      <c r="CG67" s="48">
        <v>2044000</v>
      </c>
      <c r="CH67" s="42">
        <v>2128000</v>
      </c>
      <c r="CI67" s="48">
        <v>2195000</v>
      </c>
    </row>
    <row r="68" spans="1:87">
      <c r="A68" s="43"/>
      <c r="B68" s="25" t="s">
        <v>116</v>
      </c>
      <c r="C68" s="26">
        <v>620</v>
      </c>
      <c r="D68" s="26">
        <v>740</v>
      </c>
      <c r="E68" s="26">
        <v>450</v>
      </c>
      <c r="F68" s="27">
        <v>3666000</v>
      </c>
      <c r="G68" s="48">
        <v>3767000</v>
      </c>
      <c r="H68" s="42">
        <v>2964000</v>
      </c>
      <c r="I68" s="48">
        <v>3065000</v>
      </c>
      <c r="J68" s="29"/>
      <c r="K68" s="30"/>
      <c r="L68" s="42">
        <v>3730000</v>
      </c>
      <c r="M68" s="48">
        <v>3831000</v>
      </c>
      <c r="N68" s="29"/>
      <c r="O68" s="30"/>
      <c r="P68" s="27">
        <v>2834000</v>
      </c>
      <c r="Q68" s="48">
        <v>2935000</v>
      </c>
      <c r="R68" s="29"/>
      <c r="S68" s="30"/>
      <c r="T68" s="29"/>
      <c r="U68" s="30"/>
      <c r="V68" s="42">
        <v>2295000</v>
      </c>
      <c r="W68" s="48">
        <v>2396000</v>
      </c>
      <c r="X68" s="42">
        <v>2165000</v>
      </c>
      <c r="Y68" s="48">
        <v>2266000</v>
      </c>
      <c r="Z68" s="42">
        <v>2453000</v>
      </c>
      <c r="AA68" s="48">
        <v>2554000</v>
      </c>
      <c r="AB68" s="42">
        <v>2516000</v>
      </c>
      <c r="AC68" s="48">
        <v>2617000</v>
      </c>
      <c r="AD68" s="42">
        <v>2539000</v>
      </c>
      <c r="AE68" s="48">
        <v>2640000</v>
      </c>
      <c r="AF68" s="42">
        <v>2654000</v>
      </c>
      <c r="AG68" s="48">
        <v>2755000</v>
      </c>
      <c r="AH68" s="42">
        <v>2654000</v>
      </c>
      <c r="AI68" s="48">
        <v>2755000</v>
      </c>
      <c r="AJ68" s="42">
        <v>2512000</v>
      </c>
      <c r="AK68" s="48">
        <v>2613000</v>
      </c>
      <c r="AL68" s="42">
        <v>2733000</v>
      </c>
      <c r="AM68" s="48">
        <v>2834000</v>
      </c>
      <c r="AN68" s="42">
        <v>2305000</v>
      </c>
      <c r="AO68" s="48">
        <v>2406000</v>
      </c>
      <c r="AP68" s="42">
        <v>2653000</v>
      </c>
      <c r="AQ68" s="48">
        <v>2754000</v>
      </c>
      <c r="AR68" s="42">
        <v>2742000</v>
      </c>
      <c r="AS68" s="48">
        <v>2843000</v>
      </c>
      <c r="AT68" s="42">
        <v>2653000</v>
      </c>
      <c r="AU68" s="48">
        <v>2754000</v>
      </c>
      <c r="AV68" s="42">
        <v>2683000</v>
      </c>
      <c r="AW68" s="48">
        <v>2784000</v>
      </c>
      <c r="AX68" s="42">
        <v>2660000</v>
      </c>
      <c r="AY68" s="48">
        <v>2761000</v>
      </c>
      <c r="AZ68" s="42">
        <v>2711000</v>
      </c>
      <c r="BA68" s="48">
        <v>2812000</v>
      </c>
      <c r="BB68" s="42">
        <v>2387000</v>
      </c>
      <c r="BC68" s="48">
        <v>2488000</v>
      </c>
      <c r="BD68" s="42">
        <v>2387000</v>
      </c>
      <c r="BE68" s="48">
        <v>2488000</v>
      </c>
      <c r="BF68" s="42">
        <v>2387000</v>
      </c>
      <c r="BG68" s="48">
        <v>2488000</v>
      </c>
      <c r="BH68" s="42">
        <v>2387000</v>
      </c>
      <c r="BI68" s="48">
        <v>2488000</v>
      </c>
      <c r="BJ68" s="42">
        <v>2381000</v>
      </c>
      <c r="BK68" s="48">
        <v>2482000</v>
      </c>
      <c r="BL68" s="42">
        <v>2419000</v>
      </c>
      <c r="BM68" s="48">
        <v>2520000</v>
      </c>
      <c r="BN68" s="42">
        <v>2419000</v>
      </c>
      <c r="BO68" s="48">
        <v>2520000</v>
      </c>
      <c r="BP68" s="42">
        <v>2411000</v>
      </c>
      <c r="BQ68" s="48">
        <v>2512000</v>
      </c>
      <c r="BR68" s="42">
        <v>2387000</v>
      </c>
      <c r="BS68" s="48">
        <v>2488000</v>
      </c>
      <c r="BT68" s="42">
        <v>2379000</v>
      </c>
      <c r="BU68" s="48">
        <v>2480000</v>
      </c>
      <c r="BV68" s="42">
        <v>2379000</v>
      </c>
      <c r="BW68" s="48">
        <v>2480000</v>
      </c>
      <c r="BX68" s="42">
        <v>2379000</v>
      </c>
      <c r="BY68" s="48">
        <v>2480000</v>
      </c>
      <c r="BZ68" s="42">
        <v>2356000</v>
      </c>
      <c r="CA68" s="48">
        <v>2457000</v>
      </c>
      <c r="CB68" s="42">
        <v>2317000</v>
      </c>
      <c r="CC68" s="48">
        <v>2418000</v>
      </c>
      <c r="CD68" s="42">
        <v>2317000</v>
      </c>
      <c r="CE68" s="48">
        <v>2418000</v>
      </c>
      <c r="CF68" s="42">
        <v>2356000</v>
      </c>
      <c r="CG68" s="48">
        <v>2457000</v>
      </c>
      <c r="CH68" s="42">
        <v>2590000</v>
      </c>
      <c r="CI68" s="48">
        <v>2691000</v>
      </c>
    </row>
    <row r="69" spans="1:87">
      <c r="A69" s="43"/>
      <c r="B69" s="25" t="s">
        <v>117</v>
      </c>
      <c r="C69" s="26">
        <v>620</v>
      </c>
      <c r="D69" s="26">
        <v>740</v>
      </c>
      <c r="E69" s="26">
        <v>600</v>
      </c>
      <c r="F69" s="27">
        <v>4532000</v>
      </c>
      <c r="G69" s="48">
        <v>4668000</v>
      </c>
      <c r="H69" s="42">
        <v>3597000</v>
      </c>
      <c r="I69" s="48">
        <v>3733000</v>
      </c>
      <c r="J69" s="29"/>
      <c r="K69" s="30"/>
      <c r="L69" s="42">
        <v>4618000</v>
      </c>
      <c r="M69" s="48">
        <v>4754000</v>
      </c>
      <c r="N69" s="29"/>
      <c r="O69" s="30"/>
      <c r="P69" s="27">
        <v>3345000</v>
      </c>
      <c r="Q69" s="48">
        <v>3481000</v>
      </c>
      <c r="R69" s="29"/>
      <c r="S69" s="30"/>
      <c r="T69" s="29"/>
      <c r="U69" s="30"/>
      <c r="V69" s="42">
        <v>2697000</v>
      </c>
      <c r="W69" s="48">
        <v>2833000</v>
      </c>
      <c r="X69" s="42">
        <v>2525000</v>
      </c>
      <c r="Y69" s="48">
        <v>2661000</v>
      </c>
      <c r="Z69" s="42">
        <v>2899000</v>
      </c>
      <c r="AA69" s="48">
        <v>3035000</v>
      </c>
      <c r="AB69" s="42">
        <v>2980000</v>
      </c>
      <c r="AC69" s="48">
        <v>3116000</v>
      </c>
      <c r="AD69" s="42">
        <v>3005000</v>
      </c>
      <c r="AE69" s="48">
        <v>3141000</v>
      </c>
      <c r="AF69" s="42">
        <v>3153000</v>
      </c>
      <c r="AG69" s="48">
        <v>3289000</v>
      </c>
      <c r="AH69" s="42">
        <v>3153000</v>
      </c>
      <c r="AI69" s="48">
        <v>3289000</v>
      </c>
      <c r="AJ69" s="42">
        <v>2977000</v>
      </c>
      <c r="AK69" s="48">
        <v>3113000</v>
      </c>
      <c r="AL69" s="42">
        <v>3271000</v>
      </c>
      <c r="AM69" s="48">
        <v>3407000</v>
      </c>
      <c r="AN69" s="42">
        <v>2703000</v>
      </c>
      <c r="AO69" s="48">
        <v>2839000</v>
      </c>
      <c r="AP69" s="42">
        <v>3162000</v>
      </c>
      <c r="AQ69" s="48">
        <v>3298000</v>
      </c>
      <c r="AR69" s="42">
        <v>3280000</v>
      </c>
      <c r="AS69" s="48">
        <v>3416000</v>
      </c>
      <c r="AT69" s="42">
        <v>3162000</v>
      </c>
      <c r="AU69" s="48">
        <v>3298000</v>
      </c>
      <c r="AV69" s="42">
        <v>3203000</v>
      </c>
      <c r="AW69" s="48">
        <v>3339000</v>
      </c>
      <c r="AX69" s="42">
        <v>3173000</v>
      </c>
      <c r="AY69" s="48">
        <v>3309000</v>
      </c>
      <c r="AZ69" s="42">
        <v>3241000</v>
      </c>
      <c r="BA69" s="48">
        <v>3377000</v>
      </c>
      <c r="BB69" s="42">
        <v>2819000</v>
      </c>
      <c r="BC69" s="48">
        <v>2955000</v>
      </c>
      <c r="BD69" s="42">
        <v>2819000</v>
      </c>
      <c r="BE69" s="48">
        <v>2955000</v>
      </c>
      <c r="BF69" s="42">
        <v>2819000</v>
      </c>
      <c r="BG69" s="48">
        <v>2955000</v>
      </c>
      <c r="BH69" s="42">
        <v>2819000</v>
      </c>
      <c r="BI69" s="48">
        <v>2955000</v>
      </c>
      <c r="BJ69" s="42">
        <v>2811000</v>
      </c>
      <c r="BK69" s="48">
        <v>2947000</v>
      </c>
      <c r="BL69" s="42">
        <v>2862000</v>
      </c>
      <c r="BM69" s="48">
        <v>2998000</v>
      </c>
      <c r="BN69" s="42">
        <v>2862000</v>
      </c>
      <c r="BO69" s="48">
        <v>2998000</v>
      </c>
      <c r="BP69" s="42">
        <v>2851000</v>
      </c>
      <c r="BQ69" s="48">
        <v>2987000</v>
      </c>
      <c r="BR69" s="42">
        <v>2819000</v>
      </c>
      <c r="BS69" s="48">
        <v>2955000</v>
      </c>
      <c r="BT69" s="42">
        <v>2808000</v>
      </c>
      <c r="BU69" s="48">
        <v>2944000</v>
      </c>
      <c r="BV69" s="42">
        <v>2808000</v>
      </c>
      <c r="BW69" s="48">
        <v>2944000</v>
      </c>
      <c r="BX69" s="42">
        <v>2808000</v>
      </c>
      <c r="BY69" s="48">
        <v>2944000</v>
      </c>
      <c r="BZ69" s="42">
        <v>2759000</v>
      </c>
      <c r="CA69" s="48">
        <v>2895000</v>
      </c>
      <c r="CB69" s="42">
        <v>2707000</v>
      </c>
      <c r="CC69" s="48">
        <v>2843000</v>
      </c>
      <c r="CD69" s="42">
        <v>2707000</v>
      </c>
      <c r="CE69" s="48">
        <v>2843000</v>
      </c>
      <c r="CF69" s="42">
        <v>2759000</v>
      </c>
      <c r="CG69" s="48">
        <v>2895000</v>
      </c>
      <c r="CH69" s="42">
        <v>3076000</v>
      </c>
      <c r="CI69" s="48">
        <v>3212000</v>
      </c>
    </row>
    <row r="70" spans="1:87">
      <c r="A70" s="43"/>
      <c r="B70" s="25" t="s">
        <v>118</v>
      </c>
      <c r="C70" s="26">
        <v>620</v>
      </c>
      <c r="D70" s="26">
        <v>740</v>
      </c>
      <c r="E70" s="26">
        <v>900</v>
      </c>
      <c r="F70" s="27">
        <v>6232000</v>
      </c>
      <c r="G70" s="48">
        <v>6435000</v>
      </c>
      <c r="H70" s="42">
        <v>4828000</v>
      </c>
      <c r="I70" s="48">
        <v>5031000</v>
      </c>
      <c r="J70" s="29"/>
      <c r="K70" s="30"/>
      <c r="L70" s="42">
        <v>6360000</v>
      </c>
      <c r="M70" s="48">
        <v>6563000</v>
      </c>
      <c r="N70" s="29"/>
      <c r="O70" s="30"/>
      <c r="P70" s="27">
        <v>4676000</v>
      </c>
      <c r="Q70" s="48">
        <v>4879000</v>
      </c>
      <c r="R70" s="29"/>
      <c r="S70" s="30"/>
      <c r="T70" s="29"/>
      <c r="U70" s="30"/>
      <c r="V70" s="42">
        <v>3514000</v>
      </c>
      <c r="W70" s="48">
        <v>3717000</v>
      </c>
      <c r="X70" s="42">
        <v>3255000</v>
      </c>
      <c r="Y70" s="48">
        <v>3458000</v>
      </c>
      <c r="Z70" s="42">
        <v>3861000</v>
      </c>
      <c r="AA70" s="48">
        <v>4064000</v>
      </c>
      <c r="AB70" s="42">
        <v>4002000</v>
      </c>
      <c r="AC70" s="48">
        <v>4205000</v>
      </c>
      <c r="AD70" s="42">
        <v>4068000</v>
      </c>
      <c r="AE70" s="48">
        <v>4271000</v>
      </c>
      <c r="AF70" s="42">
        <v>4316000</v>
      </c>
      <c r="AG70" s="48">
        <v>4519000</v>
      </c>
      <c r="AH70" s="42">
        <v>4316000</v>
      </c>
      <c r="AI70" s="48">
        <v>4519000</v>
      </c>
      <c r="AJ70" s="42">
        <v>3984000</v>
      </c>
      <c r="AK70" s="48">
        <v>4187000</v>
      </c>
      <c r="AL70" s="42">
        <v>4432000</v>
      </c>
      <c r="AM70" s="48">
        <v>4635000</v>
      </c>
      <c r="AN70" s="42">
        <v>3564000</v>
      </c>
      <c r="AO70" s="48">
        <v>3767000</v>
      </c>
      <c r="AP70" s="42">
        <v>4279000</v>
      </c>
      <c r="AQ70" s="48">
        <v>4482000</v>
      </c>
      <c r="AR70" s="42">
        <v>4456000</v>
      </c>
      <c r="AS70" s="48">
        <v>4659000</v>
      </c>
      <c r="AT70" s="42">
        <v>4279000</v>
      </c>
      <c r="AU70" s="48">
        <v>4482000</v>
      </c>
      <c r="AV70" s="42">
        <v>4332000</v>
      </c>
      <c r="AW70" s="48">
        <v>4535000</v>
      </c>
      <c r="AX70" s="42">
        <v>4287000</v>
      </c>
      <c r="AY70" s="48">
        <v>4490000</v>
      </c>
      <c r="AZ70" s="42">
        <v>4389000</v>
      </c>
      <c r="BA70" s="48">
        <v>4592000</v>
      </c>
      <c r="BB70" s="42">
        <v>3700000</v>
      </c>
      <c r="BC70" s="48">
        <v>3903000</v>
      </c>
      <c r="BD70" s="42">
        <v>3700000</v>
      </c>
      <c r="BE70" s="48">
        <v>3903000</v>
      </c>
      <c r="BF70" s="42">
        <v>3700000</v>
      </c>
      <c r="BG70" s="48">
        <v>3903000</v>
      </c>
      <c r="BH70" s="42">
        <v>3700000</v>
      </c>
      <c r="BI70" s="48">
        <v>3903000</v>
      </c>
      <c r="BJ70" s="42">
        <v>3688000</v>
      </c>
      <c r="BK70" s="48">
        <v>3891000</v>
      </c>
      <c r="BL70" s="42">
        <v>3765000</v>
      </c>
      <c r="BM70" s="48">
        <v>3968000</v>
      </c>
      <c r="BN70" s="42">
        <v>3765000</v>
      </c>
      <c r="BO70" s="48">
        <v>3968000</v>
      </c>
      <c r="BP70" s="42">
        <v>3748000</v>
      </c>
      <c r="BQ70" s="48">
        <v>3951000</v>
      </c>
      <c r="BR70" s="42">
        <v>3700000</v>
      </c>
      <c r="BS70" s="48">
        <v>3903000</v>
      </c>
      <c r="BT70" s="42">
        <v>3684000</v>
      </c>
      <c r="BU70" s="48">
        <v>3887000</v>
      </c>
      <c r="BV70" s="42">
        <v>3684000</v>
      </c>
      <c r="BW70" s="48">
        <v>3887000</v>
      </c>
      <c r="BX70" s="42">
        <v>3684000</v>
      </c>
      <c r="BY70" s="48">
        <v>3887000</v>
      </c>
      <c r="BZ70" s="42">
        <v>3709000</v>
      </c>
      <c r="CA70" s="48">
        <v>3912000</v>
      </c>
      <c r="CB70" s="42">
        <v>3632000</v>
      </c>
      <c r="CC70" s="48">
        <v>3835000</v>
      </c>
      <c r="CD70" s="42">
        <v>3632000</v>
      </c>
      <c r="CE70" s="48">
        <v>3835000</v>
      </c>
      <c r="CF70" s="42">
        <v>3709000</v>
      </c>
      <c r="CG70" s="48">
        <v>3912000</v>
      </c>
      <c r="CH70" s="42">
        <v>4159000</v>
      </c>
      <c r="CI70" s="48">
        <v>4362000</v>
      </c>
    </row>
    <row r="71" spans="1:87">
      <c r="A71" s="43" t="s">
        <v>119</v>
      </c>
      <c r="B71" s="25" t="s">
        <v>120</v>
      </c>
      <c r="C71" s="26">
        <v>620</v>
      </c>
      <c r="D71" s="26">
        <v>740</v>
      </c>
      <c r="E71" s="26">
        <v>1050</v>
      </c>
      <c r="F71" s="27">
        <v>5678000</v>
      </c>
      <c r="G71" s="48">
        <v>5914000</v>
      </c>
      <c r="H71" s="42">
        <v>4976000</v>
      </c>
      <c r="I71" s="48">
        <v>5212000</v>
      </c>
      <c r="J71" s="29"/>
      <c r="K71" s="30"/>
      <c r="L71" s="42">
        <v>5742000</v>
      </c>
      <c r="M71" s="48">
        <v>5978000</v>
      </c>
      <c r="N71" s="29"/>
      <c r="O71" s="30"/>
      <c r="P71" s="27">
        <v>4846000</v>
      </c>
      <c r="Q71" s="48">
        <v>5082000</v>
      </c>
      <c r="R71" s="29"/>
      <c r="S71" s="30"/>
      <c r="T71" s="29"/>
      <c r="U71" s="30"/>
      <c r="V71" s="42">
        <v>4307000</v>
      </c>
      <c r="W71" s="48">
        <v>4543000</v>
      </c>
      <c r="X71" s="42">
        <v>4177000</v>
      </c>
      <c r="Y71" s="48">
        <v>4413000</v>
      </c>
      <c r="Z71" s="42">
        <v>4465000</v>
      </c>
      <c r="AA71" s="48">
        <v>4701000</v>
      </c>
      <c r="AB71" s="42">
        <v>4528000</v>
      </c>
      <c r="AC71" s="48">
        <v>4764000</v>
      </c>
      <c r="AD71" s="42">
        <v>4551000</v>
      </c>
      <c r="AE71" s="48">
        <v>4787000</v>
      </c>
      <c r="AF71" s="42">
        <v>4666000</v>
      </c>
      <c r="AG71" s="48">
        <v>4902000</v>
      </c>
      <c r="AH71" s="42">
        <v>4666000</v>
      </c>
      <c r="AI71" s="48">
        <v>4902000</v>
      </c>
      <c r="AJ71" s="42">
        <v>4524000</v>
      </c>
      <c r="AK71" s="48">
        <v>4760000</v>
      </c>
      <c r="AL71" s="42">
        <v>4745000</v>
      </c>
      <c r="AM71" s="48">
        <v>4981000</v>
      </c>
      <c r="AN71" s="42">
        <v>4317000</v>
      </c>
      <c r="AO71" s="48">
        <v>4553000</v>
      </c>
      <c r="AP71" s="42">
        <v>4665000</v>
      </c>
      <c r="AQ71" s="48">
        <v>4901000</v>
      </c>
      <c r="AR71" s="42">
        <v>4754000</v>
      </c>
      <c r="AS71" s="48">
        <v>4990000</v>
      </c>
      <c r="AT71" s="42">
        <v>4665000</v>
      </c>
      <c r="AU71" s="48">
        <v>4901000</v>
      </c>
      <c r="AV71" s="42">
        <v>4695000</v>
      </c>
      <c r="AW71" s="48">
        <v>4931000</v>
      </c>
      <c r="AX71" s="42">
        <v>4672000</v>
      </c>
      <c r="AY71" s="48">
        <v>4908000</v>
      </c>
      <c r="AZ71" s="42">
        <v>4723000</v>
      </c>
      <c r="BA71" s="48">
        <v>4959000</v>
      </c>
      <c r="BB71" s="42">
        <v>4399000</v>
      </c>
      <c r="BC71" s="48">
        <v>4635000</v>
      </c>
      <c r="BD71" s="42">
        <v>4399000</v>
      </c>
      <c r="BE71" s="48">
        <v>4635000</v>
      </c>
      <c r="BF71" s="42">
        <v>4399000</v>
      </c>
      <c r="BG71" s="48">
        <v>4635000</v>
      </c>
      <c r="BH71" s="42">
        <v>4399000</v>
      </c>
      <c r="BI71" s="48">
        <v>4635000</v>
      </c>
      <c r="BJ71" s="42">
        <v>4393000</v>
      </c>
      <c r="BK71" s="48">
        <v>4629000</v>
      </c>
      <c r="BL71" s="42">
        <v>4431000</v>
      </c>
      <c r="BM71" s="48">
        <v>4667000</v>
      </c>
      <c r="BN71" s="42">
        <v>4431000</v>
      </c>
      <c r="BO71" s="48">
        <v>4667000</v>
      </c>
      <c r="BP71" s="42">
        <v>4423000</v>
      </c>
      <c r="BQ71" s="48">
        <v>4659000</v>
      </c>
      <c r="BR71" s="42">
        <v>4399000</v>
      </c>
      <c r="BS71" s="48">
        <v>4635000</v>
      </c>
      <c r="BT71" s="42">
        <v>4391000</v>
      </c>
      <c r="BU71" s="48">
        <v>4627000</v>
      </c>
      <c r="BV71" s="42">
        <v>4391000</v>
      </c>
      <c r="BW71" s="48">
        <v>4627000</v>
      </c>
      <c r="BX71" s="42">
        <v>4391000</v>
      </c>
      <c r="BY71" s="48">
        <v>4627000</v>
      </c>
      <c r="BZ71" s="42">
        <v>4368000</v>
      </c>
      <c r="CA71" s="48">
        <v>4604000</v>
      </c>
      <c r="CB71" s="42">
        <v>4329000</v>
      </c>
      <c r="CC71" s="48">
        <v>4565000</v>
      </c>
      <c r="CD71" s="42">
        <v>4329000</v>
      </c>
      <c r="CE71" s="48">
        <v>4565000</v>
      </c>
      <c r="CF71" s="42">
        <v>4368000</v>
      </c>
      <c r="CG71" s="48">
        <v>4604000</v>
      </c>
      <c r="CH71" s="42">
        <v>4602000</v>
      </c>
      <c r="CI71" s="48">
        <v>4838000</v>
      </c>
    </row>
    <row r="72" spans="1:87" ht="63" customHeight="1">
      <c r="A72" s="44" t="e">
        <f ca="1">_xludf.image("https://lh3.google.com/u/0/d/19ul98EEdPvChDUFyzaC7Jx6gB3EPhcpU",1)</f>
        <v>#NAME?</v>
      </c>
      <c r="B72" s="45" t="s">
        <v>121</v>
      </c>
      <c r="C72" s="141"/>
      <c r="D72" s="136"/>
      <c r="E72" s="137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  <c r="AE72" s="46"/>
      <c r="AF72" s="46"/>
      <c r="AG72" s="46"/>
      <c r="AH72" s="46"/>
      <c r="AI72" s="46"/>
      <c r="AJ72" s="46"/>
      <c r="AK72" s="46"/>
      <c r="AL72" s="46"/>
      <c r="AM72" s="46"/>
      <c r="AN72" s="46"/>
      <c r="AO72" s="46"/>
      <c r="AP72" s="46"/>
      <c r="AQ72" s="46"/>
      <c r="AR72" s="46"/>
      <c r="AS72" s="46"/>
      <c r="AT72" s="46"/>
      <c r="AU72" s="46"/>
      <c r="AV72" s="46"/>
      <c r="AW72" s="46"/>
      <c r="AX72" s="46"/>
      <c r="AY72" s="46"/>
      <c r="AZ72" s="46"/>
      <c r="BA72" s="46"/>
      <c r="BB72" s="46"/>
      <c r="BC72" s="46"/>
      <c r="BD72" s="46"/>
      <c r="BE72" s="46"/>
      <c r="BF72" s="46"/>
      <c r="BG72" s="46"/>
      <c r="BH72" s="46"/>
      <c r="BI72" s="46"/>
      <c r="BJ72" s="46"/>
      <c r="BK72" s="46"/>
      <c r="BL72" s="46"/>
      <c r="BM72" s="46"/>
      <c r="BN72" s="46"/>
      <c r="BO72" s="46"/>
      <c r="BP72" s="46"/>
      <c r="BQ72" s="46"/>
      <c r="BR72" s="46"/>
      <c r="BS72" s="46"/>
      <c r="BT72" s="46"/>
      <c r="BU72" s="46"/>
      <c r="BV72" s="46"/>
      <c r="BW72" s="46"/>
      <c r="BX72" s="46"/>
      <c r="BY72" s="46"/>
      <c r="BZ72" s="46"/>
      <c r="CA72" s="46"/>
      <c r="CB72" s="46"/>
      <c r="CC72" s="46"/>
      <c r="CD72" s="46"/>
      <c r="CE72" s="46"/>
      <c r="CF72" s="46"/>
      <c r="CG72" s="46"/>
      <c r="CH72" s="46"/>
      <c r="CI72" s="46"/>
    </row>
    <row r="73" spans="1:87" ht="12.75">
      <c r="A73" s="20"/>
      <c r="B73" s="138" t="s">
        <v>122</v>
      </c>
      <c r="C73" s="136"/>
      <c r="D73" s="136"/>
      <c r="E73" s="137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</row>
    <row r="74" spans="1:87">
      <c r="A74" s="43"/>
      <c r="B74" s="25" t="s">
        <v>123</v>
      </c>
      <c r="C74" s="26">
        <v>620</v>
      </c>
      <c r="D74" s="26">
        <v>740</v>
      </c>
      <c r="E74" s="26">
        <v>150</v>
      </c>
      <c r="F74" s="27">
        <v>7540000</v>
      </c>
      <c r="G74" s="48">
        <v>7574000</v>
      </c>
      <c r="H74" s="42">
        <v>7306000</v>
      </c>
      <c r="I74" s="48">
        <v>7340000</v>
      </c>
      <c r="J74" s="29"/>
      <c r="K74" s="30"/>
      <c r="L74" s="42">
        <v>7561000</v>
      </c>
      <c r="M74" s="48">
        <v>7595000</v>
      </c>
      <c r="N74" s="29"/>
      <c r="O74" s="30"/>
      <c r="P74" s="42">
        <v>7205000</v>
      </c>
      <c r="Q74" s="48">
        <v>7239000</v>
      </c>
      <c r="R74" s="29"/>
      <c r="S74" s="30"/>
      <c r="T74" s="29"/>
      <c r="U74" s="30"/>
      <c r="V74" s="42">
        <v>7096000</v>
      </c>
      <c r="W74" s="48">
        <v>7130000</v>
      </c>
      <c r="X74" s="42">
        <v>7053000</v>
      </c>
      <c r="Y74" s="48">
        <v>7087000</v>
      </c>
      <c r="Z74" s="42">
        <v>7166000</v>
      </c>
      <c r="AA74" s="48">
        <v>7200000</v>
      </c>
      <c r="AB74" s="42">
        <v>7195000</v>
      </c>
      <c r="AC74" s="48">
        <v>7229000</v>
      </c>
      <c r="AD74" s="42">
        <v>7214000</v>
      </c>
      <c r="AE74" s="48">
        <v>7248000</v>
      </c>
      <c r="AF74" s="42">
        <v>7262000</v>
      </c>
      <c r="AG74" s="48">
        <v>7296000</v>
      </c>
      <c r="AH74" s="42">
        <v>7262000</v>
      </c>
      <c r="AI74" s="48">
        <v>7296000</v>
      </c>
      <c r="AJ74" s="42">
        <v>7188000</v>
      </c>
      <c r="AK74" s="48">
        <v>7222000</v>
      </c>
      <c r="AL74" s="42">
        <v>7265000</v>
      </c>
      <c r="AM74" s="48">
        <v>7299000</v>
      </c>
      <c r="AN74" s="42">
        <v>7116000</v>
      </c>
      <c r="AO74" s="48">
        <v>7150000</v>
      </c>
      <c r="AP74" s="42">
        <v>7242000</v>
      </c>
      <c r="AQ74" s="48">
        <v>7276000</v>
      </c>
      <c r="AR74" s="42">
        <v>7271000</v>
      </c>
      <c r="AS74" s="48">
        <v>7305000</v>
      </c>
      <c r="AT74" s="42">
        <v>7242000</v>
      </c>
      <c r="AU74" s="48">
        <v>7276000</v>
      </c>
      <c r="AV74" s="42">
        <v>7249000</v>
      </c>
      <c r="AW74" s="48">
        <v>7283000</v>
      </c>
      <c r="AX74" s="42">
        <v>7241000</v>
      </c>
      <c r="AY74" s="48">
        <v>7275000</v>
      </c>
      <c r="AZ74" s="42">
        <v>7258000</v>
      </c>
      <c r="BA74" s="48">
        <v>7292000</v>
      </c>
      <c r="BB74" s="42">
        <v>7128000</v>
      </c>
      <c r="BC74" s="48">
        <v>7162000</v>
      </c>
      <c r="BD74" s="42">
        <v>7128000</v>
      </c>
      <c r="BE74" s="48">
        <v>7162000</v>
      </c>
      <c r="BF74" s="42">
        <v>7128000</v>
      </c>
      <c r="BG74" s="48">
        <v>7162000</v>
      </c>
      <c r="BH74" s="42">
        <v>7128000</v>
      </c>
      <c r="BI74" s="48">
        <v>7162000</v>
      </c>
      <c r="BJ74" s="42">
        <v>7126000</v>
      </c>
      <c r="BK74" s="48">
        <v>7160000</v>
      </c>
      <c r="BL74" s="42">
        <v>7139000</v>
      </c>
      <c r="BM74" s="48">
        <v>7173000</v>
      </c>
      <c r="BN74" s="42">
        <v>7139000</v>
      </c>
      <c r="BO74" s="48">
        <v>7173000</v>
      </c>
      <c r="BP74" s="42">
        <v>7136000</v>
      </c>
      <c r="BQ74" s="48">
        <v>7170000</v>
      </c>
      <c r="BR74" s="42">
        <v>7128000</v>
      </c>
      <c r="BS74" s="48">
        <v>7162000</v>
      </c>
      <c r="BT74" s="42">
        <v>7125000</v>
      </c>
      <c r="BU74" s="48">
        <v>7159000</v>
      </c>
      <c r="BV74" s="42">
        <v>7125000</v>
      </c>
      <c r="BW74" s="48">
        <v>7159000</v>
      </c>
      <c r="BX74" s="42">
        <v>7125000</v>
      </c>
      <c r="BY74" s="48">
        <v>7159000</v>
      </c>
      <c r="BZ74" s="42">
        <v>7157000</v>
      </c>
      <c r="CA74" s="48">
        <v>7191000</v>
      </c>
      <c r="CB74" s="42">
        <v>7144000</v>
      </c>
      <c r="CC74" s="48">
        <v>7178000</v>
      </c>
      <c r="CD74" s="42">
        <v>7144000</v>
      </c>
      <c r="CE74" s="48">
        <v>7178000</v>
      </c>
      <c r="CF74" s="42">
        <v>7157000</v>
      </c>
      <c r="CG74" s="48">
        <v>7191000</v>
      </c>
      <c r="CH74" s="42">
        <v>7224000</v>
      </c>
      <c r="CI74" s="48">
        <v>7258000</v>
      </c>
    </row>
    <row r="75" spans="1:87">
      <c r="A75" s="43"/>
      <c r="B75" s="25" t="s">
        <v>124</v>
      </c>
      <c r="C75" s="26">
        <v>620</v>
      </c>
      <c r="D75" s="26">
        <v>740</v>
      </c>
      <c r="E75" s="26">
        <v>200</v>
      </c>
      <c r="F75" s="27">
        <v>7878000</v>
      </c>
      <c r="G75" s="48">
        <v>7923000</v>
      </c>
      <c r="H75" s="42">
        <v>7566000</v>
      </c>
      <c r="I75" s="48">
        <v>7611000</v>
      </c>
      <c r="J75" s="29"/>
      <c r="K75" s="30"/>
      <c r="L75" s="42">
        <v>7906000</v>
      </c>
      <c r="M75" s="48">
        <v>7951000</v>
      </c>
      <c r="N75" s="29"/>
      <c r="O75" s="30"/>
      <c r="P75" s="42">
        <v>7412000</v>
      </c>
      <c r="Q75" s="48">
        <v>7457000</v>
      </c>
      <c r="R75" s="29"/>
      <c r="S75" s="30"/>
      <c r="T75" s="29"/>
      <c r="U75" s="30"/>
      <c r="V75" s="42">
        <v>7280000</v>
      </c>
      <c r="W75" s="48">
        <v>7325000</v>
      </c>
      <c r="X75" s="42">
        <v>7222000</v>
      </c>
      <c r="Y75" s="48">
        <v>7267000</v>
      </c>
      <c r="Z75" s="42">
        <v>7364000</v>
      </c>
      <c r="AA75" s="48">
        <v>7409000</v>
      </c>
      <c r="AB75" s="42">
        <v>7399000</v>
      </c>
      <c r="AC75" s="48">
        <v>7444000</v>
      </c>
      <c r="AD75" s="42">
        <v>7418000</v>
      </c>
      <c r="AE75" s="48">
        <v>7463000</v>
      </c>
      <c r="AF75" s="42">
        <v>7477000</v>
      </c>
      <c r="AG75" s="48">
        <v>7522000</v>
      </c>
      <c r="AH75" s="42">
        <v>7477000</v>
      </c>
      <c r="AI75" s="48">
        <v>7522000</v>
      </c>
      <c r="AJ75" s="42">
        <v>7392000</v>
      </c>
      <c r="AK75" s="48">
        <v>7437000</v>
      </c>
      <c r="AL75" s="42">
        <v>7493000</v>
      </c>
      <c r="AM75" s="48">
        <v>7538000</v>
      </c>
      <c r="AN75" s="42">
        <v>7298000</v>
      </c>
      <c r="AO75" s="48">
        <v>7343000</v>
      </c>
      <c r="AP75" s="42">
        <v>7461000</v>
      </c>
      <c r="AQ75" s="48">
        <v>7506000</v>
      </c>
      <c r="AR75" s="42">
        <v>7500000</v>
      </c>
      <c r="AS75" s="48">
        <v>7545000</v>
      </c>
      <c r="AT75" s="42">
        <v>7461000</v>
      </c>
      <c r="AU75" s="48">
        <v>7506000</v>
      </c>
      <c r="AV75" s="42">
        <v>7471000</v>
      </c>
      <c r="AW75" s="48">
        <v>7516000</v>
      </c>
      <c r="AX75" s="42">
        <v>7461000</v>
      </c>
      <c r="AY75" s="48">
        <v>7506000</v>
      </c>
      <c r="AZ75" s="42">
        <v>7484000</v>
      </c>
      <c r="BA75" s="48">
        <v>7529000</v>
      </c>
      <c r="BB75" s="42">
        <v>7322000</v>
      </c>
      <c r="BC75" s="48">
        <v>7367000</v>
      </c>
      <c r="BD75" s="42">
        <v>7322000</v>
      </c>
      <c r="BE75" s="48">
        <v>7367000</v>
      </c>
      <c r="BF75" s="42">
        <v>7322000</v>
      </c>
      <c r="BG75" s="48">
        <v>7367000</v>
      </c>
      <c r="BH75" s="42">
        <v>7322000</v>
      </c>
      <c r="BI75" s="48">
        <v>7367000</v>
      </c>
      <c r="BJ75" s="42">
        <v>7319000</v>
      </c>
      <c r="BK75" s="48">
        <v>7364000</v>
      </c>
      <c r="BL75" s="42">
        <v>7336000</v>
      </c>
      <c r="BM75" s="48">
        <v>7381000</v>
      </c>
      <c r="BN75" s="42">
        <v>7336000</v>
      </c>
      <c r="BO75" s="48">
        <v>7381000</v>
      </c>
      <c r="BP75" s="42">
        <v>7332000</v>
      </c>
      <c r="BQ75" s="48">
        <v>7377000</v>
      </c>
      <c r="BR75" s="42">
        <v>7322000</v>
      </c>
      <c r="BS75" s="48">
        <v>7367000</v>
      </c>
      <c r="BT75" s="42">
        <v>7318000</v>
      </c>
      <c r="BU75" s="48">
        <v>7363000</v>
      </c>
      <c r="BV75" s="42">
        <v>7318000</v>
      </c>
      <c r="BW75" s="48">
        <v>7363000</v>
      </c>
      <c r="BX75" s="42">
        <v>7318000</v>
      </c>
      <c r="BY75" s="48">
        <v>7363000</v>
      </c>
      <c r="BZ75" s="42">
        <v>7340000</v>
      </c>
      <c r="CA75" s="48">
        <v>7385000</v>
      </c>
      <c r="CB75" s="42">
        <v>7323000</v>
      </c>
      <c r="CC75" s="48">
        <v>7368000</v>
      </c>
      <c r="CD75" s="42">
        <v>7323000</v>
      </c>
      <c r="CE75" s="48">
        <v>7368000</v>
      </c>
      <c r="CF75" s="42">
        <v>7340000</v>
      </c>
      <c r="CG75" s="48">
        <v>7385000</v>
      </c>
      <c r="CH75" s="42">
        <v>7436000</v>
      </c>
      <c r="CI75" s="48">
        <v>7481000</v>
      </c>
    </row>
    <row r="76" spans="1:87">
      <c r="A76" s="43"/>
      <c r="B76" s="25" t="s">
        <v>125</v>
      </c>
      <c r="C76" s="26">
        <v>620</v>
      </c>
      <c r="D76" s="26">
        <v>740</v>
      </c>
      <c r="E76" s="26">
        <v>300</v>
      </c>
      <c r="F76" s="27">
        <v>8496000</v>
      </c>
      <c r="G76" s="48">
        <v>8564000</v>
      </c>
      <c r="H76" s="42">
        <v>8028000</v>
      </c>
      <c r="I76" s="48">
        <v>8096000</v>
      </c>
      <c r="J76" s="29"/>
      <c r="K76" s="30"/>
      <c r="L76" s="42">
        <v>8539000</v>
      </c>
      <c r="M76" s="48">
        <v>8607000</v>
      </c>
      <c r="N76" s="29"/>
      <c r="O76" s="30"/>
      <c r="P76" s="27">
        <v>8018000</v>
      </c>
      <c r="Q76" s="48">
        <v>8086000</v>
      </c>
      <c r="R76" s="29"/>
      <c r="S76" s="30"/>
      <c r="T76" s="29"/>
      <c r="U76" s="30"/>
      <c r="V76" s="42">
        <v>7588000</v>
      </c>
      <c r="W76" s="48">
        <v>7656000</v>
      </c>
      <c r="X76" s="42">
        <v>7502000</v>
      </c>
      <c r="Y76" s="48">
        <v>7570000</v>
      </c>
      <c r="Z76" s="42">
        <v>7702000</v>
      </c>
      <c r="AA76" s="48">
        <v>7770000</v>
      </c>
      <c r="AB76" s="42">
        <v>7749000</v>
      </c>
      <c r="AC76" s="48">
        <v>7817000</v>
      </c>
      <c r="AD76" s="42">
        <v>7769000</v>
      </c>
      <c r="AE76" s="48">
        <v>7837000</v>
      </c>
      <c r="AF76" s="42">
        <v>7851000</v>
      </c>
      <c r="AG76" s="48">
        <v>7919000</v>
      </c>
      <c r="AH76" s="42">
        <v>7851000</v>
      </c>
      <c r="AI76" s="48">
        <v>7919000</v>
      </c>
      <c r="AJ76" s="42">
        <v>7743000</v>
      </c>
      <c r="AK76" s="48">
        <v>7811000</v>
      </c>
      <c r="AL76" s="42">
        <v>7892000</v>
      </c>
      <c r="AM76" s="48">
        <v>7960000</v>
      </c>
      <c r="AN76" s="42">
        <v>7604000</v>
      </c>
      <c r="AO76" s="48">
        <v>7672000</v>
      </c>
      <c r="AP76" s="42">
        <v>7841000</v>
      </c>
      <c r="AQ76" s="48">
        <v>7909000</v>
      </c>
      <c r="AR76" s="42">
        <v>7900000</v>
      </c>
      <c r="AS76" s="48">
        <v>7968000</v>
      </c>
      <c r="AT76" s="42">
        <v>7841000</v>
      </c>
      <c r="AU76" s="48">
        <v>7909000</v>
      </c>
      <c r="AV76" s="42">
        <v>7859000</v>
      </c>
      <c r="AW76" s="48">
        <v>7927000</v>
      </c>
      <c r="AX76" s="42">
        <v>7844000</v>
      </c>
      <c r="AY76" s="48">
        <v>7912000</v>
      </c>
      <c r="AZ76" s="42">
        <v>7878000</v>
      </c>
      <c r="BA76" s="48">
        <v>7946000</v>
      </c>
      <c r="BB76" s="42">
        <v>7650000</v>
      </c>
      <c r="BC76" s="48">
        <v>7718000</v>
      </c>
      <c r="BD76" s="42">
        <v>7650000</v>
      </c>
      <c r="BE76" s="48">
        <v>7718000</v>
      </c>
      <c r="BF76" s="42">
        <v>7650000</v>
      </c>
      <c r="BG76" s="48">
        <v>7718000</v>
      </c>
      <c r="BH76" s="42">
        <v>7650000</v>
      </c>
      <c r="BI76" s="48">
        <v>7718000</v>
      </c>
      <c r="BJ76" s="42">
        <v>7646000</v>
      </c>
      <c r="BK76" s="48">
        <v>7714000</v>
      </c>
      <c r="BL76" s="42">
        <v>7672000</v>
      </c>
      <c r="BM76" s="48">
        <v>7740000</v>
      </c>
      <c r="BN76" s="42">
        <v>7672000</v>
      </c>
      <c r="BO76" s="48">
        <v>7740000</v>
      </c>
      <c r="BP76" s="42">
        <v>7667000</v>
      </c>
      <c r="BQ76" s="48">
        <v>7735000</v>
      </c>
      <c r="BR76" s="42">
        <v>7650000</v>
      </c>
      <c r="BS76" s="48">
        <v>7718000</v>
      </c>
      <c r="BT76" s="42">
        <v>7645000</v>
      </c>
      <c r="BU76" s="48">
        <v>7713000</v>
      </c>
      <c r="BV76" s="42">
        <v>7645000</v>
      </c>
      <c r="BW76" s="48">
        <v>7713000</v>
      </c>
      <c r="BX76" s="42">
        <v>7645000</v>
      </c>
      <c r="BY76" s="48">
        <v>7713000</v>
      </c>
      <c r="BZ76" s="42">
        <v>7649000</v>
      </c>
      <c r="CA76" s="48">
        <v>7717000</v>
      </c>
      <c r="CB76" s="42">
        <v>7623000</v>
      </c>
      <c r="CC76" s="48">
        <v>7691000</v>
      </c>
      <c r="CD76" s="42">
        <v>7623000</v>
      </c>
      <c r="CE76" s="48">
        <v>7691000</v>
      </c>
      <c r="CF76" s="42">
        <v>7649000</v>
      </c>
      <c r="CG76" s="48">
        <v>7717000</v>
      </c>
      <c r="CH76" s="42">
        <v>7800000</v>
      </c>
      <c r="CI76" s="48">
        <v>7868000</v>
      </c>
    </row>
    <row r="77" spans="1:87">
      <c r="A77" s="43"/>
      <c r="B77" s="25" t="s">
        <v>126</v>
      </c>
      <c r="C77" s="26">
        <v>620</v>
      </c>
      <c r="D77" s="26">
        <v>740</v>
      </c>
      <c r="E77" s="26">
        <v>450</v>
      </c>
      <c r="F77" s="27">
        <v>9453000</v>
      </c>
      <c r="G77" s="48">
        <v>9554000</v>
      </c>
      <c r="H77" s="42">
        <v>8751000</v>
      </c>
      <c r="I77" s="48">
        <v>8852000</v>
      </c>
      <c r="J77" s="29"/>
      <c r="K77" s="30"/>
      <c r="L77" s="42">
        <v>9517000</v>
      </c>
      <c r="M77" s="48">
        <v>9618000</v>
      </c>
      <c r="N77" s="29"/>
      <c r="O77" s="30"/>
      <c r="P77" s="27">
        <v>8621000</v>
      </c>
      <c r="Q77" s="48">
        <v>8722000</v>
      </c>
      <c r="R77" s="29"/>
      <c r="S77" s="30"/>
      <c r="T77" s="29"/>
      <c r="U77" s="30"/>
      <c r="V77" s="42">
        <v>8082000</v>
      </c>
      <c r="W77" s="48">
        <v>8183000</v>
      </c>
      <c r="X77" s="42">
        <v>7952000</v>
      </c>
      <c r="Y77" s="48">
        <v>8053000</v>
      </c>
      <c r="Z77" s="42">
        <v>8240000</v>
      </c>
      <c r="AA77" s="48">
        <v>8341000</v>
      </c>
      <c r="AB77" s="42">
        <v>8303000</v>
      </c>
      <c r="AC77" s="48">
        <v>8404000</v>
      </c>
      <c r="AD77" s="42">
        <v>8326000</v>
      </c>
      <c r="AE77" s="48">
        <v>8427000</v>
      </c>
      <c r="AF77" s="42">
        <v>8441000</v>
      </c>
      <c r="AG77" s="48">
        <v>8542000</v>
      </c>
      <c r="AH77" s="42">
        <v>8441000</v>
      </c>
      <c r="AI77" s="48">
        <v>8542000</v>
      </c>
      <c r="AJ77" s="42">
        <v>8299000</v>
      </c>
      <c r="AK77" s="48">
        <v>8400000</v>
      </c>
      <c r="AL77" s="42">
        <v>8520000</v>
      </c>
      <c r="AM77" s="48">
        <v>8621000</v>
      </c>
      <c r="AN77" s="42">
        <v>8092000</v>
      </c>
      <c r="AO77" s="48">
        <v>8193000</v>
      </c>
      <c r="AP77" s="42">
        <v>8440000</v>
      </c>
      <c r="AQ77" s="48">
        <v>8541000</v>
      </c>
      <c r="AR77" s="42">
        <v>8529000</v>
      </c>
      <c r="AS77" s="48">
        <v>8630000</v>
      </c>
      <c r="AT77" s="42">
        <v>8440000</v>
      </c>
      <c r="AU77" s="48">
        <v>8541000</v>
      </c>
      <c r="AV77" s="42">
        <v>8470000</v>
      </c>
      <c r="AW77" s="48">
        <v>8571000</v>
      </c>
      <c r="AX77" s="42">
        <v>8447000</v>
      </c>
      <c r="AY77" s="48">
        <v>8548000</v>
      </c>
      <c r="AZ77" s="42">
        <v>8498000</v>
      </c>
      <c r="BA77" s="48">
        <v>8599000</v>
      </c>
      <c r="BB77" s="42">
        <v>8174000</v>
      </c>
      <c r="BC77" s="48">
        <v>8275000</v>
      </c>
      <c r="BD77" s="42">
        <v>8174000</v>
      </c>
      <c r="BE77" s="48">
        <v>8275000</v>
      </c>
      <c r="BF77" s="42">
        <v>8174000</v>
      </c>
      <c r="BG77" s="48">
        <v>8275000</v>
      </c>
      <c r="BH77" s="42">
        <v>8174000</v>
      </c>
      <c r="BI77" s="48">
        <v>8275000</v>
      </c>
      <c r="BJ77" s="42">
        <v>8168000</v>
      </c>
      <c r="BK77" s="48">
        <v>8269000</v>
      </c>
      <c r="BL77" s="42">
        <v>8206000</v>
      </c>
      <c r="BM77" s="48">
        <v>8307000</v>
      </c>
      <c r="BN77" s="42">
        <v>8206000</v>
      </c>
      <c r="BO77" s="48">
        <v>8307000</v>
      </c>
      <c r="BP77" s="42">
        <v>8198000</v>
      </c>
      <c r="BQ77" s="48">
        <v>8299000</v>
      </c>
      <c r="BR77" s="42">
        <v>8174000</v>
      </c>
      <c r="BS77" s="48">
        <v>8275000</v>
      </c>
      <c r="BT77" s="42">
        <v>8166000</v>
      </c>
      <c r="BU77" s="48">
        <v>8267000</v>
      </c>
      <c r="BV77" s="42">
        <v>8166000</v>
      </c>
      <c r="BW77" s="48">
        <v>8267000</v>
      </c>
      <c r="BX77" s="42">
        <v>8166000</v>
      </c>
      <c r="BY77" s="48">
        <v>8267000</v>
      </c>
      <c r="BZ77" s="42">
        <v>8143000</v>
      </c>
      <c r="CA77" s="48">
        <v>8244000</v>
      </c>
      <c r="CB77" s="42">
        <v>8104000</v>
      </c>
      <c r="CC77" s="48">
        <v>8205000</v>
      </c>
      <c r="CD77" s="42">
        <v>8104000</v>
      </c>
      <c r="CE77" s="48">
        <v>8205000</v>
      </c>
      <c r="CF77" s="42">
        <v>8143000</v>
      </c>
      <c r="CG77" s="48">
        <v>8244000</v>
      </c>
      <c r="CH77" s="42">
        <v>8377000</v>
      </c>
      <c r="CI77" s="48">
        <v>8478000</v>
      </c>
    </row>
    <row r="78" spans="1:87">
      <c r="A78" s="43"/>
      <c r="B78" s="25" t="s">
        <v>127</v>
      </c>
      <c r="C78" s="26">
        <v>620</v>
      </c>
      <c r="D78" s="26">
        <v>740</v>
      </c>
      <c r="E78" s="26">
        <v>600</v>
      </c>
      <c r="F78" s="27">
        <v>10435000</v>
      </c>
      <c r="G78" s="48">
        <v>10570000</v>
      </c>
      <c r="H78" s="42">
        <v>9500000</v>
      </c>
      <c r="I78" s="48">
        <v>9635000</v>
      </c>
      <c r="J78" s="29"/>
      <c r="K78" s="30"/>
      <c r="L78" s="42">
        <v>10521000</v>
      </c>
      <c r="M78" s="48">
        <v>10656000</v>
      </c>
      <c r="N78" s="29"/>
      <c r="O78" s="30"/>
      <c r="P78" s="27">
        <v>9248000</v>
      </c>
      <c r="Q78" s="48">
        <v>9383000</v>
      </c>
      <c r="R78" s="29"/>
      <c r="S78" s="30"/>
      <c r="T78" s="29"/>
      <c r="U78" s="30"/>
      <c r="V78" s="42">
        <v>8600000</v>
      </c>
      <c r="W78" s="48">
        <v>8735000</v>
      </c>
      <c r="X78" s="42">
        <v>8428000</v>
      </c>
      <c r="Y78" s="48">
        <v>8563000</v>
      </c>
      <c r="Z78" s="42">
        <v>8802000</v>
      </c>
      <c r="AA78" s="48">
        <v>8937000</v>
      </c>
      <c r="AB78" s="42">
        <v>8883000</v>
      </c>
      <c r="AC78" s="48">
        <v>9018000</v>
      </c>
      <c r="AD78" s="42">
        <v>8908000</v>
      </c>
      <c r="AE78" s="48">
        <v>9043000</v>
      </c>
      <c r="AF78" s="42">
        <v>9056000</v>
      </c>
      <c r="AG78" s="48">
        <v>9191000</v>
      </c>
      <c r="AH78" s="42">
        <v>9056000</v>
      </c>
      <c r="AI78" s="48">
        <v>9191000</v>
      </c>
      <c r="AJ78" s="42">
        <v>8880000</v>
      </c>
      <c r="AK78" s="48">
        <v>9015000</v>
      </c>
      <c r="AL78" s="42">
        <v>9174000</v>
      </c>
      <c r="AM78" s="48">
        <v>9309000</v>
      </c>
      <c r="AN78" s="42">
        <v>8606000</v>
      </c>
      <c r="AO78" s="48">
        <v>8741000</v>
      </c>
      <c r="AP78" s="42">
        <v>9065000</v>
      </c>
      <c r="AQ78" s="48">
        <v>9200000</v>
      </c>
      <c r="AR78" s="42">
        <v>9183000</v>
      </c>
      <c r="AS78" s="48">
        <v>9318000</v>
      </c>
      <c r="AT78" s="42">
        <v>9065000</v>
      </c>
      <c r="AU78" s="48">
        <v>9200000</v>
      </c>
      <c r="AV78" s="42">
        <v>9106000</v>
      </c>
      <c r="AW78" s="48">
        <v>9241000</v>
      </c>
      <c r="AX78" s="42">
        <v>9076000</v>
      </c>
      <c r="AY78" s="48">
        <v>9211000</v>
      </c>
      <c r="AZ78" s="42">
        <v>9144000</v>
      </c>
      <c r="BA78" s="48">
        <v>9279000</v>
      </c>
      <c r="BB78" s="42">
        <v>8722000</v>
      </c>
      <c r="BC78" s="48">
        <v>8857000</v>
      </c>
      <c r="BD78" s="42">
        <v>8722000</v>
      </c>
      <c r="BE78" s="48">
        <v>8857000</v>
      </c>
      <c r="BF78" s="42">
        <v>8722000</v>
      </c>
      <c r="BG78" s="48">
        <v>8857000</v>
      </c>
      <c r="BH78" s="42">
        <v>8722000</v>
      </c>
      <c r="BI78" s="48">
        <v>8857000</v>
      </c>
      <c r="BJ78" s="42">
        <v>8714000</v>
      </c>
      <c r="BK78" s="48">
        <v>8849000</v>
      </c>
      <c r="BL78" s="42">
        <v>8765000</v>
      </c>
      <c r="BM78" s="48">
        <v>8900000</v>
      </c>
      <c r="BN78" s="42">
        <v>8765000</v>
      </c>
      <c r="BO78" s="48">
        <v>8900000</v>
      </c>
      <c r="BP78" s="42">
        <v>8754000</v>
      </c>
      <c r="BQ78" s="48">
        <v>8889000</v>
      </c>
      <c r="BR78" s="42">
        <v>8722000</v>
      </c>
      <c r="BS78" s="48">
        <v>8857000</v>
      </c>
      <c r="BT78" s="42">
        <v>8711000</v>
      </c>
      <c r="BU78" s="48">
        <v>8846000</v>
      </c>
      <c r="BV78" s="42">
        <v>8711000</v>
      </c>
      <c r="BW78" s="48">
        <v>8846000</v>
      </c>
      <c r="BX78" s="42">
        <v>8711000</v>
      </c>
      <c r="BY78" s="48">
        <v>8846000</v>
      </c>
      <c r="BZ78" s="42">
        <v>8662000</v>
      </c>
      <c r="CA78" s="48">
        <v>8797000</v>
      </c>
      <c r="CB78" s="42">
        <v>8610000</v>
      </c>
      <c r="CC78" s="48">
        <v>8745000</v>
      </c>
      <c r="CD78" s="42">
        <v>8610000</v>
      </c>
      <c r="CE78" s="48">
        <v>8745000</v>
      </c>
      <c r="CF78" s="42">
        <v>8662000</v>
      </c>
      <c r="CG78" s="48">
        <v>8797000</v>
      </c>
      <c r="CH78" s="42">
        <v>8979000</v>
      </c>
      <c r="CI78" s="48">
        <v>9114000</v>
      </c>
    </row>
    <row r="79" spans="1:87" ht="63" customHeight="1">
      <c r="A79" s="20" t="e">
        <f ca="1">_xludf.image("https://lh3.google.com/u/0/d/1M6R2DuHIEB5Rrq0Q6mJ1g8ISjMzwhWER",1)</f>
        <v>#NAME?</v>
      </c>
      <c r="B79" s="45" t="s">
        <v>128</v>
      </c>
      <c r="C79" s="142"/>
      <c r="D79" s="136"/>
      <c r="E79" s="137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  <c r="AI79" s="46"/>
      <c r="AJ79" s="46"/>
      <c r="AK79" s="46"/>
      <c r="AL79" s="46"/>
      <c r="AM79" s="46"/>
      <c r="AN79" s="46"/>
      <c r="AO79" s="46"/>
      <c r="AP79" s="46"/>
      <c r="AQ79" s="46"/>
      <c r="AR79" s="46"/>
      <c r="AS79" s="46"/>
      <c r="AT79" s="46"/>
      <c r="AU79" s="46"/>
      <c r="AV79" s="46"/>
      <c r="AW79" s="46"/>
      <c r="AX79" s="46"/>
      <c r="AY79" s="46"/>
      <c r="AZ79" s="46"/>
      <c r="BA79" s="46"/>
      <c r="BB79" s="46"/>
      <c r="BC79" s="46"/>
      <c r="BD79" s="46"/>
      <c r="BE79" s="46"/>
      <c r="BF79" s="46"/>
      <c r="BG79" s="46"/>
      <c r="BH79" s="46"/>
      <c r="BI79" s="46"/>
      <c r="BJ79" s="46"/>
      <c r="BK79" s="46"/>
      <c r="BL79" s="46"/>
      <c r="BM79" s="46"/>
      <c r="BN79" s="46"/>
      <c r="BO79" s="46"/>
      <c r="BP79" s="46"/>
      <c r="BQ79" s="46"/>
      <c r="BR79" s="46"/>
      <c r="BS79" s="46"/>
      <c r="BT79" s="46"/>
      <c r="BU79" s="46"/>
      <c r="BV79" s="46"/>
      <c r="BW79" s="46"/>
      <c r="BX79" s="46"/>
      <c r="BY79" s="46"/>
      <c r="BZ79" s="46"/>
      <c r="CA79" s="46"/>
      <c r="CB79" s="46"/>
      <c r="CC79" s="46"/>
      <c r="CD79" s="46"/>
      <c r="CE79" s="46"/>
      <c r="CF79" s="46"/>
      <c r="CG79" s="46"/>
      <c r="CH79" s="46"/>
      <c r="CI79" s="46"/>
    </row>
    <row r="80" spans="1:87" ht="12.75">
      <c r="A80" s="20"/>
      <c r="B80" s="138" t="s">
        <v>129</v>
      </c>
      <c r="C80" s="136"/>
      <c r="D80" s="136"/>
      <c r="E80" s="137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</row>
    <row r="81" spans="1:87">
      <c r="A81" s="43"/>
      <c r="B81" s="25" t="s">
        <v>130</v>
      </c>
      <c r="C81" s="26">
        <v>620</v>
      </c>
      <c r="D81" s="26">
        <v>740</v>
      </c>
      <c r="E81" s="26">
        <v>450</v>
      </c>
      <c r="F81" s="27">
        <v>6684000</v>
      </c>
      <c r="G81" s="48">
        <v>6785000</v>
      </c>
      <c r="H81" s="42">
        <v>5982000</v>
      </c>
      <c r="I81" s="48">
        <v>6083000</v>
      </c>
      <c r="J81" s="29"/>
      <c r="K81" s="30"/>
      <c r="L81" s="42">
        <v>6748000</v>
      </c>
      <c r="M81" s="48">
        <v>6849000</v>
      </c>
      <c r="N81" s="29"/>
      <c r="O81" s="30"/>
      <c r="P81" s="27">
        <v>5852000</v>
      </c>
      <c r="Q81" s="48">
        <v>5953000</v>
      </c>
      <c r="R81" s="27">
        <v>7027000</v>
      </c>
      <c r="S81" s="48">
        <v>7128000</v>
      </c>
      <c r="T81" s="29"/>
      <c r="U81" s="30"/>
      <c r="V81" s="42">
        <v>5313000</v>
      </c>
      <c r="W81" s="48">
        <v>5414000</v>
      </c>
      <c r="X81" s="42">
        <v>5183000</v>
      </c>
      <c r="Y81" s="48">
        <v>5284000</v>
      </c>
      <c r="Z81" s="42">
        <v>5471000</v>
      </c>
      <c r="AA81" s="48">
        <v>5572000</v>
      </c>
      <c r="AB81" s="42">
        <v>5534000</v>
      </c>
      <c r="AC81" s="48">
        <v>5635000</v>
      </c>
      <c r="AD81" s="42">
        <v>5557000</v>
      </c>
      <c r="AE81" s="48">
        <v>5658000</v>
      </c>
      <c r="AF81" s="42">
        <v>5672000</v>
      </c>
      <c r="AG81" s="48">
        <v>5773000</v>
      </c>
      <c r="AH81" s="42">
        <v>5672000</v>
      </c>
      <c r="AI81" s="48">
        <v>5773000</v>
      </c>
      <c r="AJ81" s="42">
        <v>5530000</v>
      </c>
      <c r="AK81" s="48">
        <v>5631000</v>
      </c>
      <c r="AL81" s="42">
        <v>5751000</v>
      </c>
      <c r="AM81" s="48">
        <v>5852000</v>
      </c>
      <c r="AN81" s="42">
        <v>5323000</v>
      </c>
      <c r="AO81" s="48">
        <v>5424000</v>
      </c>
      <c r="AP81" s="42">
        <v>5671000</v>
      </c>
      <c r="AQ81" s="48">
        <v>5772000</v>
      </c>
      <c r="AR81" s="42">
        <v>5760000</v>
      </c>
      <c r="AS81" s="48">
        <v>5861000</v>
      </c>
      <c r="AT81" s="42">
        <v>5671000</v>
      </c>
      <c r="AU81" s="48">
        <v>5772000</v>
      </c>
      <c r="AV81" s="42">
        <v>5701000</v>
      </c>
      <c r="AW81" s="48">
        <v>5802000</v>
      </c>
      <c r="AX81" s="42">
        <v>5678000</v>
      </c>
      <c r="AY81" s="48">
        <v>5779000</v>
      </c>
      <c r="AZ81" s="42">
        <v>5729000</v>
      </c>
      <c r="BA81" s="48">
        <v>5830000</v>
      </c>
      <c r="BB81" s="42">
        <v>5405000</v>
      </c>
      <c r="BC81" s="48">
        <v>5506000</v>
      </c>
      <c r="BD81" s="42">
        <v>5405000</v>
      </c>
      <c r="BE81" s="48">
        <v>5506000</v>
      </c>
      <c r="BF81" s="42">
        <v>5405000</v>
      </c>
      <c r="BG81" s="48">
        <v>5506000</v>
      </c>
      <c r="BH81" s="42">
        <v>5405000</v>
      </c>
      <c r="BI81" s="48">
        <v>5506000</v>
      </c>
      <c r="BJ81" s="42">
        <v>5399000</v>
      </c>
      <c r="BK81" s="48">
        <v>5500000</v>
      </c>
      <c r="BL81" s="42">
        <v>5437000</v>
      </c>
      <c r="BM81" s="48">
        <v>5538000</v>
      </c>
      <c r="BN81" s="42">
        <v>5437000</v>
      </c>
      <c r="BO81" s="48">
        <v>5538000</v>
      </c>
      <c r="BP81" s="42">
        <v>5429000</v>
      </c>
      <c r="BQ81" s="48">
        <v>5530000</v>
      </c>
      <c r="BR81" s="42">
        <v>5405000</v>
      </c>
      <c r="BS81" s="48">
        <v>5506000</v>
      </c>
      <c r="BT81" s="42">
        <v>5397000</v>
      </c>
      <c r="BU81" s="48">
        <v>5498000</v>
      </c>
      <c r="BV81" s="42">
        <v>5397000</v>
      </c>
      <c r="BW81" s="48">
        <v>5498000</v>
      </c>
      <c r="BX81" s="42">
        <v>5397000</v>
      </c>
      <c r="BY81" s="48">
        <v>5498000</v>
      </c>
      <c r="BZ81" s="42">
        <v>5374000</v>
      </c>
      <c r="CA81" s="48">
        <v>5475000</v>
      </c>
      <c r="CB81" s="42">
        <v>5335000</v>
      </c>
      <c r="CC81" s="48">
        <v>5436000</v>
      </c>
      <c r="CD81" s="42">
        <v>5335000</v>
      </c>
      <c r="CE81" s="48">
        <v>5436000</v>
      </c>
      <c r="CF81" s="42">
        <v>5374000</v>
      </c>
      <c r="CG81" s="48">
        <v>5475000</v>
      </c>
      <c r="CH81" s="42">
        <v>5608000</v>
      </c>
      <c r="CI81" s="48">
        <v>5709000</v>
      </c>
    </row>
    <row r="82" spans="1:87">
      <c r="A82" s="43"/>
      <c r="B82" s="25" t="s">
        <v>131</v>
      </c>
      <c r="C82" s="26">
        <v>620</v>
      </c>
      <c r="D82" s="26">
        <v>740</v>
      </c>
      <c r="E82" s="26">
        <v>600</v>
      </c>
      <c r="F82" s="27">
        <v>8162000</v>
      </c>
      <c r="G82" s="48">
        <v>8297000</v>
      </c>
      <c r="H82" s="42">
        <v>7227000</v>
      </c>
      <c r="I82" s="48">
        <v>7362000</v>
      </c>
      <c r="J82" s="29"/>
      <c r="K82" s="30"/>
      <c r="L82" s="42">
        <v>8248000</v>
      </c>
      <c r="M82" s="48">
        <v>8383000</v>
      </c>
      <c r="N82" s="29"/>
      <c r="O82" s="30"/>
      <c r="P82" s="27">
        <v>6975000</v>
      </c>
      <c r="Q82" s="48">
        <v>7110000</v>
      </c>
      <c r="R82" s="27">
        <v>8739000</v>
      </c>
      <c r="S82" s="48">
        <v>8874000</v>
      </c>
      <c r="T82" s="29"/>
      <c r="U82" s="30"/>
      <c r="V82" s="42">
        <v>6327000</v>
      </c>
      <c r="W82" s="48">
        <v>6462000</v>
      </c>
      <c r="X82" s="42">
        <v>6155000</v>
      </c>
      <c r="Y82" s="48">
        <v>6290000</v>
      </c>
      <c r="Z82" s="42">
        <v>6529000</v>
      </c>
      <c r="AA82" s="48">
        <v>6664000</v>
      </c>
      <c r="AB82" s="42">
        <v>6610000</v>
      </c>
      <c r="AC82" s="48">
        <v>6745000</v>
      </c>
      <c r="AD82" s="42">
        <v>6635000</v>
      </c>
      <c r="AE82" s="48">
        <v>6770000</v>
      </c>
      <c r="AF82" s="42">
        <v>6783000</v>
      </c>
      <c r="AG82" s="48">
        <v>6918000</v>
      </c>
      <c r="AH82" s="42">
        <v>6783000</v>
      </c>
      <c r="AI82" s="48">
        <v>6918000</v>
      </c>
      <c r="AJ82" s="42">
        <v>6607000</v>
      </c>
      <c r="AK82" s="48">
        <v>6742000</v>
      </c>
      <c r="AL82" s="42">
        <v>6901000</v>
      </c>
      <c r="AM82" s="48">
        <v>7036000</v>
      </c>
      <c r="AN82" s="42">
        <v>6333000</v>
      </c>
      <c r="AO82" s="48">
        <v>6468000</v>
      </c>
      <c r="AP82" s="42">
        <v>6792000</v>
      </c>
      <c r="AQ82" s="48">
        <v>6927000</v>
      </c>
      <c r="AR82" s="42">
        <v>6910000</v>
      </c>
      <c r="AS82" s="48">
        <v>7045000</v>
      </c>
      <c r="AT82" s="42">
        <v>6792000</v>
      </c>
      <c r="AU82" s="48">
        <v>6927000</v>
      </c>
      <c r="AV82" s="42">
        <v>6833000</v>
      </c>
      <c r="AW82" s="48">
        <v>6968000</v>
      </c>
      <c r="AX82" s="42">
        <v>6803000</v>
      </c>
      <c r="AY82" s="48">
        <v>6938000</v>
      </c>
      <c r="AZ82" s="42">
        <v>6871000</v>
      </c>
      <c r="BA82" s="48">
        <v>7006000</v>
      </c>
      <c r="BB82" s="42">
        <v>6449000</v>
      </c>
      <c r="BC82" s="48">
        <v>6584000</v>
      </c>
      <c r="BD82" s="42">
        <v>6449000</v>
      </c>
      <c r="BE82" s="48">
        <v>6584000</v>
      </c>
      <c r="BF82" s="42">
        <v>6449000</v>
      </c>
      <c r="BG82" s="48">
        <v>6584000</v>
      </c>
      <c r="BH82" s="42">
        <v>6449000</v>
      </c>
      <c r="BI82" s="48">
        <v>6584000</v>
      </c>
      <c r="BJ82" s="42">
        <v>6441000</v>
      </c>
      <c r="BK82" s="48">
        <v>6576000</v>
      </c>
      <c r="BL82" s="42">
        <v>6492000</v>
      </c>
      <c r="BM82" s="48">
        <v>6627000</v>
      </c>
      <c r="BN82" s="42">
        <v>6492000</v>
      </c>
      <c r="BO82" s="48">
        <v>6627000</v>
      </c>
      <c r="BP82" s="42">
        <v>6481000</v>
      </c>
      <c r="BQ82" s="48">
        <v>6616000</v>
      </c>
      <c r="BR82" s="42">
        <v>6449000</v>
      </c>
      <c r="BS82" s="48">
        <v>6584000</v>
      </c>
      <c r="BT82" s="42">
        <v>6438000</v>
      </c>
      <c r="BU82" s="48">
        <v>6573000</v>
      </c>
      <c r="BV82" s="42">
        <v>6438000</v>
      </c>
      <c r="BW82" s="48">
        <v>6573000</v>
      </c>
      <c r="BX82" s="42">
        <v>6438000</v>
      </c>
      <c r="BY82" s="48">
        <v>6573000</v>
      </c>
      <c r="BZ82" s="42">
        <v>6389000</v>
      </c>
      <c r="CA82" s="48">
        <v>6524000</v>
      </c>
      <c r="CB82" s="42">
        <v>6337000</v>
      </c>
      <c r="CC82" s="48">
        <v>6472000</v>
      </c>
      <c r="CD82" s="42">
        <v>6337000</v>
      </c>
      <c r="CE82" s="48">
        <v>6472000</v>
      </c>
      <c r="CF82" s="42">
        <v>6389000</v>
      </c>
      <c r="CG82" s="48">
        <v>6524000</v>
      </c>
      <c r="CH82" s="42">
        <v>6706000</v>
      </c>
      <c r="CI82" s="48">
        <v>6841000</v>
      </c>
    </row>
    <row r="83" spans="1:87">
      <c r="A83" s="43"/>
      <c r="B83" s="25" t="s">
        <v>132</v>
      </c>
      <c r="C83" s="50"/>
      <c r="D83" s="50"/>
      <c r="E83" s="50"/>
      <c r="F83" s="27">
        <v>2660000</v>
      </c>
      <c r="G83" s="48">
        <v>2660000</v>
      </c>
      <c r="H83" s="42">
        <v>2660000</v>
      </c>
      <c r="I83" s="48">
        <v>2660000</v>
      </c>
      <c r="J83" s="29"/>
      <c r="K83" s="30"/>
      <c r="L83" s="42">
        <v>2660000</v>
      </c>
      <c r="M83" s="48">
        <v>2660000</v>
      </c>
      <c r="N83" s="29"/>
      <c r="O83" s="30"/>
      <c r="P83" s="42">
        <v>2660000</v>
      </c>
      <c r="Q83" s="48">
        <v>2660000</v>
      </c>
      <c r="R83" s="42">
        <v>2660000</v>
      </c>
      <c r="S83" s="48">
        <v>2660000</v>
      </c>
      <c r="T83" s="42">
        <v>2660000</v>
      </c>
      <c r="U83" s="48">
        <v>2660000</v>
      </c>
      <c r="V83" s="42">
        <v>2660000</v>
      </c>
      <c r="W83" s="48">
        <v>2660000</v>
      </c>
      <c r="X83" s="42">
        <v>2660000</v>
      </c>
      <c r="Y83" s="48">
        <v>2660000</v>
      </c>
      <c r="Z83" s="42">
        <v>2660000</v>
      </c>
      <c r="AA83" s="48">
        <v>2660000</v>
      </c>
      <c r="AB83" s="42">
        <v>2660000</v>
      </c>
      <c r="AC83" s="48">
        <v>2660000</v>
      </c>
      <c r="AD83" s="42">
        <v>2660000</v>
      </c>
      <c r="AE83" s="48">
        <v>2660000</v>
      </c>
      <c r="AF83" s="42">
        <v>2660000</v>
      </c>
      <c r="AG83" s="48">
        <v>2660000</v>
      </c>
      <c r="AH83" s="42">
        <v>2660000</v>
      </c>
      <c r="AI83" s="48">
        <v>2660000</v>
      </c>
      <c r="AJ83" s="42">
        <v>2660000</v>
      </c>
      <c r="AK83" s="48">
        <v>2660000</v>
      </c>
      <c r="AL83" s="42">
        <v>2660000</v>
      </c>
      <c r="AM83" s="48">
        <v>2660000</v>
      </c>
      <c r="AN83" s="42">
        <v>2660000</v>
      </c>
      <c r="AO83" s="48">
        <v>2660000</v>
      </c>
      <c r="AP83" s="42">
        <v>2660000</v>
      </c>
      <c r="AQ83" s="48">
        <v>2660000</v>
      </c>
      <c r="AR83" s="42">
        <v>2660000</v>
      </c>
      <c r="AS83" s="48">
        <v>2660000</v>
      </c>
      <c r="AT83" s="42">
        <v>2660000</v>
      </c>
      <c r="AU83" s="48">
        <v>2660000</v>
      </c>
      <c r="AV83" s="42">
        <v>2660000</v>
      </c>
      <c r="AW83" s="48">
        <v>2660000</v>
      </c>
      <c r="AX83" s="42">
        <v>2660000</v>
      </c>
      <c r="AY83" s="48">
        <v>2660000</v>
      </c>
      <c r="AZ83" s="42">
        <v>2660000</v>
      </c>
      <c r="BA83" s="48">
        <v>2660000</v>
      </c>
      <c r="BB83" s="42">
        <v>2660000</v>
      </c>
      <c r="BC83" s="48">
        <v>2660000</v>
      </c>
      <c r="BD83" s="42">
        <v>2660000</v>
      </c>
      <c r="BE83" s="48">
        <v>2660000</v>
      </c>
      <c r="BF83" s="42">
        <v>2660000</v>
      </c>
      <c r="BG83" s="48">
        <v>2660000</v>
      </c>
      <c r="BH83" s="42">
        <v>2660000</v>
      </c>
      <c r="BI83" s="48">
        <v>2660000</v>
      </c>
      <c r="BJ83" s="42">
        <v>2660000</v>
      </c>
      <c r="BK83" s="48">
        <v>2660000</v>
      </c>
      <c r="BL83" s="42">
        <v>2660000</v>
      </c>
      <c r="BM83" s="48">
        <v>2660000</v>
      </c>
      <c r="BN83" s="42">
        <v>2660000</v>
      </c>
      <c r="BO83" s="48">
        <v>2660000</v>
      </c>
      <c r="BP83" s="42">
        <v>2660000</v>
      </c>
      <c r="BQ83" s="48">
        <v>2660000</v>
      </c>
      <c r="BR83" s="42">
        <v>2660000</v>
      </c>
      <c r="BS83" s="48">
        <v>2660000</v>
      </c>
      <c r="BT83" s="42">
        <v>2660000</v>
      </c>
      <c r="BU83" s="48">
        <v>2660000</v>
      </c>
      <c r="BV83" s="42">
        <v>2660000</v>
      </c>
      <c r="BW83" s="48">
        <v>2660000</v>
      </c>
      <c r="BX83" s="42">
        <v>2660000</v>
      </c>
      <c r="BY83" s="48">
        <v>2660000</v>
      </c>
      <c r="BZ83" s="42">
        <v>2660000</v>
      </c>
      <c r="CA83" s="48">
        <v>2660000</v>
      </c>
      <c r="CB83" s="42">
        <v>2660000</v>
      </c>
      <c r="CC83" s="48">
        <v>2660000</v>
      </c>
      <c r="CD83" s="42">
        <v>2660000</v>
      </c>
      <c r="CE83" s="48">
        <v>2660000</v>
      </c>
      <c r="CF83" s="42">
        <v>2660000</v>
      </c>
      <c r="CG83" s="48">
        <v>2660000</v>
      </c>
      <c r="CH83" s="42">
        <v>2660000</v>
      </c>
      <c r="CI83" s="48">
        <v>2660000</v>
      </c>
    </row>
    <row r="84" spans="1:87">
      <c r="A84" s="43"/>
      <c r="B84" s="25" t="s">
        <v>133</v>
      </c>
      <c r="C84" s="50"/>
      <c r="D84" s="50"/>
      <c r="E84" s="50"/>
      <c r="F84" s="27">
        <v>3272000</v>
      </c>
      <c r="G84" s="48">
        <v>3272000</v>
      </c>
      <c r="H84" s="42">
        <v>3272000</v>
      </c>
      <c r="I84" s="48">
        <v>3272000</v>
      </c>
      <c r="J84" s="29"/>
      <c r="K84" s="30"/>
      <c r="L84" s="42">
        <v>3272000</v>
      </c>
      <c r="M84" s="48">
        <v>3272000</v>
      </c>
      <c r="N84" s="29"/>
      <c r="O84" s="30"/>
      <c r="P84" s="42">
        <v>3272000</v>
      </c>
      <c r="Q84" s="48">
        <v>3272000</v>
      </c>
      <c r="R84" s="42">
        <v>3272000</v>
      </c>
      <c r="S84" s="48">
        <v>3272000</v>
      </c>
      <c r="T84" s="42">
        <v>3272000</v>
      </c>
      <c r="U84" s="48">
        <v>3272000</v>
      </c>
      <c r="V84" s="42">
        <v>3272000</v>
      </c>
      <c r="W84" s="48">
        <v>3272000</v>
      </c>
      <c r="X84" s="42">
        <v>3272000</v>
      </c>
      <c r="Y84" s="48">
        <v>3272000</v>
      </c>
      <c r="Z84" s="42">
        <v>3272000</v>
      </c>
      <c r="AA84" s="48">
        <v>3272000</v>
      </c>
      <c r="AB84" s="42">
        <v>3272000</v>
      </c>
      <c r="AC84" s="48">
        <v>3272000</v>
      </c>
      <c r="AD84" s="42">
        <v>3272000</v>
      </c>
      <c r="AE84" s="48">
        <v>3272000</v>
      </c>
      <c r="AF84" s="42">
        <v>3272000</v>
      </c>
      <c r="AG84" s="48">
        <v>3272000</v>
      </c>
      <c r="AH84" s="42">
        <v>3272000</v>
      </c>
      <c r="AI84" s="48">
        <v>3272000</v>
      </c>
      <c r="AJ84" s="42">
        <v>3272000</v>
      </c>
      <c r="AK84" s="48">
        <v>3272000</v>
      </c>
      <c r="AL84" s="42">
        <v>3272000</v>
      </c>
      <c r="AM84" s="48">
        <v>3272000</v>
      </c>
      <c r="AN84" s="42">
        <v>3272000</v>
      </c>
      <c r="AO84" s="48">
        <v>3272000</v>
      </c>
      <c r="AP84" s="42">
        <v>3272000</v>
      </c>
      <c r="AQ84" s="48">
        <v>3272000</v>
      </c>
      <c r="AR84" s="42">
        <v>3272000</v>
      </c>
      <c r="AS84" s="48">
        <v>3272000</v>
      </c>
      <c r="AT84" s="42">
        <v>3272000</v>
      </c>
      <c r="AU84" s="48">
        <v>3272000</v>
      </c>
      <c r="AV84" s="42">
        <v>3272000</v>
      </c>
      <c r="AW84" s="48">
        <v>3272000</v>
      </c>
      <c r="AX84" s="42">
        <v>3272000</v>
      </c>
      <c r="AY84" s="48">
        <v>3272000</v>
      </c>
      <c r="AZ84" s="42">
        <v>3272000</v>
      </c>
      <c r="BA84" s="48">
        <v>3272000</v>
      </c>
      <c r="BB84" s="42">
        <v>3272000</v>
      </c>
      <c r="BC84" s="48">
        <v>3272000</v>
      </c>
      <c r="BD84" s="42">
        <v>3272000</v>
      </c>
      <c r="BE84" s="48">
        <v>3272000</v>
      </c>
      <c r="BF84" s="42">
        <v>3272000</v>
      </c>
      <c r="BG84" s="48">
        <v>3272000</v>
      </c>
      <c r="BH84" s="42">
        <v>3272000</v>
      </c>
      <c r="BI84" s="48">
        <v>3272000</v>
      </c>
      <c r="BJ84" s="42">
        <v>3272000</v>
      </c>
      <c r="BK84" s="48">
        <v>3272000</v>
      </c>
      <c r="BL84" s="42">
        <v>3272000</v>
      </c>
      <c r="BM84" s="48">
        <v>3272000</v>
      </c>
      <c r="BN84" s="42">
        <v>3272000</v>
      </c>
      <c r="BO84" s="48">
        <v>3272000</v>
      </c>
      <c r="BP84" s="42">
        <v>3272000</v>
      </c>
      <c r="BQ84" s="48">
        <v>3272000</v>
      </c>
      <c r="BR84" s="42">
        <v>3272000</v>
      </c>
      <c r="BS84" s="48">
        <v>3272000</v>
      </c>
      <c r="BT84" s="42">
        <v>3272000</v>
      </c>
      <c r="BU84" s="48">
        <v>3272000</v>
      </c>
      <c r="BV84" s="42">
        <v>3272000</v>
      </c>
      <c r="BW84" s="48">
        <v>3272000</v>
      </c>
      <c r="BX84" s="42">
        <v>3272000</v>
      </c>
      <c r="BY84" s="48">
        <v>3272000</v>
      </c>
      <c r="BZ84" s="42">
        <v>3272000</v>
      </c>
      <c r="CA84" s="48">
        <v>3272000</v>
      </c>
      <c r="CB84" s="42">
        <v>3272000</v>
      </c>
      <c r="CC84" s="48">
        <v>3272000</v>
      </c>
      <c r="CD84" s="42">
        <v>3272000</v>
      </c>
      <c r="CE84" s="48">
        <v>3272000</v>
      </c>
      <c r="CF84" s="42">
        <v>3272000</v>
      </c>
      <c r="CG84" s="48">
        <v>3272000</v>
      </c>
      <c r="CH84" s="42">
        <v>3272000</v>
      </c>
      <c r="CI84" s="48">
        <v>3272000</v>
      </c>
    </row>
    <row r="85" spans="1:87" ht="63" customHeight="1">
      <c r="A85" s="20" t="e">
        <f ca="1">_xludf.image("https://lh3.google.com/u/0/d/1WfnnDtmLc7_tOPaXZtMl4IsOC0ODtGFf",1)</f>
        <v>#NAME?</v>
      </c>
      <c r="B85" s="45" t="s">
        <v>134</v>
      </c>
      <c r="C85" s="141"/>
      <c r="D85" s="136"/>
      <c r="E85" s="137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  <c r="AE85" s="46"/>
      <c r="AF85" s="46"/>
      <c r="AG85" s="46"/>
      <c r="AH85" s="46"/>
      <c r="AI85" s="46"/>
      <c r="AJ85" s="46"/>
      <c r="AK85" s="46"/>
      <c r="AL85" s="46"/>
      <c r="AM85" s="46"/>
      <c r="AN85" s="46"/>
      <c r="AO85" s="46"/>
      <c r="AP85" s="46"/>
      <c r="AQ85" s="46"/>
      <c r="AR85" s="46"/>
      <c r="AS85" s="46"/>
      <c r="AT85" s="46"/>
      <c r="AU85" s="46"/>
      <c r="AV85" s="46"/>
      <c r="AW85" s="46"/>
      <c r="AX85" s="46"/>
      <c r="AY85" s="46"/>
      <c r="AZ85" s="46"/>
      <c r="BA85" s="46"/>
      <c r="BB85" s="46"/>
      <c r="BC85" s="46"/>
      <c r="BD85" s="46"/>
      <c r="BE85" s="46"/>
      <c r="BF85" s="46"/>
      <c r="BG85" s="46"/>
      <c r="BH85" s="46"/>
      <c r="BI85" s="46"/>
      <c r="BJ85" s="46"/>
      <c r="BK85" s="46"/>
      <c r="BL85" s="46"/>
      <c r="BM85" s="46"/>
      <c r="BN85" s="46"/>
      <c r="BO85" s="46"/>
      <c r="BP85" s="46"/>
      <c r="BQ85" s="46"/>
      <c r="BR85" s="46"/>
      <c r="BS85" s="46"/>
      <c r="BT85" s="46"/>
      <c r="BU85" s="46"/>
      <c r="BV85" s="46"/>
      <c r="BW85" s="46"/>
      <c r="BX85" s="46"/>
      <c r="BY85" s="46"/>
      <c r="BZ85" s="46"/>
      <c r="CA85" s="46"/>
      <c r="CB85" s="46"/>
      <c r="CC85" s="46"/>
      <c r="CD85" s="46"/>
      <c r="CE85" s="46"/>
      <c r="CF85" s="46"/>
      <c r="CG85" s="46"/>
      <c r="CH85" s="46"/>
      <c r="CI85" s="46"/>
    </row>
    <row r="86" spans="1:87" ht="12.75">
      <c r="A86" s="20"/>
      <c r="B86" s="138" t="s">
        <v>135</v>
      </c>
      <c r="C86" s="136"/>
      <c r="D86" s="136"/>
      <c r="E86" s="137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</row>
    <row r="87" spans="1:87">
      <c r="A87" s="43"/>
      <c r="B87" s="25" t="s">
        <v>136</v>
      </c>
      <c r="C87" s="26">
        <v>620</v>
      </c>
      <c r="D87" s="26">
        <v>740</v>
      </c>
      <c r="E87" s="26">
        <v>600</v>
      </c>
      <c r="F87" s="27">
        <v>2177000</v>
      </c>
      <c r="G87" s="48">
        <v>2312000</v>
      </c>
      <c r="H87" s="42">
        <v>1988000</v>
      </c>
      <c r="I87" s="48">
        <v>2123000</v>
      </c>
      <c r="J87" s="29"/>
      <c r="K87" s="30"/>
      <c r="L87" s="42">
        <v>2195000</v>
      </c>
      <c r="M87" s="48">
        <v>2330000</v>
      </c>
      <c r="N87" s="29"/>
      <c r="O87" s="30"/>
      <c r="P87" s="42">
        <v>1891000</v>
      </c>
      <c r="Q87" s="48">
        <v>2026000</v>
      </c>
      <c r="R87" s="29"/>
      <c r="S87" s="30"/>
      <c r="T87" s="29"/>
      <c r="U87" s="30"/>
      <c r="V87" s="42">
        <v>1822000</v>
      </c>
      <c r="W87" s="48">
        <v>1957000</v>
      </c>
      <c r="X87" s="42">
        <v>1787000</v>
      </c>
      <c r="Y87" s="48">
        <v>1922000</v>
      </c>
      <c r="Z87" s="42">
        <v>1885000</v>
      </c>
      <c r="AA87" s="48">
        <v>2020000</v>
      </c>
      <c r="AB87" s="42">
        <v>1911000</v>
      </c>
      <c r="AC87" s="48">
        <v>2046000</v>
      </c>
      <c r="AD87" s="42">
        <v>1930000</v>
      </c>
      <c r="AE87" s="48">
        <v>2065000</v>
      </c>
      <c r="AF87" s="42">
        <v>1972000</v>
      </c>
      <c r="AG87" s="48">
        <v>2107000</v>
      </c>
      <c r="AH87" s="42">
        <v>1972000</v>
      </c>
      <c r="AI87" s="48">
        <v>2107000</v>
      </c>
      <c r="AJ87" s="42">
        <v>1904000</v>
      </c>
      <c r="AK87" s="48">
        <v>2039000</v>
      </c>
      <c r="AL87" s="42">
        <v>1967000</v>
      </c>
      <c r="AM87" s="48">
        <v>2102000</v>
      </c>
      <c r="AN87" s="42">
        <v>1844000</v>
      </c>
      <c r="AO87" s="48">
        <v>1979000</v>
      </c>
      <c r="AP87" s="42">
        <v>1949000</v>
      </c>
      <c r="AQ87" s="48">
        <v>2084000</v>
      </c>
      <c r="AR87" s="42">
        <v>1973000</v>
      </c>
      <c r="AS87" s="48">
        <v>2108000</v>
      </c>
      <c r="AT87" s="42">
        <v>1949000</v>
      </c>
      <c r="AU87" s="48">
        <v>2084000</v>
      </c>
      <c r="AV87" s="42">
        <v>1954000</v>
      </c>
      <c r="AW87" s="48">
        <v>2089000</v>
      </c>
      <c r="AX87" s="42">
        <v>1948000</v>
      </c>
      <c r="AY87" s="48">
        <v>2083000</v>
      </c>
      <c r="AZ87" s="42">
        <v>1961000</v>
      </c>
      <c r="BA87" s="48">
        <v>2096000</v>
      </c>
      <c r="BB87" s="42">
        <v>1849000</v>
      </c>
      <c r="BC87" s="48">
        <v>1984000</v>
      </c>
      <c r="BD87" s="42">
        <v>1849000</v>
      </c>
      <c r="BE87" s="48">
        <v>1984000</v>
      </c>
      <c r="BF87" s="42">
        <v>1849000</v>
      </c>
      <c r="BG87" s="48">
        <v>1984000</v>
      </c>
      <c r="BH87" s="42">
        <v>1849000</v>
      </c>
      <c r="BI87" s="48">
        <v>1984000</v>
      </c>
      <c r="BJ87" s="42">
        <v>1847000</v>
      </c>
      <c r="BK87" s="48">
        <v>1982000</v>
      </c>
      <c r="BL87" s="42">
        <v>1857000</v>
      </c>
      <c r="BM87" s="48">
        <v>1992000</v>
      </c>
      <c r="BN87" s="42">
        <v>1857000</v>
      </c>
      <c r="BO87" s="48">
        <v>1992000</v>
      </c>
      <c r="BP87" s="42">
        <v>1855000</v>
      </c>
      <c r="BQ87" s="48">
        <v>1990000</v>
      </c>
      <c r="BR87" s="42">
        <v>1849000</v>
      </c>
      <c r="BS87" s="48">
        <v>1984000</v>
      </c>
      <c r="BT87" s="42">
        <v>1847000</v>
      </c>
      <c r="BU87" s="48">
        <v>1982000</v>
      </c>
      <c r="BV87" s="42">
        <v>1847000</v>
      </c>
      <c r="BW87" s="48">
        <v>1982000</v>
      </c>
      <c r="BX87" s="42">
        <v>1847000</v>
      </c>
      <c r="BY87" s="48">
        <v>1982000</v>
      </c>
      <c r="BZ87" s="42">
        <v>1885000</v>
      </c>
      <c r="CA87" s="48">
        <v>2020000</v>
      </c>
      <c r="CB87" s="42">
        <v>1875000</v>
      </c>
      <c r="CC87" s="48">
        <v>2010000</v>
      </c>
      <c r="CD87" s="42">
        <v>1875000</v>
      </c>
      <c r="CE87" s="48">
        <v>2010000</v>
      </c>
      <c r="CF87" s="42">
        <v>1885000</v>
      </c>
      <c r="CG87" s="48">
        <v>2020000</v>
      </c>
      <c r="CH87" s="42">
        <v>1937000</v>
      </c>
      <c r="CI87" s="48">
        <v>2072000</v>
      </c>
    </row>
    <row r="88" spans="1:87">
      <c r="A88" s="43"/>
      <c r="B88" s="25" t="s">
        <v>137</v>
      </c>
      <c r="C88" s="26">
        <v>620</v>
      </c>
      <c r="D88" s="26">
        <v>740</v>
      </c>
      <c r="E88" s="26">
        <v>900</v>
      </c>
      <c r="F88" s="27">
        <v>2705000</v>
      </c>
      <c r="G88" s="48">
        <v>2908000</v>
      </c>
      <c r="H88" s="42">
        <v>2421000</v>
      </c>
      <c r="I88" s="48">
        <v>2624000</v>
      </c>
      <c r="J88" s="29"/>
      <c r="K88" s="30"/>
      <c r="L88" s="42">
        <v>2731000</v>
      </c>
      <c r="M88" s="48">
        <v>2934000</v>
      </c>
      <c r="N88" s="29"/>
      <c r="O88" s="30"/>
      <c r="P88" s="42">
        <v>2241000</v>
      </c>
      <c r="Q88" s="48">
        <v>2444000</v>
      </c>
      <c r="R88" s="29"/>
      <c r="S88" s="30"/>
      <c r="T88" s="29"/>
      <c r="U88" s="30"/>
      <c r="V88" s="42">
        <v>2161000</v>
      </c>
      <c r="W88" s="48">
        <v>2364000</v>
      </c>
      <c r="X88" s="42">
        <v>2108000</v>
      </c>
      <c r="Y88" s="48">
        <v>2311000</v>
      </c>
      <c r="Z88" s="42">
        <v>2239000</v>
      </c>
      <c r="AA88" s="48">
        <v>2442000</v>
      </c>
      <c r="AB88" s="42">
        <v>2271000</v>
      </c>
      <c r="AC88" s="48">
        <v>2474000</v>
      </c>
      <c r="AD88" s="42">
        <v>2289000</v>
      </c>
      <c r="AE88" s="48">
        <v>2492000</v>
      </c>
      <c r="AF88" s="42">
        <v>2344000</v>
      </c>
      <c r="AG88" s="48">
        <v>2547000</v>
      </c>
      <c r="AH88" s="42">
        <v>2344000</v>
      </c>
      <c r="AI88" s="48">
        <v>2547000</v>
      </c>
      <c r="AJ88" s="42">
        <v>2265000</v>
      </c>
      <c r="AK88" s="48">
        <v>2468000</v>
      </c>
      <c r="AL88" s="42">
        <v>2357000</v>
      </c>
      <c r="AM88" s="48">
        <v>2560000</v>
      </c>
      <c r="AN88" s="42">
        <v>2178000</v>
      </c>
      <c r="AO88" s="48">
        <v>2381000</v>
      </c>
      <c r="AP88" s="42">
        <v>2328000</v>
      </c>
      <c r="AQ88" s="48">
        <v>2531000</v>
      </c>
      <c r="AR88" s="42">
        <v>2363000</v>
      </c>
      <c r="AS88" s="48">
        <v>2566000</v>
      </c>
      <c r="AT88" s="42">
        <v>2328000</v>
      </c>
      <c r="AU88" s="48">
        <v>2531000</v>
      </c>
      <c r="AV88" s="42">
        <v>2337000</v>
      </c>
      <c r="AW88" s="48">
        <v>2540000</v>
      </c>
      <c r="AX88" s="42">
        <v>2328000</v>
      </c>
      <c r="AY88" s="48">
        <v>2531000</v>
      </c>
      <c r="AZ88" s="42">
        <v>2348000</v>
      </c>
      <c r="BA88" s="48">
        <v>2551000</v>
      </c>
      <c r="BB88" s="42">
        <v>2199000</v>
      </c>
      <c r="BC88" s="48">
        <v>2402000</v>
      </c>
      <c r="BD88" s="42">
        <v>2199000</v>
      </c>
      <c r="BE88" s="48">
        <v>2402000</v>
      </c>
      <c r="BF88" s="42">
        <v>2199000</v>
      </c>
      <c r="BG88" s="48">
        <v>2402000</v>
      </c>
      <c r="BH88" s="42">
        <v>2199000</v>
      </c>
      <c r="BI88" s="48">
        <v>2402000</v>
      </c>
      <c r="BJ88" s="42">
        <v>2197000</v>
      </c>
      <c r="BK88" s="48">
        <v>2400000</v>
      </c>
      <c r="BL88" s="42">
        <v>2212000</v>
      </c>
      <c r="BM88" s="48">
        <v>2415000</v>
      </c>
      <c r="BN88" s="42">
        <v>2212000</v>
      </c>
      <c r="BO88" s="48">
        <v>2415000</v>
      </c>
      <c r="BP88" s="42">
        <v>2209000</v>
      </c>
      <c r="BQ88" s="48">
        <v>2412000</v>
      </c>
      <c r="BR88" s="42">
        <v>2199000</v>
      </c>
      <c r="BS88" s="48">
        <v>2402000</v>
      </c>
      <c r="BT88" s="42">
        <v>2196000</v>
      </c>
      <c r="BU88" s="48">
        <v>2399000</v>
      </c>
      <c r="BV88" s="42">
        <v>2196000</v>
      </c>
      <c r="BW88" s="48">
        <v>2399000</v>
      </c>
      <c r="BX88" s="42">
        <v>2196000</v>
      </c>
      <c r="BY88" s="48">
        <v>2399000</v>
      </c>
      <c r="BZ88" s="42">
        <v>2219000</v>
      </c>
      <c r="CA88" s="48">
        <v>2422000</v>
      </c>
      <c r="CB88" s="42">
        <v>2203000</v>
      </c>
      <c r="CC88" s="48">
        <v>2406000</v>
      </c>
      <c r="CD88" s="42">
        <v>2203000</v>
      </c>
      <c r="CE88" s="48">
        <v>2406000</v>
      </c>
      <c r="CF88" s="42">
        <v>2219000</v>
      </c>
      <c r="CG88" s="48">
        <v>2422000</v>
      </c>
      <c r="CH88" s="42">
        <v>2305000</v>
      </c>
      <c r="CI88" s="48">
        <v>2508000</v>
      </c>
    </row>
    <row r="89" spans="1:87" ht="63" customHeight="1">
      <c r="A89" s="20" t="e">
        <f ca="1">_xludf.image("https://lh3.google.com/u/0/d/1Ja9xogvWAOhpUM_Q_BOiCeb-8Eax7siQ",1)</f>
        <v>#NAME?</v>
      </c>
      <c r="B89" s="45" t="s">
        <v>138</v>
      </c>
      <c r="C89" s="135" t="e">
        <f ca="1">_xludf.image("https://lh3.google.com/u/0/d/1JteMmTkWDN4vkby9Z3k1VumEHKQDb83X",1)</f>
        <v>#NAME?</v>
      </c>
      <c r="D89" s="136"/>
      <c r="E89" s="137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46"/>
      <c r="AI89" s="46"/>
      <c r="AJ89" s="46"/>
      <c r="AK89" s="46"/>
      <c r="AL89" s="46"/>
      <c r="AM89" s="46"/>
      <c r="AN89" s="46"/>
      <c r="AO89" s="46"/>
      <c r="AP89" s="46"/>
      <c r="AQ89" s="46"/>
      <c r="AR89" s="46"/>
      <c r="AS89" s="46"/>
      <c r="AT89" s="46"/>
      <c r="AU89" s="46"/>
      <c r="AV89" s="46"/>
      <c r="AW89" s="46"/>
      <c r="AX89" s="46"/>
      <c r="AY89" s="46"/>
      <c r="AZ89" s="46"/>
      <c r="BA89" s="46"/>
      <c r="BB89" s="46"/>
      <c r="BC89" s="46"/>
      <c r="BD89" s="46"/>
      <c r="BE89" s="46"/>
      <c r="BF89" s="46"/>
      <c r="BG89" s="46"/>
      <c r="BH89" s="46"/>
      <c r="BI89" s="46"/>
      <c r="BJ89" s="46"/>
      <c r="BK89" s="46"/>
      <c r="BL89" s="46"/>
      <c r="BM89" s="46"/>
      <c r="BN89" s="46"/>
      <c r="BO89" s="46"/>
      <c r="BP89" s="46"/>
      <c r="BQ89" s="46"/>
      <c r="BR89" s="46"/>
      <c r="BS89" s="46"/>
      <c r="BT89" s="46"/>
      <c r="BU89" s="46"/>
      <c r="BV89" s="46"/>
      <c r="BW89" s="46"/>
      <c r="BX89" s="46"/>
      <c r="BY89" s="46"/>
      <c r="BZ89" s="46"/>
      <c r="CA89" s="46"/>
      <c r="CB89" s="46"/>
      <c r="CC89" s="46"/>
      <c r="CD89" s="46"/>
      <c r="CE89" s="46"/>
      <c r="CF89" s="46"/>
      <c r="CG89" s="46"/>
      <c r="CH89" s="46"/>
      <c r="CI89" s="46"/>
    </row>
    <row r="90" spans="1:87" ht="12.75">
      <c r="A90" s="20"/>
      <c r="B90" s="138" t="s">
        <v>139</v>
      </c>
      <c r="C90" s="136"/>
      <c r="D90" s="136"/>
      <c r="E90" s="137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</row>
    <row r="91" spans="1:87">
      <c r="A91" s="43"/>
      <c r="B91" s="25" t="s">
        <v>140</v>
      </c>
      <c r="C91" s="26">
        <v>620</v>
      </c>
      <c r="D91" s="26">
        <v>740</v>
      </c>
      <c r="E91" s="26">
        <v>600</v>
      </c>
      <c r="F91" s="27">
        <v>5756000</v>
      </c>
      <c r="G91" s="48">
        <v>5891000</v>
      </c>
      <c r="H91" s="42">
        <v>4821000</v>
      </c>
      <c r="I91" s="48">
        <v>4956000</v>
      </c>
      <c r="J91" s="29"/>
      <c r="K91" s="30"/>
      <c r="L91" s="42">
        <v>5842000</v>
      </c>
      <c r="M91" s="48">
        <v>5977000</v>
      </c>
      <c r="N91" s="29"/>
      <c r="O91" s="30"/>
      <c r="P91" s="42">
        <v>4569000</v>
      </c>
      <c r="Q91" s="48">
        <v>4704000</v>
      </c>
      <c r="R91" s="42">
        <v>6333000</v>
      </c>
      <c r="S91" s="48">
        <v>6468000</v>
      </c>
      <c r="T91" s="29"/>
      <c r="U91" s="30"/>
      <c r="V91" s="42">
        <v>3921000</v>
      </c>
      <c r="W91" s="48">
        <v>4056000</v>
      </c>
      <c r="X91" s="42">
        <v>3749000</v>
      </c>
      <c r="Y91" s="48">
        <v>3884000</v>
      </c>
      <c r="Z91" s="42">
        <v>4123000</v>
      </c>
      <c r="AA91" s="48">
        <v>4258000</v>
      </c>
      <c r="AB91" s="42">
        <v>4204000</v>
      </c>
      <c r="AC91" s="48">
        <v>4339000</v>
      </c>
      <c r="AD91" s="42">
        <v>4229000</v>
      </c>
      <c r="AE91" s="48">
        <v>4364000</v>
      </c>
      <c r="AF91" s="42">
        <v>4377000</v>
      </c>
      <c r="AG91" s="48">
        <v>4512000</v>
      </c>
      <c r="AH91" s="42">
        <v>4377000</v>
      </c>
      <c r="AI91" s="48">
        <v>4512000</v>
      </c>
      <c r="AJ91" s="42">
        <v>4201000</v>
      </c>
      <c r="AK91" s="48">
        <v>4336000</v>
      </c>
      <c r="AL91" s="42">
        <v>4495000</v>
      </c>
      <c r="AM91" s="48">
        <v>4630000</v>
      </c>
      <c r="AN91" s="42">
        <v>3927000</v>
      </c>
      <c r="AO91" s="48">
        <v>4062000</v>
      </c>
      <c r="AP91" s="42">
        <v>4386000</v>
      </c>
      <c r="AQ91" s="48">
        <v>4521000</v>
      </c>
      <c r="AR91" s="42">
        <v>4504000</v>
      </c>
      <c r="AS91" s="48">
        <v>4639000</v>
      </c>
      <c r="AT91" s="42">
        <v>4386000</v>
      </c>
      <c r="AU91" s="48">
        <v>4521000</v>
      </c>
      <c r="AV91" s="42">
        <v>4427000</v>
      </c>
      <c r="AW91" s="48">
        <v>4562000</v>
      </c>
      <c r="AX91" s="42">
        <v>4397000</v>
      </c>
      <c r="AY91" s="48">
        <v>4532000</v>
      </c>
      <c r="AZ91" s="42">
        <v>4465000</v>
      </c>
      <c r="BA91" s="48">
        <v>4600000</v>
      </c>
      <c r="BB91" s="42">
        <v>4043000</v>
      </c>
      <c r="BC91" s="48">
        <v>4178000</v>
      </c>
      <c r="BD91" s="42">
        <v>4043000</v>
      </c>
      <c r="BE91" s="48">
        <v>4178000</v>
      </c>
      <c r="BF91" s="42">
        <v>4043000</v>
      </c>
      <c r="BG91" s="48">
        <v>4178000</v>
      </c>
      <c r="BH91" s="42">
        <v>4043000</v>
      </c>
      <c r="BI91" s="48">
        <v>4178000</v>
      </c>
      <c r="BJ91" s="42">
        <v>4035000</v>
      </c>
      <c r="BK91" s="48">
        <v>4170000</v>
      </c>
      <c r="BL91" s="42">
        <v>4086000</v>
      </c>
      <c r="BM91" s="48">
        <v>4221000</v>
      </c>
      <c r="BN91" s="42">
        <v>4086000</v>
      </c>
      <c r="BO91" s="48">
        <v>4221000</v>
      </c>
      <c r="BP91" s="42">
        <v>4075000</v>
      </c>
      <c r="BQ91" s="48">
        <v>4210000</v>
      </c>
      <c r="BR91" s="42">
        <v>4043000</v>
      </c>
      <c r="BS91" s="48">
        <v>4178000</v>
      </c>
      <c r="BT91" s="42">
        <v>4032000</v>
      </c>
      <c r="BU91" s="48">
        <v>4167000</v>
      </c>
      <c r="BV91" s="42">
        <v>4032000</v>
      </c>
      <c r="BW91" s="48">
        <v>4167000</v>
      </c>
      <c r="BX91" s="42">
        <v>4032000</v>
      </c>
      <c r="BY91" s="48">
        <v>4167000</v>
      </c>
      <c r="BZ91" s="42">
        <v>3983000</v>
      </c>
      <c r="CA91" s="48">
        <v>4118000</v>
      </c>
      <c r="CB91" s="42">
        <v>3931000</v>
      </c>
      <c r="CC91" s="48">
        <v>4066000</v>
      </c>
      <c r="CD91" s="42">
        <v>3931000</v>
      </c>
      <c r="CE91" s="48">
        <v>4066000</v>
      </c>
      <c r="CF91" s="42">
        <v>3983000</v>
      </c>
      <c r="CG91" s="48">
        <v>4118000</v>
      </c>
      <c r="CH91" s="42">
        <v>4300000</v>
      </c>
      <c r="CI91" s="48">
        <v>4435000</v>
      </c>
    </row>
    <row r="92" spans="1:87">
      <c r="A92" s="43"/>
      <c r="B92" s="25" t="s">
        <v>141</v>
      </c>
      <c r="C92" s="26">
        <v>620</v>
      </c>
      <c r="D92" s="26">
        <v>740</v>
      </c>
      <c r="E92" s="26">
        <v>900</v>
      </c>
      <c r="F92" s="27">
        <v>7926000</v>
      </c>
      <c r="G92" s="48">
        <v>8129000</v>
      </c>
      <c r="H92" s="42">
        <v>6522000</v>
      </c>
      <c r="I92" s="48">
        <v>6725000</v>
      </c>
      <c r="J92" s="29"/>
      <c r="K92" s="30"/>
      <c r="L92" s="42">
        <v>8054000</v>
      </c>
      <c r="M92" s="48">
        <v>8257000</v>
      </c>
      <c r="N92" s="29"/>
      <c r="O92" s="30"/>
      <c r="P92" s="42">
        <v>6370000</v>
      </c>
      <c r="Q92" s="48">
        <v>6573000</v>
      </c>
      <c r="R92" s="42">
        <v>9310000</v>
      </c>
      <c r="S92" s="48">
        <v>9513000</v>
      </c>
      <c r="T92" s="29"/>
      <c r="U92" s="30"/>
      <c r="V92" s="42">
        <v>5183000</v>
      </c>
      <c r="W92" s="48">
        <v>5386000</v>
      </c>
      <c r="X92" s="42">
        <v>4924000</v>
      </c>
      <c r="Y92" s="48">
        <v>5127000</v>
      </c>
      <c r="Z92" s="42">
        <v>5499000</v>
      </c>
      <c r="AA92" s="48">
        <v>5702000</v>
      </c>
      <c r="AB92" s="42">
        <v>5626000</v>
      </c>
      <c r="AC92" s="48">
        <v>5829000</v>
      </c>
      <c r="AD92" s="42">
        <v>5672000</v>
      </c>
      <c r="AE92" s="48">
        <v>5875000</v>
      </c>
      <c r="AF92" s="42">
        <v>5902000</v>
      </c>
      <c r="AG92" s="48">
        <v>6105000</v>
      </c>
      <c r="AH92" s="42">
        <v>5902000</v>
      </c>
      <c r="AI92" s="48">
        <v>6105000</v>
      </c>
      <c r="AJ92" s="42">
        <v>5618000</v>
      </c>
      <c r="AK92" s="48">
        <v>5821000</v>
      </c>
      <c r="AL92" s="42">
        <v>6060000</v>
      </c>
      <c r="AM92" s="48">
        <v>6263000</v>
      </c>
      <c r="AN92" s="42">
        <v>5204000</v>
      </c>
      <c r="AO92" s="48">
        <v>5407000</v>
      </c>
      <c r="AP92" s="42">
        <v>5900000</v>
      </c>
      <c r="AQ92" s="48">
        <v>6103000</v>
      </c>
      <c r="AR92" s="42">
        <v>6078000</v>
      </c>
      <c r="AS92" s="48">
        <v>6281000</v>
      </c>
      <c r="AT92" s="42">
        <v>5900000</v>
      </c>
      <c r="AU92" s="48">
        <v>6103000</v>
      </c>
      <c r="AV92" s="42">
        <v>5960000</v>
      </c>
      <c r="AW92" s="48">
        <v>6163000</v>
      </c>
      <c r="AX92" s="42">
        <v>5914000</v>
      </c>
      <c r="AY92" s="48">
        <v>6117000</v>
      </c>
      <c r="AZ92" s="42">
        <v>6016000</v>
      </c>
      <c r="BA92" s="48">
        <v>6219000</v>
      </c>
      <c r="BB92" s="42">
        <v>5367000</v>
      </c>
      <c r="BC92" s="48">
        <v>5570000</v>
      </c>
      <c r="BD92" s="42">
        <v>5367000</v>
      </c>
      <c r="BE92" s="48">
        <v>5570000</v>
      </c>
      <c r="BF92" s="42">
        <v>5367000</v>
      </c>
      <c r="BG92" s="48">
        <v>5570000</v>
      </c>
      <c r="BH92" s="42">
        <v>5367000</v>
      </c>
      <c r="BI92" s="48">
        <v>5570000</v>
      </c>
      <c r="BJ92" s="42">
        <v>5355000</v>
      </c>
      <c r="BK92" s="48">
        <v>5558000</v>
      </c>
      <c r="BL92" s="42">
        <v>5431000</v>
      </c>
      <c r="BM92" s="48">
        <v>5634000</v>
      </c>
      <c r="BN92" s="42">
        <v>5431000</v>
      </c>
      <c r="BO92" s="48">
        <v>5634000</v>
      </c>
      <c r="BP92" s="42">
        <v>5415000</v>
      </c>
      <c r="BQ92" s="48">
        <v>5618000</v>
      </c>
      <c r="BR92" s="42">
        <v>5367000</v>
      </c>
      <c r="BS92" s="48">
        <v>5570000</v>
      </c>
      <c r="BT92" s="42">
        <v>5351000</v>
      </c>
      <c r="BU92" s="48">
        <v>5554000</v>
      </c>
      <c r="BV92" s="42">
        <v>5351000</v>
      </c>
      <c r="BW92" s="48">
        <v>5554000</v>
      </c>
      <c r="BX92" s="42">
        <v>5351000</v>
      </c>
      <c r="BY92" s="48">
        <v>5554000</v>
      </c>
      <c r="BZ92" s="42">
        <v>5305000</v>
      </c>
      <c r="CA92" s="48">
        <v>5508000</v>
      </c>
      <c r="CB92" s="42">
        <v>5228000</v>
      </c>
      <c r="CC92" s="48">
        <v>5431000</v>
      </c>
      <c r="CD92" s="42">
        <v>5228000</v>
      </c>
      <c r="CE92" s="48">
        <v>5431000</v>
      </c>
      <c r="CF92" s="42">
        <v>5305000</v>
      </c>
      <c r="CG92" s="48">
        <v>5508000</v>
      </c>
      <c r="CH92" s="42">
        <v>5774000</v>
      </c>
      <c r="CI92" s="48">
        <v>5977000</v>
      </c>
    </row>
    <row r="93" spans="1:87">
      <c r="A93" s="43"/>
      <c r="B93" s="25" t="s">
        <v>142</v>
      </c>
      <c r="C93" s="26">
        <v>620</v>
      </c>
      <c r="D93" s="26">
        <v>740</v>
      </c>
      <c r="E93" s="26">
        <v>1200</v>
      </c>
      <c r="F93" s="27">
        <v>9597000</v>
      </c>
      <c r="G93" s="48">
        <v>9867000</v>
      </c>
      <c r="H93" s="42">
        <v>7726000</v>
      </c>
      <c r="I93" s="48">
        <v>7996000</v>
      </c>
      <c r="J93" s="29"/>
      <c r="K93" s="30"/>
      <c r="L93" s="42">
        <v>9769000</v>
      </c>
      <c r="M93" s="48">
        <v>10039000</v>
      </c>
      <c r="N93" s="29"/>
      <c r="O93" s="30"/>
      <c r="P93" s="42">
        <v>7332000</v>
      </c>
      <c r="Q93" s="48">
        <v>7602000</v>
      </c>
      <c r="R93" s="42">
        <v>11448000</v>
      </c>
      <c r="S93" s="48">
        <v>11718000</v>
      </c>
      <c r="T93" s="29"/>
      <c r="U93" s="30"/>
      <c r="V93" s="42">
        <v>5927000</v>
      </c>
      <c r="W93" s="48">
        <v>6197000</v>
      </c>
      <c r="X93" s="42">
        <v>5582000</v>
      </c>
      <c r="Y93" s="48">
        <v>5852000</v>
      </c>
      <c r="Z93" s="42">
        <v>6331000</v>
      </c>
      <c r="AA93" s="48">
        <v>6601000</v>
      </c>
      <c r="AB93" s="42">
        <v>6493000</v>
      </c>
      <c r="AC93" s="48">
        <v>6763000</v>
      </c>
      <c r="AD93" s="42">
        <v>6542000</v>
      </c>
      <c r="AE93" s="48">
        <v>6812000</v>
      </c>
      <c r="AF93" s="42">
        <v>6839000</v>
      </c>
      <c r="AG93" s="48">
        <v>7109000</v>
      </c>
      <c r="AH93" s="42">
        <v>6839000</v>
      </c>
      <c r="AI93" s="48">
        <v>7109000</v>
      </c>
      <c r="AJ93" s="42">
        <v>6487000</v>
      </c>
      <c r="AK93" s="48">
        <v>6757000</v>
      </c>
      <c r="AL93" s="42">
        <v>7074000</v>
      </c>
      <c r="AM93" s="48">
        <v>7344000</v>
      </c>
      <c r="AN93" s="42">
        <v>5938000</v>
      </c>
      <c r="AO93" s="48">
        <v>6208000</v>
      </c>
      <c r="AP93" s="42">
        <v>6857000</v>
      </c>
      <c r="AQ93" s="48">
        <v>7127000</v>
      </c>
      <c r="AR93" s="42">
        <v>7093000</v>
      </c>
      <c r="AS93" s="48">
        <v>7363000</v>
      </c>
      <c r="AT93" s="42">
        <v>6857000</v>
      </c>
      <c r="AU93" s="48">
        <v>7127000</v>
      </c>
      <c r="AV93" s="42">
        <v>6939000</v>
      </c>
      <c r="AW93" s="48">
        <v>7209000</v>
      </c>
      <c r="AX93" s="42">
        <v>6879000</v>
      </c>
      <c r="AY93" s="48">
        <v>7149000</v>
      </c>
      <c r="AZ93" s="42">
        <v>7014000</v>
      </c>
      <c r="BA93" s="48">
        <v>7284000</v>
      </c>
      <c r="BB93" s="42">
        <v>6171000</v>
      </c>
      <c r="BC93" s="48">
        <v>6441000</v>
      </c>
      <c r="BD93" s="42">
        <v>6171000</v>
      </c>
      <c r="BE93" s="48">
        <v>6441000</v>
      </c>
      <c r="BF93" s="42">
        <v>6171000</v>
      </c>
      <c r="BG93" s="48">
        <v>6441000</v>
      </c>
      <c r="BH93" s="42">
        <v>6171000</v>
      </c>
      <c r="BI93" s="48">
        <v>6441000</v>
      </c>
      <c r="BJ93" s="42">
        <v>6155000</v>
      </c>
      <c r="BK93" s="48">
        <v>6425000</v>
      </c>
      <c r="BL93" s="42">
        <v>6256000</v>
      </c>
      <c r="BM93" s="48">
        <v>6526000</v>
      </c>
      <c r="BN93" s="42">
        <v>6256000</v>
      </c>
      <c r="BO93" s="48">
        <v>6526000</v>
      </c>
      <c r="BP93" s="42">
        <v>6235000</v>
      </c>
      <c r="BQ93" s="48">
        <v>6505000</v>
      </c>
      <c r="BR93" s="42">
        <v>6171000</v>
      </c>
      <c r="BS93" s="48">
        <v>6441000</v>
      </c>
      <c r="BT93" s="42">
        <v>6149000</v>
      </c>
      <c r="BU93" s="48">
        <v>6419000</v>
      </c>
      <c r="BV93" s="42">
        <v>6149000</v>
      </c>
      <c r="BW93" s="48">
        <v>6419000</v>
      </c>
      <c r="BX93" s="42">
        <v>6149000</v>
      </c>
      <c r="BY93" s="48">
        <v>6419000</v>
      </c>
      <c r="BZ93" s="42">
        <v>6050000</v>
      </c>
      <c r="CA93" s="48">
        <v>6320000</v>
      </c>
      <c r="CB93" s="42">
        <v>5946000</v>
      </c>
      <c r="CC93" s="48">
        <v>6216000</v>
      </c>
      <c r="CD93" s="42">
        <v>5946000</v>
      </c>
      <c r="CE93" s="48">
        <v>6216000</v>
      </c>
      <c r="CF93" s="42">
        <v>6050000</v>
      </c>
      <c r="CG93" s="48">
        <v>6320000</v>
      </c>
      <c r="CH93" s="42">
        <v>6685000</v>
      </c>
      <c r="CI93" s="48">
        <v>6955000</v>
      </c>
    </row>
    <row r="94" spans="1:87">
      <c r="A94" s="43"/>
      <c r="B94" s="25" t="s">
        <v>143</v>
      </c>
      <c r="C94" s="50"/>
      <c r="D94" s="50"/>
      <c r="E94" s="50"/>
      <c r="F94" s="42">
        <v>1018000</v>
      </c>
      <c r="G94" s="48">
        <v>1018000</v>
      </c>
      <c r="H94" s="42">
        <v>1018000</v>
      </c>
      <c r="I94" s="48">
        <v>1018000</v>
      </c>
      <c r="J94" s="29"/>
      <c r="K94" s="30"/>
      <c r="L94" s="42">
        <v>1018000</v>
      </c>
      <c r="M94" s="48">
        <v>1018000</v>
      </c>
      <c r="N94" s="29"/>
      <c r="O94" s="30"/>
      <c r="P94" s="42">
        <v>1018000</v>
      </c>
      <c r="Q94" s="48">
        <v>1018000</v>
      </c>
      <c r="R94" s="42">
        <v>1018000</v>
      </c>
      <c r="S94" s="48">
        <v>1018000</v>
      </c>
      <c r="T94" s="42">
        <v>1018000</v>
      </c>
      <c r="U94" s="48">
        <v>1018000</v>
      </c>
      <c r="V94" s="42">
        <v>1018000</v>
      </c>
      <c r="W94" s="48">
        <v>1018000</v>
      </c>
      <c r="X94" s="42">
        <v>1018000</v>
      </c>
      <c r="Y94" s="48">
        <v>1018000</v>
      </c>
      <c r="Z94" s="42">
        <v>1018000</v>
      </c>
      <c r="AA94" s="48">
        <v>1018000</v>
      </c>
      <c r="AB94" s="42">
        <v>1018000</v>
      </c>
      <c r="AC94" s="48">
        <v>1018000</v>
      </c>
      <c r="AD94" s="42">
        <v>1018000</v>
      </c>
      <c r="AE94" s="48">
        <v>1018000</v>
      </c>
      <c r="AF94" s="42">
        <v>1018000</v>
      </c>
      <c r="AG94" s="48">
        <v>1018000</v>
      </c>
      <c r="AH94" s="42">
        <v>1018000</v>
      </c>
      <c r="AI94" s="48">
        <v>1018000</v>
      </c>
      <c r="AJ94" s="42">
        <v>1018000</v>
      </c>
      <c r="AK94" s="48">
        <v>1018000</v>
      </c>
      <c r="AL94" s="42">
        <v>1018000</v>
      </c>
      <c r="AM94" s="48">
        <v>1018000</v>
      </c>
      <c r="AN94" s="42">
        <v>1018000</v>
      </c>
      <c r="AO94" s="48">
        <v>1018000</v>
      </c>
      <c r="AP94" s="42">
        <v>1018000</v>
      </c>
      <c r="AQ94" s="48">
        <v>1018000</v>
      </c>
      <c r="AR94" s="42">
        <v>1018000</v>
      </c>
      <c r="AS94" s="48">
        <v>1018000</v>
      </c>
      <c r="AT94" s="42">
        <v>1018000</v>
      </c>
      <c r="AU94" s="48">
        <v>1018000</v>
      </c>
      <c r="AV94" s="42">
        <v>1018000</v>
      </c>
      <c r="AW94" s="48">
        <v>1018000</v>
      </c>
      <c r="AX94" s="42">
        <v>1018000</v>
      </c>
      <c r="AY94" s="48">
        <v>1018000</v>
      </c>
      <c r="AZ94" s="42">
        <v>1018000</v>
      </c>
      <c r="BA94" s="48">
        <v>1018000</v>
      </c>
      <c r="BB94" s="42">
        <v>1018000</v>
      </c>
      <c r="BC94" s="48">
        <v>1018000</v>
      </c>
      <c r="BD94" s="42">
        <v>1018000</v>
      </c>
      <c r="BE94" s="48">
        <v>1018000</v>
      </c>
      <c r="BF94" s="42">
        <v>1018000</v>
      </c>
      <c r="BG94" s="48">
        <v>1018000</v>
      </c>
      <c r="BH94" s="42">
        <v>1018000</v>
      </c>
      <c r="BI94" s="48">
        <v>1018000</v>
      </c>
      <c r="BJ94" s="42">
        <v>1018000</v>
      </c>
      <c r="BK94" s="48">
        <v>1018000</v>
      </c>
      <c r="BL94" s="42">
        <v>1018000</v>
      </c>
      <c r="BM94" s="48">
        <v>1018000</v>
      </c>
      <c r="BN94" s="42">
        <v>1018000</v>
      </c>
      <c r="BO94" s="48">
        <v>1018000</v>
      </c>
      <c r="BP94" s="42">
        <v>1018000</v>
      </c>
      <c r="BQ94" s="48">
        <v>1018000</v>
      </c>
      <c r="BR94" s="42">
        <v>1018000</v>
      </c>
      <c r="BS94" s="48">
        <v>1018000</v>
      </c>
      <c r="BT94" s="42">
        <v>1018000</v>
      </c>
      <c r="BU94" s="48">
        <v>1018000</v>
      </c>
      <c r="BV94" s="42">
        <v>1018000</v>
      </c>
      <c r="BW94" s="48">
        <v>1018000</v>
      </c>
      <c r="BX94" s="42">
        <v>1018000</v>
      </c>
      <c r="BY94" s="48">
        <v>1018000</v>
      </c>
      <c r="BZ94" s="42">
        <v>1018000</v>
      </c>
      <c r="CA94" s="48">
        <v>1018000</v>
      </c>
      <c r="CB94" s="42">
        <v>1018000</v>
      </c>
      <c r="CC94" s="48">
        <v>1018000</v>
      </c>
      <c r="CD94" s="42">
        <v>1018000</v>
      </c>
      <c r="CE94" s="48">
        <v>1018000</v>
      </c>
      <c r="CF94" s="42">
        <v>1018000</v>
      </c>
      <c r="CG94" s="48">
        <v>1018000</v>
      </c>
      <c r="CH94" s="42">
        <v>1018000</v>
      </c>
      <c r="CI94" s="48">
        <v>1018000</v>
      </c>
    </row>
    <row r="95" spans="1:87">
      <c r="A95" s="43"/>
      <c r="B95" s="25" t="s">
        <v>144</v>
      </c>
      <c r="C95" s="50"/>
      <c r="D95" s="50"/>
      <c r="E95" s="50"/>
      <c r="F95" s="42">
        <v>892000</v>
      </c>
      <c r="G95" s="48">
        <v>892000</v>
      </c>
      <c r="H95" s="42">
        <v>892000</v>
      </c>
      <c r="I95" s="48">
        <v>892000</v>
      </c>
      <c r="J95" s="29"/>
      <c r="K95" s="30"/>
      <c r="L95" s="42">
        <v>892000</v>
      </c>
      <c r="M95" s="48">
        <v>892000</v>
      </c>
      <c r="N95" s="29"/>
      <c r="O95" s="30"/>
      <c r="P95" s="42">
        <v>892000</v>
      </c>
      <c r="Q95" s="48">
        <v>892000</v>
      </c>
      <c r="R95" s="42">
        <v>892000</v>
      </c>
      <c r="S95" s="48">
        <v>892000</v>
      </c>
      <c r="T95" s="42">
        <v>892000</v>
      </c>
      <c r="U95" s="48">
        <v>892000</v>
      </c>
      <c r="V95" s="42">
        <v>892000</v>
      </c>
      <c r="W95" s="48">
        <v>892000</v>
      </c>
      <c r="X95" s="42">
        <v>892000</v>
      </c>
      <c r="Y95" s="48">
        <v>892000</v>
      </c>
      <c r="Z95" s="42">
        <v>892000</v>
      </c>
      <c r="AA95" s="48">
        <v>892000</v>
      </c>
      <c r="AB95" s="42">
        <v>892000</v>
      </c>
      <c r="AC95" s="48">
        <v>892000</v>
      </c>
      <c r="AD95" s="42">
        <v>892000</v>
      </c>
      <c r="AE95" s="48">
        <v>892000</v>
      </c>
      <c r="AF95" s="42">
        <v>892000</v>
      </c>
      <c r="AG95" s="48">
        <v>892000</v>
      </c>
      <c r="AH95" s="42">
        <v>892000</v>
      </c>
      <c r="AI95" s="48">
        <v>892000</v>
      </c>
      <c r="AJ95" s="42">
        <v>892000</v>
      </c>
      <c r="AK95" s="48">
        <v>892000</v>
      </c>
      <c r="AL95" s="42">
        <v>892000</v>
      </c>
      <c r="AM95" s="48">
        <v>892000</v>
      </c>
      <c r="AN95" s="42">
        <v>892000</v>
      </c>
      <c r="AO95" s="48">
        <v>892000</v>
      </c>
      <c r="AP95" s="42">
        <v>892000</v>
      </c>
      <c r="AQ95" s="48">
        <v>892000</v>
      </c>
      <c r="AR95" s="42">
        <v>892000</v>
      </c>
      <c r="AS95" s="48">
        <v>892000</v>
      </c>
      <c r="AT95" s="42">
        <v>892000</v>
      </c>
      <c r="AU95" s="48">
        <v>892000</v>
      </c>
      <c r="AV95" s="42">
        <v>892000</v>
      </c>
      <c r="AW95" s="48">
        <v>892000</v>
      </c>
      <c r="AX95" s="42">
        <v>892000</v>
      </c>
      <c r="AY95" s="48">
        <v>892000</v>
      </c>
      <c r="AZ95" s="42">
        <v>892000</v>
      </c>
      <c r="BA95" s="48">
        <v>892000</v>
      </c>
      <c r="BB95" s="42">
        <v>892000</v>
      </c>
      <c r="BC95" s="48">
        <v>892000</v>
      </c>
      <c r="BD95" s="42">
        <v>892000</v>
      </c>
      <c r="BE95" s="48">
        <v>892000</v>
      </c>
      <c r="BF95" s="42">
        <v>892000</v>
      </c>
      <c r="BG95" s="48">
        <v>892000</v>
      </c>
      <c r="BH95" s="42">
        <v>892000</v>
      </c>
      <c r="BI95" s="48">
        <v>892000</v>
      </c>
      <c r="BJ95" s="42">
        <v>892000</v>
      </c>
      <c r="BK95" s="48">
        <v>892000</v>
      </c>
      <c r="BL95" s="42">
        <v>892000</v>
      </c>
      <c r="BM95" s="48">
        <v>892000</v>
      </c>
      <c r="BN95" s="42">
        <v>892000</v>
      </c>
      <c r="BO95" s="48">
        <v>892000</v>
      </c>
      <c r="BP95" s="42">
        <v>892000</v>
      </c>
      <c r="BQ95" s="48">
        <v>892000</v>
      </c>
      <c r="BR95" s="42">
        <v>892000</v>
      </c>
      <c r="BS95" s="48">
        <v>892000</v>
      </c>
      <c r="BT95" s="42">
        <v>892000</v>
      </c>
      <c r="BU95" s="48">
        <v>892000</v>
      </c>
      <c r="BV95" s="42">
        <v>892000</v>
      </c>
      <c r="BW95" s="48">
        <v>892000</v>
      </c>
      <c r="BX95" s="42">
        <v>892000</v>
      </c>
      <c r="BY95" s="48">
        <v>892000</v>
      </c>
      <c r="BZ95" s="42">
        <v>892000</v>
      </c>
      <c r="CA95" s="48">
        <v>892000</v>
      </c>
      <c r="CB95" s="42">
        <v>892000</v>
      </c>
      <c r="CC95" s="48">
        <v>892000</v>
      </c>
      <c r="CD95" s="42">
        <v>892000</v>
      </c>
      <c r="CE95" s="48">
        <v>892000</v>
      </c>
      <c r="CF95" s="42">
        <v>892000</v>
      </c>
      <c r="CG95" s="48">
        <v>892000</v>
      </c>
      <c r="CH95" s="42">
        <v>892000</v>
      </c>
      <c r="CI95" s="48">
        <v>892000</v>
      </c>
    </row>
    <row r="96" spans="1:87" ht="25.5">
      <c r="A96" s="51" t="s">
        <v>145</v>
      </c>
      <c r="B96" s="25" t="s">
        <v>146</v>
      </c>
      <c r="C96" s="26">
        <v>620</v>
      </c>
      <c r="D96" s="26">
        <v>740</v>
      </c>
      <c r="E96" s="26">
        <v>600</v>
      </c>
      <c r="F96" s="27">
        <v>5023000</v>
      </c>
      <c r="G96" s="48">
        <v>5159000</v>
      </c>
      <c r="H96" s="42">
        <v>4088000</v>
      </c>
      <c r="I96" s="48">
        <v>4224000</v>
      </c>
      <c r="J96" s="29"/>
      <c r="K96" s="30"/>
      <c r="L96" s="42">
        <v>5109000</v>
      </c>
      <c r="M96" s="48">
        <v>5245000</v>
      </c>
      <c r="N96" s="29"/>
      <c r="O96" s="30"/>
      <c r="P96" s="42">
        <v>3836000</v>
      </c>
      <c r="Q96" s="48">
        <v>3972000</v>
      </c>
      <c r="R96" s="42">
        <v>5600000</v>
      </c>
      <c r="S96" s="48">
        <v>5736000</v>
      </c>
      <c r="T96" s="29"/>
      <c r="U96" s="30"/>
      <c r="V96" s="42">
        <v>3188000</v>
      </c>
      <c r="W96" s="48">
        <v>3324000</v>
      </c>
      <c r="X96" s="42">
        <v>3016000</v>
      </c>
      <c r="Y96" s="48">
        <v>3152000</v>
      </c>
      <c r="Z96" s="42">
        <v>3390000</v>
      </c>
      <c r="AA96" s="48">
        <v>3526000</v>
      </c>
      <c r="AB96" s="42">
        <v>3471000</v>
      </c>
      <c r="AC96" s="48">
        <v>3607000</v>
      </c>
      <c r="AD96" s="42">
        <v>3496000</v>
      </c>
      <c r="AE96" s="48">
        <v>3632000</v>
      </c>
      <c r="AF96" s="42">
        <v>3644000</v>
      </c>
      <c r="AG96" s="48">
        <v>3780000</v>
      </c>
      <c r="AH96" s="42">
        <v>3644000</v>
      </c>
      <c r="AI96" s="48">
        <v>3780000</v>
      </c>
      <c r="AJ96" s="42">
        <v>3468000</v>
      </c>
      <c r="AK96" s="48">
        <v>3604000</v>
      </c>
      <c r="AL96" s="42">
        <v>3762000</v>
      </c>
      <c r="AM96" s="48">
        <v>3898000</v>
      </c>
      <c r="AN96" s="42">
        <v>3194000</v>
      </c>
      <c r="AO96" s="48">
        <v>3330000</v>
      </c>
      <c r="AP96" s="42">
        <v>3653000</v>
      </c>
      <c r="AQ96" s="48">
        <v>3789000</v>
      </c>
      <c r="AR96" s="42">
        <v>3771000</v>
      </c>
      <c r="AS96" s="48">
        <v>3907000</v>
      </c>
      <c r="AT96" s="42">
        <v>3653000</v>
      </c>
      <c r="AU96" s="48">
        <v>3789000</v>
      </c>
      <c r="AV96" s="42">
        <v>3694000</v>
      </c>
      <c r="AW96" s="48">
        <v>3830000</v>
      </c>
      <c r="AX96" s="42">
        <v>3664000</v>
      </c>
      <c r="AY96" s="48">
        <v>3800000</v>
      </c>
      <c r="AZ96" s="42">
        <v>3732000</v>
      </c>
      <c r="BA96" s="48">
        <v>3868000</v>
      </c>
      <c r="BB96" s="42">
        <v>3310000</v>
      </c>
      <c r="BC96" s="48">
        <v>3446000</v>
      </c>
      <c r="BD96" s="42">
        <v>3310000</v>
      </c>
      <c r="BE96" s="48">
        <v>3446000</v>
      </c>
      <c r="BF96" s="42">
        <v>3310000</v>
      </c>
      <c r="BG96" s="48">
        <v>3446000</v>
      </c>
      <c r="BH96" s="42">
        <v>3310000</v>
      </c>
      <c r="BI96" s="48">
        <v>3446000</v>
      </c>
      <c r="BJ96" s="42">
        <v>3302000</v>
      </c>
      <c r="BK96" s="48">
        <v>3438000</v>
      </c>
      <c r="BL96" s="42">
        <v>3353000</v>
      </c>
      <c r="BM96" s="48">
        <v>3489000</v>
      </c>
      <c r="BN96" s="42">
        <v>3353000</v>
      </c>
      <c r="BO96" s="48">
        <v>3489000</v>
      </c>
      <c r="BP96" s="42">
        <v>3342000</v>
      </c>
      <c r="BQ96" s="48">
        <v>3478000</v>
      </c>
      <c r="BR96" s="42">
        <v>3310000</v>
      </c>
      <c r="BS96" s="48">
        <v>3446000</v>
      </c>
      <c r="BT96" s="42">
        <v>3299000</v>
      </c>
      <c r="BU96" s="48">
        <v>3435000</v>
      </c>
      <c r="BV96" s="42">
        <v>3299000</v>
      </c>
      <c r="BW96" s="48">
        <v>3435000</v>
      </c>
      <c r="BX96" s="42">
        <v>3299000</v>
      </c>
      <c r="BY96" s="48">
        <v>3435000</v>
      </c>
      <c r="BZ96" s="42">
        <v>3250000</v>
      </c>
      <c r="CA96" s="48">
        <v>3386000</v>
      </c>
      <c r="CB96" s="42">
        <v>3198000</v>
      </c>
      <c r="CC96" s="48">
        <v>3334000</v>
      </c>
      <c r="CD96" s="42">
        <v>3198000</v>
      </c>
      <c r="CE96" s="48">
        <v>3334000</v>
      </c>
      <c r="CF96" s="42">
        <v>3250000</v>
      </c>
      <c r="CG96" s="48">
        <v>3386000</v>
      </c>
      <c r="CH96" s="42">
        <v>3567000</v>
      </c>
      <c r="CI96" s="48">
        <v>3703000</v>
      </c>
    </row>
    <row r="97" spans="1:87" ht="25.5">
      <c r="A97" s="51" t="s">
        <v>145</v>
      </c>
      <c r="B97" s="25" t="s">
        <v>147</v>
      </c>
      <c r="C97" s="26">
        <v>620</v>
      </c>
      <c r="D97" s="26">
        <v>740</v>
      </c>
      <c r="E97" s="26">
        <v>900</v>
      </c>
      <c r="F97" s="27">
        <v>7096000</v>
      </c>
      <c r="G97" s="48">
        <v>7298000</v>
      </c>
      <c r="H97" s="42">
        <v>5692000</v>
      </c>
      <c r="I97" s="48">
        <v>5894000</v>
      </c>
      <c r="J97" s="29"/>
      <c r="K97" s="30"/>
      <c r="L97" s="42">
        <v>7224000</v>
      </c>
      <c r="M97" s="48">
        <v>7426000</v>
      </c>
      <c r="N97" s="29"/>
      <c r="O97" s="30"/>
      <c r="P97" s="42">
        <v>5540000</v>
      </c>
      <c r="Q97" s="48">
        <v>5742000</v>
      </c>
      <c r="R97" s="42">
        <v>8480000</v>
      </c>
      <c r="S97" s="48">
        <v>8682000</v>
      </c>
      <c r="T97" s="29"/>
      <c r="U97" s="30"/>
      <c r="V97" s="42">
        <v>4353000</v>
      </c>
      <c r="W97" s="48">
        <v>4555000</v>
      </c>
      <c r="X97" s="42">
        <v>4094000</v>
      </c>
      <c r="Y97" s="48">
        <v>4296000</v>
      </c>
      <c r="Z97" s="42">
        <v>4669000</v>
      </c>
      <c r="AA97" s="48">
        <v>4871000</v>
      </c>
      <c r="AB97" s="42">
        <v>4796000</v>
      </c>
      <c r="AC97" s="48">
        <v>4998000</v>
      </c>
      <c r="AD97" s="42">
        <v>4842000</v>
      </c>
      <c r="AE97" s="48">
        <v>5044000</v>
      </c>
      <c r="AF97" s="42">
        <v>5072000</v>
      </c>
      <c r="AG97" s="48">
        <v>5274000</v>
      </c>
      <c r="AH97" s="42">
        <v>5072000</v>
      </c>
      <c r="AI97" s="48">
        <v>5274000</v>
      </c>
      <c r="AJ97" s="42">
        <v>4788000</v>
      </c>
      <c r="AK97" s="48">
        <v>4990000</v>
      </c>
      <c r="AL97" s="42">
        <v>5230000</v>
      </c>
      <c r="AM97" s="48">
        <v>5432000</v>
      </c>
      <c r="AN97" s="42">
        <v>4374000</v>
      </c>
      <c r="AO97" s="48">
        <v>4576000</v>
      </c>
      <c r="AP97" s="42">
        <v>5070000</v>
      </c>
      <c r="AQ97" s="48">
        <v>5272000</v>
      </c>
      <c r="AR97" s="42">
        <v>5248000</v>
      </c>
      <c r="AS97" s="48">
        <v>5450000</v>
      </c>
      <c r="AT97" s="42">
        <v>5070000</v>
      </c>
      <c r="AU97" s="48">
        <v>5272000</v>
      </c>
      <c r="AV97" s="42">
        <v>5130000</v>
      </c>
      <c r="AW97" s="48">
        <v>5332000</v>
      </c>
      <c r="AX97" s="42">
        <v>5084000</v>
      </c>
      <c r="AY97" s="48">
        <v>5286000</v>
      </c>
      <c r="AZ97" s="42">
        <v>5186000</v>
      </c>
      <c r="BA97" s="48">
        <v>5388000</v>
      </c>
      <c r="BB97" s="42">
        <v>4537000</v>
      </c>
      <c r="BC97" s="48">
        <v>4739000</v>
      </c>
      <c r="BD97" s="42">
        <v>4537000</v>
      </c>
      <c r="BE97" s="48">
        <v>4739000</v>
      </c>
      <c r="BF97" s="42">
        <v>4537000</v>
      </c>
      <c r="BG97" s="48">
        <v>4739000</v>
      </c>
      <c r="BH97" s="42">
        <v>4537000</v>
      </c>
      <c r="BI97" s="48">
        <v>4739000</v>
      </c>
      <c r="BJ97" s="42">
        <v>4525000</v>
      </c>
      <c r="BK97" s="48">
        <v>4727000</v>
      </c>
      <c r="BL97" s="42">
        <v>4601000</v>
      </c>
      <c r="BM97" s="48">
        <v>4803000</v>
      </c>
      <c r="BN97" s="42">
        <v>4601000</v>
      </c>
      <c r="BO97" s="48">
        <v>4803000</v>
      </c>
      <c r="BP97" s="42">
        <v>4585000</v>
      </c>
      <c r="BQ97" s="48">
        <v>4787000</v>
      </c>
      <c r="BR97" s="42">
        <v>4537000</v>
      </c>
      <c r="BS97" s="48">
        <v>4739000</v>
      </c>
      <c r="BT97" s="42">
        <v>4521000</v>
      </c>
      <c r="BU97" s="48">
        <v>4723000</v>
      </c>
      <c r="BV97" s="42">
        <v>4521000</v>
      </c>
      <c r="BW97" s="48">
        <v>4723000</v>
      </c>
      <c r="BX97" s="42">
        <v>4521000</v>
      </c>
      <c r="BY97" s="48">
        <v>4723000</v>
      </c>
      <c r="BZ97" s="42">
        <v>4475000</v>
      </c>
      <c r="CA97" s="48">
        <v>4677000</v>
      </c>
      <c r="CB97" s="42">
        <v>4398000</v>
      </c>
      <c r="CC97" s="48">
        <v>4600000</v>
      </c>
      <c r="CD97" s="42">
        <v>4398000</v>
      </c>
      <c r="CE97" s="48">
        <v>4600000</v>
      </c>
      <c r="CF97" s="42">
        <v>4475000</v>
      </c>
      <c r="CG97" s="48">
        <v>4677000</v>
      </c>
      <c r="CH97" s="42">
        <v>4944000</v>
      </c>
      <c r="CI97" s="48">
        <v>5146000</v>
      </c>
    </row>
    <row r="98" spans="1:87" ht="25.5">
      <c r="A98" s="51" t="s">
        <v>145</v>
      </c>
      <c r="B98" s="25" t="s">
        <v>148</v>
      </c>
      <c r="C98" s="26">
        <v>620</v>
      </c>
      <c r="D98" s="26">
        <v>740</v>
      </c>
      <c r="E98" s="26">
        <v>1200</v>
      </c>
      <c r="F98" s="27">
        <v>8794000</v>
      </c>
      <c r="G98" s="48">
        <v>9064000</v>
      </c>
      <c r="H98" s="42">
        <v>6923000</v>
      </c>
      <c r="I98" s="48">
        <v>7193000</v>
      </c>
      <c r="J98" s="29"/>
      <c r="K98" s="30"/>
      <c r="L98" s="42">
        <v>8966000</v>
      </c>
      <c r="M98" s="48">
        <v>9236000</v>
      </c>
      <c r="N98" s="29"/>
      <c r="O98" s="30"/>
      <c r="P98" s="42">
        <v>6529000</v>
      </c>
      <c r="Q98" s="48">
        <v>6799000</v>
      </c>
      <c r="R98" s="42">
        <v>10645000</v>
      </c>
      <c r="S98" s="48">
        <v>10915000</v>
      </c>
      <c r="T98" s="29"/>
      <c r="U98" s="30"/>
      <c r="V98" s="42">
        <v>5124000</v>
      </c>
      <c r="W98" s="48">
        <v>5394000</v>
      </c>
      <c r="X98" s="42">
        <v>4779000</v>
      </c>
      <c r="Y98" s="48">
        <v>5049000</v>
      </c>
      <c r="Z98" s="42">
        <v>5528000</v>
      </c>
      <c r="AA98" s="48">
        <v>5798000</v>
      </c>
      <c r="AB98" s="42">
        <v>5690000</v>
      </c>
      <c r="AC98" s="48">
        <v>5960000</v>
      </c>
      <c r="AD98" s="42">
        <v>5739000</v>
      </c>
      <c r="AE98" s="48">
        <v>6009000</v>
      </c>
      <c r="AF98" s="42">
        <v>6036000</v>
      </c>
      <c r="AG98" s="48">
        <v>6306000</v>
      </c>
      <c r="AH98" s="42">
        <v>6036000</v>
      </c>
      <c r="AI98" s="48">
        <v>6306000</v>
      </c>
      <c r="AJ98" s="42">
        <v>5684000</v>
      </c>
      <c r="AK98" s="48">
        <v>5954000</v>
      </c>
      <c r="AL98" s="42">
        <v>6271000</v>
      </c>
      <c r="AM98" s="48">
        <v>6541000</v>
      </c>
      <c r="AN98" s="42">
        <v>5135000</v>
      </c>
      <c r="AO98" s="48">
        <v>5405000</v>
      </c>
      <c r="AP98" s="42">
        <v>6054000</v>
      </c>
      <c r="AQ98" s="48">
        <v>6324000</v>
      </c>
      <c r="AR98" s="42">
        <v>6290000</v>
      </c>
      <c r="AS98" s="48">
        <v>6560000</v>
      </c>
      <c r="AT98" s="42">
        <v>6054000</v>
      </c>
      <c r="AU98" s="48">
        <v>6324000</v>
      </c>
      <c r="AV98" s="42">
        <v>6136000</v>
      </c>
      <c r="AW98" s="48">
        <v>6406000</v>
      </c>
      <c r="AX98" s="42">
        <v>6076000</v>
      </c>
      <c r="AY98" s="48">
        <v>6346000</v>
      </c>
      <c r="AZ98" s="42">
        <v>6211000</v>
      </c>
      <c r="BA98" s="48">
        <v>6481000</v>
      </c>
      <c r="BB98" s="42">
        <v>5368000</v>
      </c>
      <c r="BC98" s="48">
        <v>5638000</v>
      </c>
      <c r="BD98" s="42">
        <v>5368000</v>
      </c>
      <c r="BE98" s="48">
        <v>5638000</v>
      </c>
      <c r="BF98" s="42">
        <v>5368000</v>
      </c>
      <c r="BG98" s="48">
        <v>5638000</v>
      </c>
      <c r="BH98" s="42">
        <v>5368000</v>
      </c>
      <c r="BI98" s="48">
        <v>5638000</v>
      </c>
      <c r="BJ98" s="42">
        <v>5352000</v>
      </c>
      <c r="BK98" s="48">
        <v>5622000</v>
      </c>
      <c r="BL98" s="42">
        <v>5453000</v>
      </c>
      <c r="BM98" s="48">
        <v>5723000</v>
      </c>
      <c r="BN98" s="42">
        <v>5453000</v>
      </c>
      <c r="BO98" s="48">
        <v>5723000</v>
      </c>
      <c r="BP98" s="42">
        <v>5432000</v>
      </c>
      <c r="BQ98" s="48">
        <v>5702000</v>
      </c>
      <c r="BR98" s="42">
        <v>5368000</v>
      </c>
      <c r="BS98" s="48">
        <v>5638000</v>
      </c>
      <c r="BT98" s="42">
        <v>5346000</v>
      </c>
      <c r="BU98" s="48">
        <v>5616000</v>
      </c>
      <c r="BV98" s="42">
        <v>5346000</v>
      </c>
      <c r="BW98" s="48">
        <v>5616000</v>
      </c>
      <c r="BX98" s="42">
        <v>5346000</v>
      </c>
      <c r="BY98" s="48">
        <v>5616000</v>
      </c>
      <c r="BZ98" s="42">
        <v>5247000</v>
      </c>
      <c r="CA98" s="48">
        <v>5517000</v>
      </c>
      <c r="CB98" s="42">
        <v>5143000</v>
      </c>
      <c r="CC98" s="48">
        <v>5413000</v>
      </c>
      <c r="CD98" s="42">
        <v>5143000</v>
      </c>
      <c r="CE98" s="48">
        <v>5413000</v>
      </c>
      <c r="CF98" s="42">
        <v>5247000</v>
      </c>
      <c r="CG98" s="48">
        <v>5517000</v>
      </c>
      <c r="CH98" s="42">
        <v>5882000</v>
      </c>
      <c r="CI98" s="48">
        <v>6152000</v>
      </c>
    </row>
    <row r="99" spans="1:87" ht="63" customHeight="1">
      <c r="A99" s="20" t="e">
        <f ca="1">_xludf.image("https://lh3.google.com/u/0/d/1GdjcZgcvCG18NG2XJig1KmUCRJttptaI",1)</f>
        <v>#NAME?</v>
      </c>
      <c r="B99" s="45" t="s">
        <v>149</v>
      </c>
      <c r="C99" s="139" t="e">
        <f ca="1">_xludf.image("https://lh3.google.com/u/0/d/1l_-TIF6aavWenFhw4srB3KDIGNwzqPff",1)</f>
        <v>#NAME?</v>
      </c>
      <c r="D99" s="136"/>
      <c r="E99" s="137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  <c r="AC99" s="46"/>
      <c r="AD99" s="46"/>
      <c r="AE99" s="46"/>
      <c r="AF99" s="46"/>
      <c r="AG99" s="46"/>
      <c r="AH99" s="46"/>
      <c r="AI99" s="46"/>
      <c r="AJ99" s="46"/>
      <c r="AK99" s="46"/>
      <c r="AL99" s="46"/>
      <c r="AM99" s="46"/>
      <c r="AN99" s="46"/>
      <c r="AO99" s="46"/>
      <c r="AP99" s="46"/>
      <c r="AQ99" s="46"/>
      <c r="AR99" s="46"/>
      <c r="AS99" s="46"/>
      <c r="AT99" s="46"/>
      <c r="AU99" s="46"/>
      <c r="AV99" s="46"/>
      <c r="AW99" s="46"/>
      <c r="AX99" s="46"/>
      <c r="AY99" s="46"/>
      <c r="AZ99" s="46"/>
      <c r="BA99" s="46"/>
      <c r="BB99" s="46"/>
      <c r="BC99" s="46"/>
      <c r="BD99" s="46"/>
      <c r="BE99" s="46"/>
      <c r="BF99" s="46"/>
      <c r="BG99" s="46"/>
      <c r="BH99" s="46"/>
      <c r="BI99" s="46"/>
      <c r="BJ99" s="46"/>
      <c r="BK99" s="46"/>
      <c r="BL99" s="46"/>
      <c r="BM99" s="46"/>
      <c r="BN99" s="46"/>
      <c r="BO99" s="46"/>
      <c r="BP99" s="46"/>
      <c r="BQ99" s="46"/>
      <c r="BR99" s="46"/>
      <c r="BS99" s="46"/>
      <c r="BT99" s="46"/>
      <c r="BU99" s="46"/>
      <c r="BV99" s="46"/>
      <c r="BW99" s="46"/>
      <c r="BX99" s="46"/>
      <c r="BY99" s="46"/>
      <c r="BZ99" s="46"/>
      <c r="CA99" s="46"/>
      <c r="CB99" s="46"/>
      <c r="CC99" s="46"/>
      <c r="CD99" s="46"/>
      <c r="CE99" s="46"/>
      <c r="CF99" s="46"/>
      <c r="CG99" s="46"/>
      <c r="CH99" s="46"/>
      <c r="CI99" s="46"/>
    </row>
    <row r="100" spans="1:87" ht="12.75">
      <c r="A100" s="20"/>
      <c r="B100" s="140"/>
      <c r="C100" s="136"/>
      <c r="D100" s="136"/>
      <c r="E100" s="137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</row>
    <row r="101" spans="1:87">
      <c r="A101" s="43"/>
      <c r="B101" s="25" t="s">
        <v>150</v>
      </c>
      <c r="C101" s="26">
        <v>620</v>
      </c>
      <c r="D101" s="26">
        <v>740</v>
      </c>
      <c r="E101" s="26">
        <v>300</v>
      </c>
      <c r="F101" s="27">
        <v>9182000</v>
      </c>
      <c r="G101" s="30"/>
      <c r="H101" s="27">
        <v>5605000</v>
      </c>
      <c r="I101" s="30"/>
      <c r="J101" s="29"/>
      <c r="K101" s="30"/>
      <c r="L101" s="27">
        <v>9510000</v>
      </c>
      <c r="M101" s="30"/>
      <c r="N101" s="29"/>
      <c r="O101" s="30"/>
      <c r="P101" s="27">
        <v>2757000</v>
      </c>
      <c r="Q101" s="30"/>
      <c r="R101" s="29"/>
      <c r="S101" s="30"/>
      <c r="T101" s="29"/>
      <c r="U101" s="30"/>
      <c r="V101" s="27">
        <v>2124000</v>
      </c>
      <c r="W101" s="30"/>
      <c r="X101" s="27">
        <v>1464000</v>
      </c>
      <c r="Y101" s="30"/>
      <c r="Z101" s="27">
        <v>2846000</v>
      </c>
      <c r="AA101" s="30"/>
      <c r="AB101" s="27">
        <v>3132000</v>
      </c>
      <c r="AC101" s="30"/>
      <c r="AD101" s="27">
        <v>3191000</v>
      </c>
      <c r="AE101" s="30"/>
      <c r="AF101" s="27">
        <v>3728000</v>
      </c>
      <c r="AG101" s="30"/>
      <c r="AH101" s="27">
        <v>3728000</v>
      </c>
      <c r="AI101" s="30"/>
      <c r="AJ101" s="27">
        <v>3136000</v>
      </c>
      <c r="AK101" s="30"/>
      <c r="AL101" s="27">
        <v>4249000</v>
      </c>
      <c r="AM101" s="30"/>
      <c r="AN101" s="27">
        <v>2096000</v>
      </c>
      <c r="AO101" s="30"/>
      <c r="AP101" s="27">
        <v>3823000</v>
      </c>
      <c r="AQ101" s="30"/>
      <c r="AR101" s="27">
        <v>4275000</v>
      </c>
      <c r="AS101" s="30"/>
      <c r="AT101" s="27">
        <v>3823000</v>
      </c>
      <c r="AU101" s="30"/>
      <c r="AV101" s="27">
        <v>3989000</v>
      </c>
      <c r="AW101" s="30"/>
      <c r="AX101" s="27">
        <v>3874000</v>
      </c>
      <c r="AY101" s="30"/>
      <c r="AZ101" s="27">
        <v>4133000</v>
      </c>
      <c r="BA101" s="30"/>
      <c r="BB101" s="27">
        <v>2586000</v>
      </c>
      <c r="BC101" s="30"/>
      <c r="BD101" s="27">
        <v>2586000</v>
      </c>
      <c r="BE101" s="30"/>
      <c r="BF101" s="27">
        <v>2586000</v>
      </c>
      <c r="BG101" s="30"/>
      <c r="BH101" s="27">
        <v>2586000</v>
      </c>
      <c r="BI101" s="30"/>
      <c r="BJ101" s="27">
        <v>2555000</v>
      </c>
      <c r="BK101" s="30"/>
      <c r="BL101" s="27">
        <v>2750000</v>
      </c>
      <c r="BM101" s="30"/>
      <c r="BN101" s="27">
        <v>2750000</v>
      </c>
      <c r="BO101" s="30"/>
      <c r="BP101" s="27">
        <v>2709000</v>
      </c>
      <c r="BQ101" s="30"/>
      <c r="BR101" s="27">
        <v>2586000</v>
      </c>
      <c r="BS101" s="30"/>
      <c r="BT101" s="27">
        <v>2545000</v>
      </c>
      <c r="BU101" s="30"/>
      <c r="BV101" s="27">
        <v>2545000</v>
      </c>
      <c r="BW101" s="30"/>
      <c r="BX101" s="27">
        <v>2545000</v>
      </c>
      <c r="BY101" s="30"/>
      <c r="BZ101" s="27">
        <v>2237000</v>
      </c>
      <c r="CA101" s="30"/>
      <c r="CB101" s="27">
        <v>2039000</v>
      </c>
      <c r="CC101" s="30"/>
      <c r="CD101" s="27">
        <v>2039000</v>
      </c>
      <c r="CE101" s="30"/>
      <c r="CF101" s="27">
        <v>2237000</v>
      </c>
      <c r="CG101" s="30"/>
      <c r="CH101" s="27">
        <v>3482000</v>
      </c>
      <c r="CI101" s="30"/>
    </row>
    <row r="102" spans="1:87">
      <c r="A102" s="43"/>
      <c r="B102" s="25" t="s">
        <v>151</v>
      </c>
      <c r="C102" s="26">
        <v>620</v>
      </c>
      <c r="D102" s="26">
        <v>740</v>
      </c>
      <c r="E102" s="26">
        <v>450</v>
      </c>
      <c r="F102" s="27">
        <v>11318000</v>
      </c>
      <c r="G102" s="30"/>
      <c r="H102" s="27">
        <v>6921000</v>
      </c>
      <c r="I102" s="30"/>
      <c r="J102" s="29"/>
      <c r="K102" s="30"/>
      <c r="L102" s="27">
        <v>11722000</v>
      </c>
      <c r="M102" s="30"/>
      <c r="N102" s="29"/>
      <c r="O102" s="30"/>
      <c r="P102" s="27">
        <v>3388000</v>
      </c>
      <c r="Q102" s="30"/>
      <c r="R102" s="29"/>
      <c r="S102" s="30"/>
      <c r="T102" s="29"/>
      <c r="U102" s="30"/>
      <c r="V102" s="27">
        <v>2628000</v>
      </c>
      <c r="W102" s="30"/>
      <c r="X102" s="27">
        <v>1817000</v>
      </c>
      <c r="Y102" s="30"/>
      <c r="Z102" s="27">
        <v>3503000</v>
      </c>
      <c r="AA102" s="30"/>
      <c r="AB102" s="27">
        <v>3849000</v>
      </c>
      <c r="AC102" s="30"/>
      <c r="AD102" s="27">
        <v>3913000</v>
      </c>
      <c r="AE102" s="30"/>
      <c r="AF102" s="27">
        <v>4566000</v>
      </c>
      <c r="AG102" s="30"/>
      <c r="AH102" s="27">
        <v>4566000</v>
      </c>
      <c r="AI102" s="30"/>
      <c r="AJ102" s="27">
        <v>3858000</v>
      </c>
      <c r="AK102" s="30"/>
      <c r="AL102" s="27">
        <v>5225000</v>
      </c>
      <c r="AM102" s="30"/>
      <c r="AN102" s="27">
        <v>2582000</v>
      </c>
      <c r="AO102" s="30"/>
      <c r="AP102" s="27">
        <v>4698000</v>
      </c>
      <c r="AQ102" s="30"/>
      <c r="AR102" s="27">
        <v>5253000</v>
      </c>
      <c r="AS102" s="30"/>
      <c r="AT102" s="27">
        <v>4698000</v>
      </c>
      <c r="AU102" s="30"/>
      <c r="AV102" s="27">
        <v>4904000</v>
      </c>
      <c r="AW102" s="30"/>
      <c r="AX102" s="27">
        <v>4763000</v>
      </c>
      <c r="AY102" s="30"/>
      <c r="AZ102" s="27">
        <v>5081000</v>
      </c>
      <c r="BA102" s="30"/>
      <c r="BB102" s="27">
        <v>3196000</v>
      </c>
      <c r="BC102" s="30"/>
      <c r="BD102" s="27">
        <v>3196000</v>
      </c>
      <c r="BE102" s="30"/>
      <c r="BF102" s="27">
        <v>3196000</v>
      </c>
      <c r="BG102" s="30"/>
      <c r="BH102" s="27">
        <v>3196000</v>
      </c>
      <c r="BI102" s="30"/>
      <c r="BJ102" s="27">
        <v>3158000</v>
      </c>
      <c r="BK102" s="30"/>
      <c r="BL102" s="27">
        <v>3398000</v>
      </c>
      <c r="BM102" s="30"/>
      <c r="BN102" s="27">
        <v>3398000</v>
      </c>
      <c r="BO102" s="30"/>
      <c r="BP102" s="27">
        <v>3348000</v>
      </c>
      <c r="BQ102" s="30"/>
      <c r="BR102" s="27">
        <v>3196000</v>
      </c>
      <c r="BS102" s="30"/>
      <c r="BT102" s="27">
        <v>3146000</v>
      </c>
      <c r="BU102" s="30"/>
      <c r="BV102" s="27">
        <v>3146000</v>
      </c>
      <c r="BW102" s="30"/>
      <c r="BX102" s="27">
        <v>3146000</v>
      </c>
      <c r="BY102" s="30"/>
      <c r="BZ102" s="27">
        <v>2737000</v>
      </c>
      <c r="CA102" s="30"/>
      <c r="CB102" s="27">
        <v>2494000</v>
      </c>
      <c r="CC102" s="30"/>
      <c r="CD102" s="27">
        <v>2494000</v>
      </c>
      <c r="CE102" s="30"/>
      <c r="CF102" s="27">
        <v>2737000</v>
      </c>
      <c r="CG102" s="30"/>
      <c r="CH102" s="27">
        <v>4276000</v>
      </c>
      <c r="CI102" s="30"/>
    </row>
    <row r="103" spans="1:87">
      <c r="A103" s="43"/>
      <c r="B103" s="25" t="s">
        <v>152</v>
      </c>
      <c r="C103" s="26">
        <v>620</v>
      </c>
      <c r="D103" s="26">
        <v>740</v>
      </c>
      <c r="E103" s="26">
        <v>600</v>
      </c>
      <c r="F103" s="27">
        <v>13479000</v>
      </c>
      <c r="G103" s="30"/>
      <c r="H103" s="27">
        <v>8260000</v>
      </c>
      <c r="I103" s="30"/>
      <c r="J103" s="29"/>
      <c r="K103" s="30"/>
      <c r="L103" s="27">
        <v>13958000</v>
      </c>
      <c r="M103" s="30"/>
      <c r="N103" s="29"/>
      <c r="O103" s="30"/>
      <c r="P103" s="27">
        <v>4044000</v>
      </c>
      <c r="Q103" s="30"/>
      <c r="R103" s="29"/>
      <c r="S103" s="30"/>
      <c r="T103" s="29"/>
      <c r="U103" s="30"/>
      <c r="V103" s="27">
        <v>3157000</v>
      </c>
      <c r="W103" s="30"/>
      <c r="X103" s="27">
        <v>2195000</v>
      </c>
      <c r="Y103" s="30"/>
      <c r="Z103" s="27">
        <v>4185000</v>
      </c>
      <c r="AA103" s="30"/>
      <c r="AB103" s="27">
        <v>4591000</v>
      </c>
      <c r="AC103" s="30"/>
      <c r="AD103" s="27">
        <v>4659000</v>
      </c>
      <c r="AE103" s="30"/>
      <c r="AF103" s="27">
        <v>5428000</v>
      </c>
      <c r="AG103" s="30"/>
      <c r="AH103" s="27">
        <v>5428000</v>
      </c>
      <c r="AI103" s="30"/>
      <c r="AJ103" s="27">
        <v>4604000</v>
      </c>
      <c r="AK103" s="30"/>
      <c r="AL103" s="27">
        <v>6225000</v>
      </c>
      <c r="AM103" s="30"/>
      <c r="AN103" s="27">
        <v>3092000</v>
      </c>
      <c r="AO103" s="30"/>
      <c r="AP103" s="27">
        <v>5597000</v>
      </c>
      <c r="AQ103" s="30"/>
      <c r="AR103" s="27">
        <v>6256000</v>
      </c>
      <c r="AS103" s="30"/>
      <c r="AT103" s="27">
        <v>5597000</v>
      </c>
      <c r="AU103" s="30"/>
      <c r="AV103" s="27">
        <v>5844000</v>
      </c>
      <c r="AW103" s="30"/>
      <c r="AX103" s="27">
        <v>5676000</v>
      </c>
      <c r="AY103" s="30"/>
      <c r="AZ103" s="27">
        <v>6054000</v>
      </c>
      <c r="BA103" s="30"/>
      <c r="BB103" s="27">
        <v>3830000</v>
      </c>
      <c r="BC103" s="30"/>
      <c r="BD103" s="27">
        <v>3830000</v>
      </c>
      <c r="BE103" s="30"/>
      <c r="BF103" s="27">
        <v>3830000</v>
      </c>
      <c r="BG103" s="30"/>
      <c r="BH103" s="27">
        <v>3830000</v>
      </c>
      <c r="BI103" s="30"/>
      <c r="BJ103" s="27">
        <v>3785000</v>
      </c>
      <c r="BK103" s="30"/>
      <c r="BL103" s="27">
        <v>4070000</v>
      </c>
      <c r="BM103" s="30"/>
      <c r="BN103" s="27">
        <v>4070000</v>
      </c>
      <c r="BO103" s="30"/>
      <c r="BP103" s="27">
        <v>4010000</v>
      </c>
      <c r="BQ103" s="30"/>
      <c r="BR103" s="27">
        <v>3830000</v>
      </c>
      <c r="BS103" s="30"/>
      <c r="BT103" s="27">
        <v>3771000</v>
      </c>
      <c r="BU103" s="30"/>
      <c r="BV103" s="27">
        <v>3771000</v>
      </c>
      <c r="BW103" s="30"/>
      <c r="BX103" s="27">
        <v>3771000</v>
      </c>
      <c r="BY103" s="30"/>
      <c r="BZ103" s="27">
        <v>3260000</v>
      </c>
      <c r="CA103" s="30"/>
      <c r="CB103" s="27">
        <v>2972000</v>
      </c>
      <c r="CC103" s="30"/>
      <c r="CD103" s="27">
        <v>2972000</v>
      </c>
      <c r="CE103" s="30"/>
      <c r="CF103" s="27">
        <v>3260000</v>
      </c>
      <c r="CG103" s="30"/>
      <c r="CH103" s="27">
        <v>5093000</v>
      </c>
      <c r="CI103" s="30"/>
    </row>
    <row r="104" spans="1:87">
      <c r="A104" s="43"/>
      <c r="B104" s="25" t="s">
        <v>153</v>
      </c>
      <c r="C104" s="26">
        <v>620</v>
      </c>
      <c r="D104" s="26">
        <v>740</v>
      </c>
      <c r="E104" s="26">
        <v>900</v>
      </c>
      <c r="F104" s="27">
        <v>17766000</v>
      </c>
      <c r="G104" s="30"/>
      <c r="H104" s="27">
        <v>10903000</v>
      </c>
      <c r="I104" s="30"/>
      <c r="J104" s="29"/>
      <c r="K104" s="30"/>
      <c r="L104" s="27">
        <v>18396000</v>
      </c>
      <c r="M104" s="30"/>
      <c r="N104" s="29"/>
      <c r="O104" s="30"/>
      <c r="P104" s="27">
        <v>5319000</v>
      </c>
      <c r="Q104" s="30"/>
      <c r="R104" s="29"/>
      <c r="S104" s="30"/>
      <c r="T104" s="29"/>
      <c r="U104" s="30"/>
      <c r="V104" s="27">
        <v>4180000</v>
      </c>
      <c r="W104" s="30"/>
      <c r="X104" s="27">
        <v>2914000</v>
      </c>
      <c r="Y104" s="30"/>
      <c r="Z104" s="27">
        <v>5513000</v>
      </c>
      <c r="AA104" s="30"/>
      <c r="AB104" s="27">
        <v>6039000</v>
      </c>
      <c r="AC104" s="30"/>
      <c r="AD104" s="27">
        <v>6117000</v>
      </c>
      <c r="AE104" s="30"/>
      <c r="AF104" s="27">
        <v>7117000</v>
      </c>
      <c r="AG104" s="30"/>
      <c r="AH104" s="27">
        <v>7117000</v>
      </c>
      <c r="AI104" s="30"/>
      <c r="AJ104" s="27">
        <v>6062000</v>
      </c>
      <c r="AK104" s="30"/>
      <c r="AL104" s="27">
        <v>8189000</v>
      </c>
      <c r="AM104" s="30"/>
      <c r="AN104" s="27">
        <v>4077000</v>
      </c>
      <c r="AO104" s="30"/>
      <c r="AP104" s="27">
        <v>7359000</v>
      </c>
      <c r="AQ104" s="30"/>
      <c r="AR104" s="27">
        <v>8227000</v>
      </c>
      <c r="AS104" s="30"/>
      <c r="AT104" s="27">
        <v>7359000</v>
      </c>
      <c r="AU104" s="30"/>
      <c r="AV104" s="27">
        <v>7688000</v>
      </c>
      <c r="AW104" s="30"/>
      <c r="AX104" s="27">
        <v>7467000</v>
      </c>
      <c r="AY104" s="30"/>
      <c r="AZ104" s="27">
        <v>7964000</v>
      </c>
      <c r="BA104" s="30"/>
      <c r="BB104" s="27">
        <v>5063000</v>
      </c>
      <c r="BC104" s="30"/>
      <c r="BD104" s="27">
        <v>5063000</v>
      </c>
      <c r="BE104" s="30"/>
      <c r="BF104" s="27">
        <v>5063000</v>
      </c>
      <c r="BG104" s="30"/>
      <c r="BH104" s="27">
        <v>5063000</v>
      </c>
      <c r="BI104" s="30"/>
      <c r="BJ104" s="27">
        <v>5004000</v>
      </c>
      <c r="BK104" s="30"/>
      <c r="BL104" s="27">
        <v>5378000</v>
      </c>
      <c r="BM104" s="30"/>
      <c r="BN104" s="27">
        <v>5378000</v>
      </c>
      <c r="BO104" s="30"/>
      <c r="BP104" s="27">
        <v>5300000</v>
      </c>
      <c r="BQ104" s="30"/>
      <c r="BR104" s="27">
        <v>5063000</v>
      </c>
      <c r="BS104" s="30"/>
      <c r="BT104" s="27">
        <v>4985000</v>
      </c>
      <c r="BU104" s="30"/>
      <c r="BV104" s="27">
        <v>4985000</v>
      </c>
      <c r="BW104" s="30"/>
      <c r="BX104" s="27">
        <v>4985000</v>
      </c>
      <c r="BY104" s="30"/>
      <c r="BZ104" s="27">
        <v>4273000</v>
      </c>
      <c r="CA104" s="30"/>
      <c r="CB104" s="27">
        <v>3894000</v>
      </c>
      <c r="CC104" s="30"/>
      <c r="CD104" s="27">
        <v>3894000</v>
      </c>
      <c r="CE104" s="30"/>
      <c r="CF104" s="27">
        <v>4273000</v>
      </c>
      <c r="CG104" s="30"/>
      <c r="CH104" s="27">
        <v>6694000</v>
      </c>
      <c r="CI104" s="30"/>
    </row>
    <row r="105" spans="1:87">
      <c r="A105" s="43"/>
      <c r="B105" s="25" t="s">
        <v>154</v>
      </c>
      <c r="C105" s="26">
        <v>620</v>
      </c>
      <c r="D105" s="26">
        <v>740</v>
      </c>
      <c r="E105" s="26">
        <v>350</v>
      </c>
      <c r="F105" s="27">
        <v>7583000</v>
      </c>
      <c r="G105" s="30"/>
      <c r="H105" s="27">
        <v>4699000</v>
      </c>
      <c r="I105" s="30"/>
      <c r="J105" s="29"/>
      <c r="K105" s="30"/>
      <c r="L105" s="27">
        <v>7847000</v>
      </c>
      <c r="M105" s="30"/>
      <c r="N105" s="29"/>
      <c r="O105" s="30"/>
      <c r="P105" s="27">
        <v>2176000</v>
      </c>
      <c r="Q105" s="30"/>
      <c r="R105" s="29"/>
      <c r="S105" s="30"/>
      <c r="T105" s="29"/>
      <c r="U105" s="30"/>
      <c r="V105" s="27">
        <v>1811000</v>
      </c>
      <c r="W105" s="30"/>
      <c r="X105" s="27">
        <v>1279000</v>
      </c>
      <c r="Y105" s="30"/>
      <c r="Z105" s="27">
        <v>2293000</v>
      </c>
      <c r="AA105" s="30"/>
      <c r="AB105" s="27">
        <v>2479000</v>
      </c>
      <c r="AC105" s="30"/>
      <c r="AD105" s="27">
        <v>2459000</v>
      </c>
      <c r="AE105" s="30"/>
      <c r="AF105" s="27">
        <v>2834000</v>
      </c>
      <c r="AG105" s="30"/>
      <c r="AH105" s="27">
        <v>2834000</v>
      </c>
      <c r="AI105" s="30"/>
      <c r="AJ105" s="27">
        <v>2512000</v>
      </c>
      <c r="AK105" s="30"/>
      <c r="AL105" s="27">
        <v>3393000</v>
      </c>
      <c r="AM105" s="30"/>
      <c r="AN105" s="27">
        <v>1693000</v>
      </c>
      <c r="AO105" s="30"/>
      <c r="AP105" s="27">
        <v>3027000</v>
      </c>
      <c r="AQ105" s="30"/>
      <c r="AR105" s="27">
        <v>3391000</v>
      </c>
      <c r="AS105" s="30"/>
      <c r="AT105" s="27">
        <v>3027000</v>
      </c>
      <c r="AU105" s="30"/>
      <c r="AV105" s="27">
        <v>3179000</v>
      </c>
      <c r="AW105" s="30"/>
      <c r="AX105" s="27">
        <v>3086000</v>
      </c>
      <c r="AY105" s="30"/>
      <c r="AZ105" s="27">
        <v>3295000</v>
      </c>
      <c r="BA105" s="30"/>
      <c r="BB105" s="27">
        <v>2176000</v>
      </c>
      <c r="BC105" s="30"/>
      <c r="BD105" s="27">
        <v>2176000</v>
      </c>
      <c r="BE105" s="30"/>
      <c r="BF105" s="27">
        <v>2176000</v>
      </c>
      <c r="BG105" s="30"/>
      <c r="BH105" s="27">
        <v>2176000</v>
      </c>
      <c r="BI105" s="30"/>
      <c r="BJ105" s="27">
        <v>2152000</v>
      </c>
      <c r="BK105" s="30"/>
      <c r="BL105" s="27">
        <v>2309000</v>
      </c>
      <c r="BM105" s="30"/>
      <c r="BN105" s="27">
        <v>2309000</v>
      </c>
      <c r="BO105" s="30"/>
      <c r="BP105" s="27">
        <v>2276000</v>
      </c>
      <c r="BQ105" s="30"/>
      <c r="BR105" s="27">
        <v>2176000</v>
      </c>
      <c r="BS105" s="30"/>
      <c r="BT105" s="27">
        <v>2143000</v>
      </c>
      <c r="BU105" s="30"/>
      <c r="BV105" s="27">
        <v>2143000</v>
      </c>
      <c r="BW105" s="30"/>
      <c r="BX105" s="27">
        <v>2143000</v>
      </c>
      <c r="BY105" s="30"/>
      <c r="BZ105" s="27">
        <v>1665000</v>
      </c>
      <c r="CA105" s="30"/>
      <c r="CB105" s="27">
        <v>1506000</v>
      </c>
      <c r="CC105" s="30"/>
      <c r="CD105" s="27">
        <v>1506000</v>
      </c>
      <c r="CE105" s="30"/>
      <c r="CF105" s="27">
        <v>1665000</v>
      </c>
      <c r="CG105" s="30"/>
      <c r="CH105" s="27">
        <v>2730000</v>
      </c>
      <c r="CI105" s="30"/>
    </row>
    <row r="106" spans="1:87">
      <c r="A106" s="53"/>
      <c r="B106" s="54" t="s">
        <v>155</v>
      </c>
      <c r="C106" s="55">
        <v>320</v>
      </c>
      <c r="D106" s="55">
        <v>740</v>
      </c>
      <c r="E106" s="55">
        <v>300</v>
      </c>
      <c r="F106" s="48">
        <v>5447000</v>
      </c>
      <c r="G106" s="36"/>
      <c r="H106" s="48">
        <v>3375000</v>
      </c>
      <c r="I106" s="36"/>
      <c r="J106" s="30"/>
      <c r="K106" s="36"/>
      <c r="L106" s="48">
        <v>5638000</v>
      </c>
      <c r="M106" s="36"/>
      <c r="N106" s="30"/>
      <c r="O106" s="36"/>
      <c r="P106" s="48">
        <v>1796000</v>
      </c>
      <c r="Q106" s="36"/>
      <c r="R106" s="30"/>
      <c r="S106" s="36"/>
      <c r="T106" s="30"/>
      <c r="U106" s="36"/>
      <c r="V106" s="48">
        <v>1383000</v>
      </c>
      <c r="W106" s="36"/>
      <c r="X106" s="48">
        <v>1001000</v>
      </c>
      <c r="Y106" s="36"/>
      <c r="Z106" s="48">
        <v>1833000</v>
      </c>
      <c r="AA106" s="36"/>
      <c r="AB106" s="48">
        <v>2014000</v>
      </c>
      <c r="AC106" s="36"/>
      <c r="AD106" s="48">
        <v>2069000</v>
      </c>
      <c r="AE106" s="36"/>
      <c r="AF106" s="48">
        <v>2399000</v>
      </c>
      <c r="AG106" s="36"/>
      <c r="AH106" s="48">
        <v>2399000</v>
      </c>
      <c r="AI106" s="36"/>
      <c r="AJ106" s="48">
        <v>2006000</v>
      </c>
      <c r="AK106" s="36"/>
      <c r="AL106" s="48">
        <v>2657000</v>
      </c>
      <c r="AM106" s="36"/>
      <c r="AN106" s="48">
        <v>1398000</v>
      </c>
      <c r="AO106" s="36"/>
      <c r="AP106" s="48">
        <v>2416000</v>
      </c>
      <c r="AQ106" s="36"/>
      <c r="AR106" s="48">
        <v>2678000</v>
      </c>
      <c r="AS106" s="36"/>
      <c r="AT106" s="48">
        <v>2416000</v>
      </c>
      <c r="AU106" s="36"/>
      <c r="AV106" s="48">
        <v>2507000</v>
      </c>
      <c r="AW106" s="36"/>
      <c r="AX106" s="48">
        <v>2441000</v>
      </c>
      <c r="AY106" s="36"/>
      <c r="AZ106" s="48">
        <v>2590000</v>
      </c>
      <c r="BA106" s="36"/>
      <c r="BB106" s="48">
        <v>1654000</v>
      </c>
      <c r="BC106" s="36"/>
      <c r="BD106" s="48">
        <v>1654000</v>
      </c>
      <c r="BE106" s="36"/>
      <c r="BF106" s="48">
        <v>1654000</v>
      </c>
      <c r="BG106" s="36"/>
      <c r="BH106" s="48">
        <v>1654000</v>
      </c>
      <c r="BI106" s="36"/>
      <c r="BJ106" s="48">
        <v>1636000</v>
      </c>
      <c r="BK106" s="36"/>
      <c r="BL106" s="48">
        <v>1749000</v>
      </c>
      <c r="BM106" s="36"/>
      <c r="BN106" s="48">
        <v>1749000</v>
      </c>
      <c r="BO106" s="36"/>
      <c r="BP106" s="48">
        <v>1725000</v>
      </c>
      <c r="BQ106" s="36"/>
      <c r="BR106" s="48">
        <v>1654000</v>
      </c>
      <c r="BS106" s="36"/>
      <c r="BT106" s="48">
        <v>1630000</v>
      </c>
      <c r="BU106" s="36"/>
      <c r="BV106" s="48">
        <v>1630000</v>
      </c>
      <c r="BW106" s="36"/>
      <c r="BX106" s="48">
        <v>1630000</v>
      </c>
      <c r="BY106" s="36"/>
      <c r="BZ106" s="48">
        <v>1524000</v>
      </c>
      <c r="CA106" s="36"/>
      <c r="CB106" s="48">
        <v>1409000</v>
      </c>
      <c r="CC106" s="36"/>
      <c r="CD106" s="48">
        <v>1409000</v>
      </c>
      <c r="CE106" s="36"/>
      <c r="CF106" s="48">
        <v>1524000</v>
      </c>
      <c r="CG106" s="36"/>
      <c r="CH106" s="48">
        <v>2226000</v>
      </c>
      <c r="CI106" s="36"/>
    </row>
    <row r="107" spans="1:87">
      <c r="A107" s="53"/>
      <c r="B107" s="54" t="s">
        <v>156</v>
      </c>
      <c r="C107" s="55">
        <v>320</v>
      </c>
      <c r="D107" s="55">
        <v>740</v>
      </c>
      <c r="E107" s="55">
        <v>450</v>
      </c>
      <c r="F107" s="48">
        <v>6850000</v>
      </c>
      <c r="G107" s="36"/>
      <c r="H107" s="48">
        <v>4241000</v>
      </c>
      <c r="I107" s="36"/>
      <c r="J107" s="30"/>
      <c r="K107" s="36"/>
      <c r="L107" s="48">
        <v>7090000</v>
      </c>
      <c r="M107" s="36"/>
      <c r="N107" s="30"/>
      <c r="O107" s="36"/>
      <c r="P107" s="48">
        <v>2227000</v>
      </c>
      <c r="Q107" s="36"/>
      <c r="R107" s="30"/>
      <c r="S107" s="36"/>
      <c r="T107" s="30"/>
      <c r="U107" s="36"/>
      <c r="V107" s="48">
        <v>1724000</v>
      </c>
      <c r="W107" s="36"/>
      <c r="X107" s="48">
        <v>1242000</v>
      </c>
      <c r="Y107" s="36"/>
      <c r="Z107" s="48">
        <v>2279000</v>
      </c>
      <c r="AA107" s="36"/>
      <c r="AB107" s="48">
        <v>2501000</v>
      </c>
      <c r="AC107" s="36"/>
      <c r="AD107" s="48">
        <v>2563000</v>
      </c>
      <c r="AE107" s="36"/>
      <c r="AF107" s="48">
        <v>2971000</v>
      </c>
      <c r="AG107" s="36"/>
      <c r="AH107" s="48">
        <v>2971000</v>
      </c>
      <c r="AI107" s="36"/>
      <c r="AJ107" s="48">
        <v>2495000</v>
      </c>
      <c r="AK107" s="36"/>
      <c r="AL107" s="48">
        <v>3312000</v>
      </c>
      <c r="AM107" s="36"/>
      <c r="AN107" s="48">
        <v>1731000</v>
      </c>
      <c r="AO107" s="36"/>
      <c r="AP107" s="48">
        <v>3007000</v>
      </c>
      <c r="AQ107" s="36"/>
      <c r="AR107" s="48">
        <v>3337000</v>
      </c>
      <c r="AS107" s="36"/>
      <c r="AT107" s="48">
        <v>3007000</v>
      </c>
      <c r="AU107" s="36"/>
      <c r="AV107" s="48">
        <v>3123000</v>
      </c>
      <c r="AW107" s="36"/>
      <c r="AX107" s="48">
        <v>3039000</v>
      </c>
      <c r="AY107" s="36"/>
      <c r="AZ107" s="48">
        <v>3228000</v>
      </c>
      <c r="BA107" s="36"/>
      <c r="BB107" s="48">
        <v>2063000</v>
      </c>
      <c r="BC107" s="36"/>
      <c r="BD107" s="48">
        <v>2063000</v>
      </c>
      <c r="BE107" s="36"/>
      <c r="BF107" s="48">
        <v>2063000</v>
      </c>
      <c r="BG107" s="36"/>
      <c r="BH107" s="48">
        <v>2063000</v>
      </c>
      <c r="BI107" s="36"/>
      <c r="BJ107" s="48">
        <v>2041000</v>
      </c>
      <c r="BK107" s="36"/>
      <c r="BL107" s="48">
        <v>2183000</v>
      </c>
      <c r="BM107" s="36"/>
      <c r="BN107" s="48">
        <v>2183000</v>
      </c>
      <c r="BO107" s="36"/>
      <c r="BP107" s="48">
        <v>2153000</v>
      </c>
      <c r="BQ107" s="36"/>
      <c r="BR107" s="48">
        <v>2063000</v>
      </c>
      <c r="BS107" s="36"/>
      <c r="BT107" s="48">
        <v>2033000</v>
      </c>
      <c r="BU107" s="36"/>
      <c r="BV107" s="48">
        <v>2033000</v>
      </c>
      <c r="BW107" s="36"/>
      <c r="BX107" s="48">
        <v>2033000</v>
      </c>
      <c r="BY107" s="36"/>
      <c r="BZ107" s="48">
        <v>1873000</v>
      </c>
      <c r="CA107" s="36"/>
      <c r="CB107" s="48">
        <v>1729000</v>
      </c>
      <c r="CC107" s="36"/>
      <c r="CD107" s="48">
        <v>1729000</v>
      </c>
      <c r="CE107" s="36"/>
      <c r="CF107" s="48">
        <v>1873000</v>
      </c>
      <c r="CG107" s="36"/>
      <c r="CH107" s="48">
        <v>2765000</v>
      </c>
      <c r="CI107" s="36"/>
    </row>
    <row r="108" spans="1:87">
      <c r="A108" s="53"/>
      <c r="B108" s="54" t="s">
        <v>157</v>
      </c>
      <c r="C108" s="55">
        <v>320</v>
      </c>
      <c r="D108" s="55">
        <v>740</v>
      </c>
      <c r="E108" s="55">
        <v>600</v>
      </c>
      <c r="F108" s="48">
        <v>8278000</v>
      </c>
      <c r="G108" s="36"/>
      <c r="H108" s="48">
        <v>5132000</v>
      </c>
      <c r="I108" s="36"/>
      <c r="J108" s="30"/>
      <c r="K108" s="36"/>
      <c r="L108" s="48">
        <v>8567000</v>
      </c>
      <c r="M108" s="36"/>
      <c r="N108" s="30"/>
      <c r="O108" s="36"/>
      <c r="P108" s="48">
        <v>2683000</v>
      </c>
      <c r="Q108" s="36"/>
      <c r="R108" s="30"/>
      <c r="S108" s="36"/>
      <c r="T108" s="30"/>
      <c r="U108" s="36"/>
      <c r="V108" s="48">
        <v>2089000</v>
      </c>
      <c r="W108" s="36"/>
      <c r="X108" s="48">
        <v>1509000</v>
      </c>
      <c r="Y108" s="36"/>
      <c r="Z108" s="48">
        <v>2749000</v>
      </c>
      <c r="AA108" s="36"/>
      <c r="AB108" s="48">
        <v>3013000</v>
      </c>
      <c r="AC108" s="36"/>
      <c r="AD108" s="48">
        <v>3081000</v>
      </c>
      <c r="AE108" s="36"/>
      <c r="AF108" s="48">
        <v>3569000</v>
      </c>
      <c r="AG108" s="36"/>
      <c r="AH108" s="48">
        <v>3569000</v>
      </c>
      <c r="AI108" s="36"/>
      <c r="AJ108" s="48">
        <v>3008000</v>
      </c>
      <c r="AK108" s="36"/>
      <c r="AL108" s="48">
        <v>3992000</v>
      </c>
      <c r="AM108" s="36"/>
      <c r="AN108" s="48">
        <v>2089000</v>
      </c>
      <c r="AO108" s="36"/>
      <c r="AP108" s="48">
        <v>3622000</v>
      </c>
      <c r="AQ108" s="36"/>
      <c r="AR108" s="48">
        <v>4020000</v>
      </c>
      <c r="AS108" s="36"/>
      <c r="AT108" s="48">
        <v>3622000</v>
      </c>
      <c r="AU108" s="36"/>
      <c r="AV108" s="48">
        <v>3764000</v>
      </c>
      <c r="AW108" s="36"/>
      <c r="AX108" s="48">
        <v>3663000</v>
      </c>
      <c r="AY108" s="36"/>
      <c r="AZ108" s="48">
        <v>3891000</v>
      </c>
      <c r="BA108" s="36"/>
      <c r="BB108" s="48">
        <v>2498000</v>
      </c>
      <c r="BC108" s="36"/>
      <c r="BD108" s="48">
        <v>2498000</v>
      </c>
      <c r="BE108" s="36"/>
      <c r="BF108" s="48">
        <v>2498000</v>
      </c>
      <c r="BG108" s="36"/>
      <c r="BH108" s="48">
        <v>2498000</v>
      </c>
      <c r="BI108" s="36"/>
      <c r="BJ108" s="48">
        <v>2471000</v>
      </c>
      <c r="BK108" s="36"/>
      <c r="BL108" s="48">
        <v>2642000</v>
      </c>
      <c r="BM108" s="36"/>
      <c r="BN108" s="48">
        <v>2642000</v>
      </c>
      <c r="BO108" s="36"/>
      <c r="BP108" s="48">
        <v>2606000</v>
      </c>
      <c r="BQ108" s="36"/>
      <c r="BR108" s="48">
        <v>2498000</v>
      </c>
      <c r="BS108" s="36"/>
      <c r="BT108" s="48">
        <v>2462000</v>
      </c>
      <c r="BU108" s="36"/>
      <c r="BV108" s="48">
        <v>2462000</v>
      </c>
      <c r="BW108" s="36"/>
      <c r="BX108" s="48">
        <v>2462000</v>
      </c>
      <c r="BY108" s="36"/>
      <c r="BZ108" s="48">
        <v>2248000</v>
      </c>
      <c r="CA108" s="36"/>
      <c r="CB108" s="48">
        <v>2074000</v>
      </c>
      <c r="CC108" s="36"/>
      <c r="CD108" s="48">
        <v>2074000</v>
      </c>
      <c r="CE108" s="36"/>
      <c r="CF108" s="48">
        <v>2248000</v>
      </c>
      <c r="CG108" s="36"/>
      <c r="CH108" s="48">
        <v>3328000</v>
      </c>
      <c r="CI108" s="36"/>
    </row>
    <row r="109" spans="1:87">
      <c r="A109" s="53"/>
      <c r="B109" s="54" t="s">
        <v>158</v>
      </c>
      <c r="C109" s="55">
        <v>320</v>
      </c>
      <c r="D109" s="55">
        <v>740</v>
      </c>
      <c r="E109" s="55">
        <v>900</v>
      </c>
      <c r="F109" s="48">
        <v>11099000</v>
      </c>
      <c r="G109" s="36"/>
      <c r="H109" s="48">
        <v>6878000</v>
      </c>
      <c r="I109" s="36"/>
      <c r="J109" s="30"/>
      <c r="K109" s="36"/>
      <c r="L109" s="48">
        <v>11487000</v>
      </c>
      <c r="M109" s="36"/>
      <c r="N109" s="30"/>
      <c r="O109" s="36"/>
      <c r="P109" s="48">
        <v>3559000</v>
      </c>
      <c r="Q109" s="36"/>
      <c r="R109" s="30"/>
      <c r="S109" s="36"/>
      <c r="T109" s="30"/>
      <c r="U109" s="36"/>
      <c r="V109" s="48">
        <v>2784000</v>
      </c>
      <c r="W109" s="36"/>
      <c r="X109" s="48">
        <v>2006000</v>
      </c>
      <c r="Y109" s="36"/>
      <c r="Z109" s="48">
        <v>3655000</v>
      </c>
      <c r="AA109" s="36"/>
      <c r="AB109" s="48">
        <v>4002000</v>
      </c>
      <c r="AC109" s="36"/>
      <c r="AD109" s="48">
        <v>4084000</v>
      </c>
      <c r="AE109" s="36"/>
      <c r="AF109" s="48">
        <v>4729000</v>
      </c>
      <c r="AG109" s="36"/>
      <c r="AH109" s="48">
        <v>4729000</v>
      </c>
      <c r="AI109" s="36"/>
      <c r="AJ109" s="48">
        <v>4000000</v>
      </c>
      <c r="AK109" s="36"/>
      <c r="AL109" s="48">
        <v>5317000</v>
      </c>
      <c r="AM109" s="36"/>
      <c r="AN109" s="48">
        <v>2770000</v>
      </c>
      <c r="AO109" s="36"/>
      <c r="AP109" s="48">
        <v>4818000</v>
      </c>
      <c r="AQ109" s="36"/>
      <c r="AR109" s="48">
        <v>5352000</v>
      </c>
      <c r="AS109" s="36"/>
      <c r="AT109" s="48">
        <v>4818000</v>
      </c>
      <c r="AU109" s="36"/>
      <c r="AV109" s="48">
        <v>5011000</v>
      </c>
      <c r="AW109" s="36"/>
      <c r="AX109" s="48">
        <v>4876000</v>
      </c>
      <c r="AY109" s="36"/>
      <c r="AZ109" s="48">
        <v>5181000</v>
      </c>
      <c r="BA109" s="36"/>
      <c r="BB109" s="48">
        <v>3331000</v>
      </c>
      <c r="BC109" s="36"/>
      <c r="BD109" s="48">
        <v>3331000</v>
      </c>
      <c r="BE109" s="36"/>
      <c r="BF109" s="48">
        <v>3331000</v>
      </c>
      <c r="BG109" s="36"/>
      <c r="BH109" s="48">
        <v>3331000</v>
      </c>
      <c r="BI109" s="36"/>
      <c r="BJ109" s="48">
        <v>3295000</v>
      </c>
      <c r="BK109" s="36"/>
      <c r="BL109" s="48">
        <v>3525000</v>
      </c>
      <c r="BM109" s="36"/>
      <c r="BN109" s="48">
        <v>3525000</v>
      </c>
      <c r="BO109" s="36"/>
      <c r="BP109" s="48">
        <v>3477000</v>
      </c>
      <c r="BQ109" s="36"/>
      <c r="BR109" s="48">
        <v>3331000</v>
      </c>
      <c r="BS109" s="36"/>
      <c r="BT109" s="48">
        <v>3283000</v>
      </c>
      <c r="BU109" s="36"/>
      <c r="BV109" s="48">
        <v>3283000</v>
      </c>
      <c r="BW109" s="36"/>
      <c r="BX109" s="48">
        <v>3283000</v>
      </c>
      <c r="BY109" s="36"/>
      <c r="BZ109" s="48">
        <v>2962000</v>
      </c>
      <c r="CA109" s="36"/>
      <c r="CB109" s="48">
        <v>2729000</v>
      </c>
      <c r="CC109" s="36"/>
      <c r="CD109" s="48">
        <v>2729000</v>
      </c>
      <c r="CE109" s="36"/>
      <c r="CF109" s="48">
        <v>2962000</v>
      </c>
      <c r="CG109" s="36"/>
      <c r="CH109" s="48">
        <v>4420000</v>
      </c>
      <c r="CI109" s="36"/>
    </row>
    <row r="110" spans="1:87" ht="63" customHeight="1">
      <c r="A110" s="20" t="e">
        <f ca="1">_xludf.image("https://lh3.google.com/u/0/d/1zLZR5QfPcQw6WwsvWsCDT04UUSktqtBp",1)</f>
        <v>#NAME?</v>
      </c>
      <c r="B110" s="45" t="s">
        <v>159</v>
      </c>
      <c r="C110" s="139" t="e">
        <f ca="1">_xludf.image("https://lh3.google.com/u/0/d/1fwhPIls9CAPKsAMZV_hDIJPHOIhhITvU",1)</f>
        <v>#NAME?</v>
      </c>
      <c r="D110" s="136"/>
      <c r="E110" s="137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  <c r="AB110" s="46"/>
      <c r="AC110" s="46"/>
      <c r="AD110" s="46"/>
      <c r="AE110" s="46"/>
      <c r="AF110" s="46"/>
      <c r="AG110" s="46"/>
      <c r="AH110" s="46"/>
      <c r="AI110" s="46"/>
      <c r="AJ110" s="46"/>
      <c r="AK110" s="46"/>
      <c r="AL110" s="46"/>
      <c r="AM110" s="46"/>
      <c r="AN110" s="46"/>
      <c r="AO110" s="46"/>
      <c r="AP110" s="46"/>
      <c r="AQ110" s="46"/>
      <c r="AR110" s="46"/>
      <c r="AS110" s="46"/>
      <c r="AT110" s="46"/>
      <c r="AU110" s="46"/>
      <c r="AV110" s="46"/>
      <c r="AW110" s="46"/>
      <c r="AX110" s="46"/>
      <c r="AY110" s="46"/>
      <c r="AZ110" s="46"/>
      <c r="BA110" s="46"/>
      <c r="BB110" s="46"/>
      <c r="BC110" s="46"/>
      <c r="BD110" s="46"/>
      <c r="BE110" s="46"/>
      <c r="BF110" s="46"/>
      <c r="BG110" s="46"/>
      <c r="BH110" s="46"/>
      <c r="BI110" s="46"/>
      <c r="BJ110" s="46"/>
      <c r="BK110" s="46"/>
      <c r="BL110" s="46"/>
      <c r="BM110" s="46"/>
      <c r="BN110" s="46"/>
      <c r="BO110" s="46"/>
      <c r="BP110" s="46"/>
      <c r="BQ110" s="46"/>
      <c r="BR110" s="46"/>
      <c r="BS110" s="46"/>
      <c r="BT110" s="46"/>
      <c r="BU110" s="46"/>
      <c r="BV110" s="46"/>
      <c r="BW110" s="46"/>
      <c r="BX110" s="46"/>
      <c r="BY110" s="46"/>
      <c r="BZ110" s="46"/>
      <c r="CA110" s="46"/>
      <c r="CB110" s="46"/>
      <c r="CC110" s="46"/>
      <c r="CD110" s="46"/>
      <c r="CE110" s="46"/>
      <c r="CF110" s="46"/>
      <c r="CG110" s="46"/>
      <c r="CH110" s="46"/>
      <c r="CI110" s="46"/>
    </row>
    <row r="111" spans="1:87">
      <c r="A111" s="43"/>
      <c r="B111" s="25" t="s">
        <v>160</v>
      </c>
      <c r="C111" s="26">
        <v>620</v>
      </c>
      <c r="D111" s="26">
        <v>600</v>
      </c>
      <c r="E111" s="50"/>
      <c r="F111" s="42">
        <v>1901000</v>
      </c>
      <c r="G111" s="30"/>
      <c r="H111" s="42">
        <v>1118000</v>
      </c>
      <c r="I111" s="30"/>
      <c r="J111" s="29"/>
      <c r="K111" s="30"/>
      <c r="L111" s="42">
        <v>1973000</v>
      </c>
      <c r="M111" s="30"/>
      <c r="N111" s="29"/>
      <c r="O111" s="30"/>
      <c r="P111" s="27">
        <v>965000</v>
      </c>
      <c r="Q111" s="30"/>
      <c r="R111" s="27">
        <v>2370000</v>
      </c>
      <c r="S111" s="30"/>
      <c r="T111" s="29"/>
      <c r="U111" s="30"/>
      <c r="V111" s="42">
        <v>366000</v>
      </c>
      <c r="W111" s="30"/>
      <c r="X111" s="42">
        <v>222000</v>
      </c>
      <c r="Y111" s="30"/>
      <c r="Z111" s="42">
        <v>539000</v>
      </c>
      <c r="AA111" s="30"/>
      <c r="AB111" s="42">
        <v>609000</v>
      </c>
      <c r="AC111" s="30"/>
      <c r="AD111" s="42">
        <v>631000</v>
      </c>
      <c r="AE111" s="30"/>
      <c r="AF111" s="42">
        <v>758000</v>
      </c>
      <c r="AG111" s="30"/>
      <c r="AH111" s="42">
        <v>758000</v>
      </c>
      <c r="AI111" s="30"/>
      <c r="AJ111" s="42">
        <v>605000</v>
      </c>
      <c r="AK111" s="30"/>
      <c r="AL111" s="42">
        <v>851000</v>
      </c>
      <c r="AM111" s="30"/>
      <c r="AN111" s="42">
        <v>374000</v>
      </c>
      <c r="AO111" s="30"/>
      <c r="AP111" s="42">
        <v>761000</v>
      </c>
      <c r="AQ111" s="30"/>
      <c r="AR111" s="42">
        <v>860000</v>
      </c>
      <c r="AS111" s="30"/>
      <c r="AT111" s="42">
        <v>761000</v>
      </c>
      <c r="AU111" s="30"/>
      <c r="AV111" s="42">
        <v>795000</v>
      </c>
      <c r="AW111" s="30"/>
      <c r="AX111" s="42">
        <v>770000</v>
      </c>
      <c r="AY111" s="30"/>
      <c r="AZ111" s="42">
        <v>827000</v>
      </c>
      <c r="BA111" s="30"/>
      <c r="BB111" s="42">
        <v>469000</v>
      </c>
      <c r="BC111" s="30"/>
      <c r="BD111" s="42">
        <v>469000</v>
      </c>
      <c r="BE111" s="30"/>
      <c r="BF111" s="42">
        <v>469000</v>
      </c>
      <c r="BG111" s="30"/>
      <c r="BH111" s="42">
        <v>469000</v>
      </c>
      <c r="BI111" s="30"/>
      <c r="BJ111" s="42">
        <v>462000</v>
      </c>
      <c r="BK111" s="30"/>
      <c r="BL111" s="42">
        <v>505000</v>
      </c>
      <c r="BM111" s="30"/>
      <c r="BN111" s="42">
        <v>505000</v>
      </c>
      <c r="BO111" s="30"/>
      <c r="BP111" s="42">
        <v>496000</v>
      </c>
      <c r="BQ111" s="30"/>
      <c r="BR111" s="42">
        <v>469000</v>
      </c>
      <c r="BS111" s="30"/>
      <c r="BT111" s="42">
        <v>460000</v>
      </c>
      <c r="BU111" s="30"/>
      <c r="BV111" s="42">
        <v>460000</v>
      </c>
      <c r="BW111" s="30"/>
      <c r="BX111" s="42">
        <v>460000</v>
      </c>
      <c r="BY111" s="30"/>
      <c r="BZ111" s="42">
        <v>426000</v>
      </c>
      <c r="CA111" s="30"/>
      <c r="CB111" s="42">
        <v>383000</v>
      </c>
      <c r="CC111" s="30"/>
      <c r="CD111" s="42">
        <v>383000</v>
      </c>
      <c r="CE111" s="30"/>
      <c r="CF111" s="42">
        <v>426000</v>
      </c>
      <c r="CG111" s="30"/>
      <c r="CH111" s="42">
        <v>690000</v>
      </c>
      <c r="CI111" s="30"/>
    </row>
    <row r="112" spans="1:87">
      <c r="A112" s="43"/>
      <c r="B112" s="25" t="s">
        <v>161</v>
      </c>
      <c r="C112" s="26">
        <v>620</v>
      </c>
      <c r="D112" s="26">
        <v>740</v>
      </c>
      <c r="E112" s="50"/>
      <c r="F112" s="42">
        <v>2345000</v>
      </c>
      <c r="G112" s="30"/>
      <c r="H112" s="42">
        <v>1378000</v>
      </c>
      <c r="I112" s="30"/>
      <c r="J112" s="29"/>
      <c r="K112" s="30"/>
      <c r="L112" s="42">
        <v>2434000</v>
      </c>
      <c r="M112" s="30"/>
      <c r="N112" s="29"/>
      <c r="O112" s="30"/>
      <c r="P112" s="27">
        <v>1111000</v>
      </c>
      <c r="Q112" s="30"/>
      <c r="R112" s="27">
        <v>2953000</v>
      </c>
      <c r="S112" s="30"/>
      <c r="T112" s="29"/>
      <c r="U112" s="30"/>
      <c r="V112" s="42">
        <v>448000</v>
      </c>
      <c r="W112" s="30"/>
      <c r="X112" s="42">
        <v>270000</v>
      </c>
      <c r="Y112" s="30"/>
      <c r="Z112" s="42">
        <v>656000</v>
      </c>
      <c r="AA112" s="30"/>
      <c r="AB112" s="42">
        <v>739000</v>
      </c>
      <c r="AC112" s="30"/>
      <c r="AD112" s="42">
        <v>764000</v>
      </c>
      <c r="AE112" s="30"/>
      <c r="AF112" s="42">
        <v>917000</v>
      </c>
      <c r="AG112" s="30"/>
      <c r="AH112" s="42">
        <v>917000</v>
      </c>
      <c r="AI112" s="30"/>
      <c r="AJ112" s="42">
        <v>736000</v>
      </c>
      <c r="AK112" s="30"/>
      <c r="AL112" s="42">
        <v>1039000</v>
      </c>
      <c r="AM112" s="30"/>
      <c r="AN112" s="42">
        <v>453000</v>
      </c>
      <c r="AO112" s="30"/>
      <c r="AP112" s="42">
        <v>927000</v>
      </c>
      <c r="AQ112" s="30"/>
      <c r="AR112" s="42">
        <v>1049000</v>
      </c>
      <c r="AS112" s="30"/>
      <c r="AT112" s="42">
        <v>927000</v>
      </c>
      <c r="AU112" s="30"/>
      <c r="AV112" s="42">
        <v>970000</v>
      </c>
      <c r="AW112" s="30"/>
      <c r="AX112" s="42">
        <v>939000</v>
      </c>
      <c r="AY112" s="30"/>
      <c r="AZ112" s="42">
        <v>1009000</v>
      </c>
      <c r="BA112" s="30"/>
      <c r="BB112" s="42">
        <v>574000</v>
      </c>
      <c r="BC112" s="30"/>
      <c r="BD112" s="42">
        <v>574000</v>
      </c>
      <c r="BE112" s="30"/>
      <c r="BF112" s="42">
        <v>574000</v>
      </c>
      <c r="BG112" s="30"/>
      <c r="BH112" s="42">
        <v>574000</v>
      </c>
      <c r="BI112" s="30"/>
      <c r="BJ112" s="42">
        <v>566000</v>
      </c>
      <c r="BK112" s="30"/>
      <c r="BL112" s="42">
        <v>618000</v>
      </c>
      <c r="BM112" s="30"/>
      <c r="BN112" s="42">
        <v>618000</v>
      </c>
      <c r="BO112" s="30"/>
      <c r="BP112" s="42">
        <v>607000</v>
      </c>
      <c r="BQ112" s="30"/>
      <c r="BR112" s="42">
        <v>574000</v>
      </c>
      <c r="BS112" s="30"/>
      <c r="BT112" s="42">
        <v>563000</v>
      </c>
      <c r="BU112" s="30"/>
      <c r="BV112" s="42">
        <v>563000</v>
      </c>
      <c r="BW112" s="30"/>
      <c r="BX112" s="42">
        <v>563000</v>
      </c>
      <c r="BY112" s="30"/>
      <c r="BZ112" s="42">
        <v>509000</v>
      </c>
      <c r="CA112" s="30"/>
      <c r="CB112" s="42">
        <v>456000</v>
      </c>
      <c r="CC112" s="30"/>
      <c r="CD112" s="42">
        <v>456000</v>
      </c>
      <c r="CE112" s="30"/>
      <c r="CF112" s="42">
        <v>509000</v>
      </c>
      <c r="CG112" s="30"/>
      <c r="CH112" s="42">
        <v>838000</v>
      </c>
      <c r="CI112" s="30"/>
    </row>
    <row r="113" spans="1:87">
      <c r="A113" s="43"/>
      <c r="B113" s="25" t="s">
        <v>162</v>
      </c>
      <c r="C113" s="26">
        <v>620</v>
      </c>
      <c r="D113" s="26">
        <v>850</v>
      </c>
      <c r="E113" s="50"/>
      <c r="F113" s="42">
        <v>2693000</v>
      </c>
      <c r="G113" s="30"/>
      <c r="H113" s="42">
        <v>1583000</v>
      </c>
      <c r="I113" s="30"/>
      <c r="J113" s="29"/>
      <c r="K113" s="30"/>
      <c r="L113" s="42">
        <v>2795000</v>
      </c>
      <c r="M113" s="30"/>
      <c r="N113" s="29"/>
      <c r="O113" s="30"/>
      <c r="P113" s="27">
        <v>1225000</v>
      </c>
      <c r="Q113" s="30"/>
      <c r="R113" s="27">
        <v>3411000</v>
      </c>
      <c r="S113" s="30"/>
      <c r="T113" s="29"/>
      <c r="U113" s="30"/>
      <c r="V113" s="42">
        <v>512000</v>
      </c>
      <c r="W113" s="30"/>
      <c r="X113" s="42">
        <v>307000</v>
      </c>
      <c r="Y113" s="30"/>
      <c r="Z113" s="42">
        <v>748000</v>
      </c>
      <c r="AA113" s="30"/>
      <c r="AB113" s="42">
        <v>842000</v>
      </c>
      <c r="AC113" s="30"/>
      <c r="AD113" s="42">
        <v>868000</v>
      </c>
      <c r="AE113" s="30"/>
      <c r="AF113" s="42">
        <v>1042000</v>
      </c>
      <c r="AG113" s="30"/>
      <c r="AH113" s="42">
        <v>1042000</v>
      </c>
      <c r="AI113" s="30"/>
      <c r="AJ113" s="42">
        <v>840000</v>
      </c>
      <c r="AK113" s="30"/>
      <c r="AL113" s="42">
        <v>1187000</v>
      </c>
      <c r="AM113" s="30"/>
      <c r="AN113" s="42">
        <v>515000</v>
      </c>
      <c r="AO113" s="30"/>
      <c r="AP113" s="42">
        <v>1057000</v>
      </c>
      <c r="AQ113" s="30"/>
      <c r="AR113" s="42">
        <v>1198000</v>
      </c>
      <c r="AS113" s="30"/>
      <c r="AT113" s="42">
        <v>1057000</v>
      </c>
      <c r="AU113" s="30"/>
      <c r="AV113" s="42">
        <v>1107000</v>
      </c>
      <c r="AW113" s="30"/>
      <c r="AX113" s="42">
        <v>1071000</v>
      </c>
      <c r="AY113" s="30"/>
      <c r="AZ113" s="42">
        <v>1152000</v>
      </c>
      <c r="BA113" s="30"/>
      <c r="BB113" s="42">
        <v>656000</v>
      </c>
      <c r="BC113" s="30"/>
      <c r="BD113" s="42">
        <v>656000</v>
      </c>
      <c r="BE113" s="30"/>
      <c r="BF113" s="42">
        <v>656000</v>
      </c>
      <c r="BG113" s="30"/>
      <c r="BH113" s="42">
        <v>656000</v>
      </c>
      <c r="BI113" s="30"/>
      <c r="BJ113" s="42">
        <v>647000</v>
      </c>
      <c r="BK113" s="30"/>
      <c r="BL113" s="42">
        <v>707000</v>
      </c>
      <c r="BM113" s="30"/>
      <c r="BN113" s="42">
        <v>707000</v>
      </c>
      <c r="BO113" s="30"/>
      <c r="BP113" s="42">
        <v>694000</v>
      </c>
      <c r="BQ113" s="30"/>
      <c r="BR113" s="42">
        <v>656000</v>
      </c>
      <c r="BS113" s="30"/>
      <c r="BT113" s="42">
        <v>644000</v>
      </c>
      <c r="BU113" s="30"/>
      <c r="BV113" s="42">
        <v>644000</v>
      </c>
      <c r="BW113" s="30"/>
      <c r="BX113" s="42">
        <v>644000</v>
      </c>
      <c r="BY113" s="30"/>
      <c r="BZ113" s="42">
        <v>575000</v>
      </c>
      <c r="CA113" s="30"/>
      <c r="CB113" s="42">
        <v>514000</v>
      </c>
      <c r="CC113" s="30"/>
      <c r="CD113" s="42">
        <v>514000</v>
      </c>
      <c r="CE113" s="30"/>
      <c r="CF113" s="42">
        <v>575000</v>
      </c>
      <c r="CG113" s="30"/>
      <c r="CH113" s="42">
        <v>954000</v>
      </c>
      <c r="CI113" s="30"/>
    </row>
    <row r="114" spans="1:87">
      <c r="A114" s="43"/>
      <c r="B114" s="25" t="s">
        <v>163</v>
      </c>
      <c r="C114" s="26">
        <v>620</v>
      </c>
      <c r="D114" s="26">
        <v>1100</v>
      </c>
      <c r="E114" s="50"/>
      <c r="F114" s="42">
        <v>3485000</v>
      </c>
      <c r="G114" s="30"/>
      <c r="H114" s="42">
        <v>2049000</v>
      </c>
      <c r="I114" s="30"/>
      <c r="J114" s="29"/>
      <c r="K114" s="30"/>
      <c r="L114" s="42">
        <v>3617000</v>
      </c>
      <c r="M114" s="30"/>
      <c r="N114" s="29"/>
      <c r="O114" s="30"/>
      <c r="P114" s="27">
        <v>1485000</v>
      </c>
      <c r="Q114" s="30"/>
      <c r="R114" s="27">
        <v>4451000</v>
      </c>
      <c r="S114" s="30"/>
      <c r="T114" s="29"/>
      <c r="U114" s="30"/>
      <c r="V114" s="42">
        <v>657000</v>
      </c>
      <c r="W114" s="30"/>
      <c r="X114" s="42">
        <v>392000</v>
      </c>
      <c r="Y114" s="30"/>
      <c r="Z114" s="42">
        <v>956000</v>
      </c>
      <c r="AA114" s="30"/>
      <c r="AB114" s="42">
        <v>1075000</v>
      </c>
      <c r="AC114" s="30"/>
      <c r="AD114" s="42">
        <v>1105000</v>
      </c>
      <c r="AE114" s="30"/>
      <c r="AF114" s="42">
        <v>1326000</v>
      </c>
      <c r="AG114" s="30"/>
      <c r="AH114" s="42">
        <v>1326000</v>
      </c>
      <c r="AI114" s="30"/>
      <c r="AJ114" s="42">
        <v>1074000</v>
      </c>
      <c r="AK114" s="30"/>
      <c r="AL114" s="42">
        <v>1523000</v>
      </c>
      <c r="AM114" s="30"/>
      <c r="AN114" s="42">
        <v>655000</v>
      </c>
      <c r="AO114" s="30"/>
      <c r="AP114" s="42">
        <v>1354000</v>
      </c>
      <c r="AQ114" s="30"/>
      <c r="AR114" s="42">
        <v>1535000</v>
      </c>
      <c r="AS114" s="30"/>
      <c r="AT114" s="42">
        <v>1354000</v>
      </c>
      <c r="AU114" s="30"/>
      <c r="AV114" s="42">
        <v>1419000</v>
      </c>
      <c r="AW114" s="30"/>
      <c r="AX114" s="42">
        <v>1373000</v>
      </c>
      <c r="AY114" s="30"/>
      <c r="AZ114" s="42">
        <v>1477000</v>
      </c>
      <c r="BA114" s="30"/>
      <c r="BB114" s="42">
        <v>844000</v>
      </c>
      <c r="BC114" s="30"/>
      <c r="BD114" s="42">
        <v>844000</v>
      </c>
      <c r="BE114" s="30"/>
      <c r="BF114" s="42">
        <v>844000</v>
      </c>
      <c r="BG114" s="30"/>
      <c r="BH114" s="42">
        <v>844000</v>
      </c>
      <c r="BI114" s="30"/>
      <c r="BJ114" s="42">
        <v>831000</v>
      </c>
      <c r="BK114" s="30"/>
      <c r="BL114" s="42">
        <v>910000</v>
      </c>
      <c r="BM114" s="30"/>
      <c r="BN114" s="42">
        <v>910000</v>
      </c>
      <c r="BO114" s="30"/>
      <c r="BP114" s="42">
        <v>893000</v>
      </c>
      <c r="BQ114" s="30"/>
      <c r="BR114" s="42">
        <v>844000</v>
      </c>
      <c r="BS114" s="30"/>
      <c r="BT114" s="42">
        <v>827000</v>
      </c>
      <c r="BU114" s="30"/>
      <c r="BV114" s="42">
        <v>827000</v>
      </c>
      <c r="BW114" s="30"/>
      <c r="BX114" s="42">
        <v>827000</v>
      </c>
      <c r="BY114" s="30"/>
      <c r="BZ114" s="42">
        <v>724000</v>
      </c>
      <c r="CA114" s="30"/>
      <c r="CB114" s="42">
        <v>645000</v>
      </c>
      <c r="CC114" s="30"/>
      <c r="CD114" s="42">
        <v>645000</v>
      </c>
      <c r="CE114" s="30"/>
      <c r="CF114" s="42">
        <v>724000</v>
      </c>
      <c r="CG114" s="30"/>
      <c r="CH114" s="42">
        <v>1219000</v>
      </c>
      <c r="CI114" s="30"/>
    </row>
    <row r="115" spans="1:87">
      <c r="A115" s="43"/>
      <c r="B115" s="25" t="s">
        <v>164</v>
      </c>
      <c r="C115" s="26">
        <v>100</v>
      </c>
      <c r="D115" s="26">
        <v>840</v>
      </c>
      <c r="E115" s="50"/>
      <c r="F115" s="42">
        <v>451000</v>
      </c>
      <c r="G115" s="30"/>
      <c r="H115" s="42">
        <v>265000</v>
      </c>
      <c r="I115" s="30"/>
      <c r="J115" s="29"/>
      <c r="K115" s="30"/>
      <c r="L115" s="42">
        <v>468000</v>
      </c>
      <c r="M115" s="30"/>
      <c r="N115" s="29"/>
      <c r="O115" s="30"/>
      <c r="P115" s="42">
        <v>171000</v>
      </c>
      <c r="Q115" s="48">
        <v>171000</v>
      </c>
      <c r="R115" s="42">
        <v>171000</v>
      </c>
      <c r="S115" s="48">
        <v>171000</v>
      </c>
      <c r="T115" s="29"/>
      <c r="U115" s="30"/>
      <c r="V115" s="42">
        <v>101000</v>
      </c>
      <c r="W115" s="30"/>
      <c r="X115" s="42">
        <v>69000</v>
      </c>
      <c r="Y115" s="30"/>
      <c r="Z115" s="42">
        <v>163000</v>
      </c>
      <c r="AA115" s="30"/>
      <c r="AB115" s="42">
        <v>189000</v>
      </c>
      <c r="AC115" s="30"/>
      <c r="AD115" s="42">
        <v>210000</v>
      </c>
      <c r="AE115" s="30"/>
      <c r="AF115" s="42">
        <v>251000</v>
      </c>
      <c r="AG115" s="30"/>
      <c r="AH115" s="42">
        <v>251000</v>
      </c>
      <c r="AI115" s="30"/>
      <c r="AJ115" s="42">
        <v>182000</v>
      </c>
      <c r="AK115" s="30"/>
      <c r="AL115" s="42">
        <v>241000</v>
      </c>
      <c r="AM115" s="30"/>
      <c r="AN115" s="42">
        <v>125000</v>
      </c>
      <c r="AO115" s="30"/>
      <c r="AP115" s="42">
        <v>226000</v>
      </c>
      <c r="AQ115" s="30"/>
      <c r="AR115" s="42">
        <v>248000</v>
      </c>
      <c r="AS115" s="30"/>
      <c r="AT115" s="42">
        <v>226000</v>
      </c>
      <c r="AU115" s="30"/>
      <c r="AV115" s="42">
        <v>229000</v>
      </c>
      <c r="AW115" s="30"/>
      <c r="AX115" s="42">
        <v>224000</v>
      </c>
      <c r="AY115" s="30"/>
      <c r="AZ115" s="42">
        <v>236000</v>
      </c>
      <c r="BA115" s="30"/>
      <c r="BB115" s="42">
        <v>126000</v>
      </c>
      <c r="BC115" s="30"/>
      <c r="BD115" s="42">
        <v>126000</v>
      </c>
      <c r="BE115" s="30"/>
      <c r="BF115" s="42">
        <v>126000</v>
      </c>
      <c r="BG115" s="30"/>
      <c r="BH115" s="42">
        <v>126000</v>
      </c>
      <c r="BI115" s="30"/>
      <c r="BJ115" s="42">
        <v>125000</v>
      </c>
      <c r="BK115" s="30"/>
      <c r="BL115" s="42">
        <v>134000</v>
      </c>
      <c r="BM115" s="30"/>
      <c r="BN115" s="42">
        <v>134000</v>
      </c>
      <c r="BO115" s="30"/>
      <c r="BP115" s="42">
        <v>132000</v>
      </c>
      <c r="BQ115" s="30"/>
      <c r="BR115" s="42">
        <v>126000</v>
      </c>
      <c r="BS115" s="30"/>
      <c r="BT115" s="42">
        <v>124000</v>
      </c>
      <c r="BU115" s="30"/>
      <c r="BV115" s="42">
        <v>124000</v>
      </c>
      <c r="BW115" s="30"/>
      <c r="BX115" s="42">
        <v>124000</v>
      </c>
      <c r="BY115" s="30"/>
      <c r="BZ115" s="42">
        <v>169000</v>
      </c>
      <c r="CA115" s="30"/>
      <c r="CB115" s="42">
        <v>159000</v>
      </c>
      <c r="CC115" s="30"/>
      <c r="CD115" s="42">
        <v>159000</v>
      </c>
      <c r="CE115" s="30"/>
      <c r="CF115" s="42">
        <v>169000</v>
      </c>
      <c r="CG115" s="30"/>
      <c r="CH115" s="42">
        <v>215000</v>
      </c>
      <c r="CI115" s="30"/>
    </row>
    <row r="116" spans="1:87">
      <c r="A116" s="43"/>
      <c r="B116" s="25" t="s">
        <v>165</v>
      </c>
      <c r="C116" s="26">
        <v>100</v>
      </c>
      <c r="D116" s="26">
        <v>1100</v>
      </c>
      <c r="E116" s="50"/>
      <c r="F116" s="42">
        <v>591000</v>
      </c>
      <c r="G116" s="30"/>
      <c r="H116" s="42">
        <v>347000</v>
      </c>
      <c r="I116" s="30"/>
      <c r="J116" s="29"/>
      <c r="K116" s="30"/>
      <c r="L116" s="42">
        <v>613000</v>
      </c>
      <c r="M116" s="30"/>
      <c r="N116" s="29"/>
      <c r="O116" s="30"/>
      <c r="P116" s="42">
        <v>221000</v>
      </c>
      <c r="Q116" s="48">
        <v>221000</v>
      </c>
      <c r="R116" s="42">
        <v>221000</v>
      </c>
      <c r="S116" s="48">
        <v>221000</v>
      </c>
      <c r="T116" s="29"/>
      <c r="U116" s="30"/>
      <c r="V116" s="42">
        <v>132000</v>
      </c>
      <c r="W116" s="30"/>
      <c r="X116" s="42">
        <v>89000</v>
      </c>
      <c r="Y116" s="30"/>
      <c r="Z116" s="42">
        <v>212000</v>
      </c>
      <c r="AA116" s="30"/>
      <c r="AB116" s="42">
        <v>245000</v>
      </c>
      <c r="AC116" s="30"/>
      <c r="AD116" s="42">
        <v>271000</v>
      </c>
      <c r="AE116" s="30"/>
      <c r="AF116" s="42">
        <v>325000</v>
      </c>
      <c r="AG116" s="30"/>
      <c r="AH116" s="42">
        <v>325000</v>
      </c>
      <c r="AI116" s="30"/>
      <c r="AJ116" s="42">
        <v>235000</v>
      </c>
      <c r="AK116" s="30"/>
      <c r="AL116" s="42">
        <v>313000</v>
      </c>
      <c r="AM116" s="30"/>
      <c r="AN116" s="42">
        <v>162000</v>
      </c>
      <c r="AO116" s="30"/>
      <c r="AP116" s="42">
        <v>293000</v>
      </c>
      <c r="AQ116" s="30"/>
      <c r="AR116" s="42">
        <v>322000</v>
      </c>
      <c r="AS116" s="30"/>
      <c r="AT116" s="42">
        <v>293000</v>
      </c>
      <c r="AU116" s="30"/>
      <c r="AV116" s="42">
        <v>298000</v>
      </c>
      <c r="AW116" s="30"/>
      <c r="AX116" s="42">
        <v>290000</v>
      </c>
      <c r="AY116" s="30"/>
      <c r="AZ116" s="42">
        <v>307000</v>
      </c>
      <c r="BA116" s="30"/>
      <c r="BB116" s="42">
        <v>164000</v>
      </c>
      <c r="BC116" s="30"/>
      <c r="BD116" s="42">
        <v>164000</v>
      </c>
      <c r="BE116" s="30"/>
      <c r="BF116" s="42">
        <v>164000</v>
      </c>
      <c r="BG116" s="30"/>
      <c r="BH116" s="42">
        <v>164000</v>
      </c>
      <c r="BI116" s="30"/>
      <c r="BJ116" s="42">
        <v>162000</v>
      </c>
      <c r="BK116" s="30"/>
      <c r="BL116" s="42">
        <v>175000</v>
      </c>
      <c r="BM116" s="30"/>
      <c r="BN116" s="42">
        <v>175000</v>
      </c>
      <c r="BO116" s="30"/>
      <c r="BP116" s="42">
        <v>172000</v>
      </c>
      <c r="BQ116" s="30"/>
      <c r="BR116" s="42">
        <v>164000</v>
      </c>
      <c r="BS116" s="30"/>
      <c r="BT116" s="42">
        <v>162000</v>
      </c>
      <c r="BU116" s="30"/>
      <c r="BV116" s="42">
        <v>162000</v>
      </c>
      <c r="BW116" s="30"/>
      <c r="BX116" s="42">
        <v>162000</v>
      </c>
      <c r="BY116" s="30"/>
      <c r="BZ116" s="42">
        <v>218000</v>
      </c>
      <c r="CA116" s="30"/>
      <c r="CB116" s="42">
        <v>205000</v>
      </c>
      <c r="CC116" s="30"/>
      <c r="CD116" s="42">
        <v>205000</v>
      </c>
      <c r="CE116" s="30"/>
      <c r="CF116" s="42">
        <v>218000</v>
      </c>
      <c r="CG116" s="30"/>
      <c r="CH116" s="42">
        <v>278000</v>
      </c>
      <c r="CI116" s="30"/>
    </row>
    <row r="117" spans="1:87">
      <c r="A117" s="43"/>
      <c r="B117" s="25" t="s">
        <v>166</v>
      </c>
      <c r="C117" s="26">
        <v>100</v>
      </c>
      <c r="D117" s="26" t="s">
        <v>167</v>
      </c>
      <c r="E117" s="50"/>
      <c r="F117" s="42">
        <v>200000</v>
      </c>
      <c r="G117" s="48">
        <v>200000</v>
      </c>
      <c r="H117" s="42">
        <v>200000</v>
      </c>
      <c r="I117" s="48">
        <v>200000</v>
      </c>
      <c r="J117" s="42">
        <v>200000</v>
      </c>
      <c r="K117" s="48">
        <v>200000</v>
      </c>
      <c r="L117" s="42">
        <v>200000</v>
      </c>
      <c r="M117" s="48">
        <v>200000</v>
      </c>
      <c r="N117" s="42">
        <v>200000</v>
      </c>
      <c r="O117" s="48">
        <v>200000</v>
      </c>
      <c r="P117" s="42">
        <v>200000</v>
      </c>
      <c r="Q117" s="48">
        <v>200000</v>
      </c>
      <c r="R117" s="42">
        <v>200000</v>
      </c>
      <c r="S117" s="48">
        <v>200000</v>
      </c>
      <c r="T117" s="42">
        <v>200000</v>
      </c>
      <c r="U117" s="48">
        <v>200000</v>
      </c>
      <c r="V117" s="42">
        <v>200000</v>
      </c>
      <c r="W117" s="48">
        <v>200000</v>
      </c>
      <c r="X117" s="42">
        <v>200000</v>
      </c>
      <c r="Y117" s="48">
        <v>200000</v>
      </c>
      <c r="Z117" s="42">
        <v>200000</v>
      </c>
      <c r="AA117" s="48">
        <v>200000</v>
      </c>
      <c r="AB117" s="42">
        <v>200000</v>
      </c>
      <c r="AC117" s="48">
        <v>200000</v>
      </c>
      <c r="AD117" s="42">
        <v>200000</v>
      </c>
      <c r="AE117" s="48">
        <v>200000</v>
      </c>
      <c r="AF117" s="42">
        <v>200000</v>
      </c>
      <c r="AG117" s="48">
        <v>200000</v>
      </c>
      <c r="AH117" s="42">
        <v>200000</v>
      </c>
      <c r="AI117" s="48">
        <v>200000</v>
      </c>
      <c r="AJ117" s="42">
        <v>200000</v>
      </c>
      <c r="AK117" s="48">
        <v>200000</v>
      </c>
      <c r="AL117" s="42">
        <v>200000</v>
      </c>
      <c r="AM117" s="48">
        <v>200000</v>
      </c>
      <c r="AN117" s="42">
        <v>200000</v>
      </c>
      <c r="AO117" s="48">
        <v>200000</v>
      </c>
      <c r="AP117" s="42">
        <v>200000</v>
      </c>
      <c r="AQ117" s="48">
        <v>200000</v>
      </c>
      <c r="AR117" s="42">
        <v>200000</v>
      </c>
      <c r="AS117" s="48">
        <v>200000</v>
      </c>
      <c r="AT117" s="42">
        <v>200000</v>
      </c>
      <c r="AU117" s="48">
        <v>200000</v>
      </c>
      <c r="AV117" s="42">
        <v>200000</v>
      </c>
      <c r="AW117" s="48">
        <v>200000</v>
      </c>
      <c r="AX117" s="42">
        <v>200000</v>
      </c>
      <c r="AY117" s="48">
        <v>200000</v>
      </c>
      <c r="AZ117" s="42">
        <v>200000</v>
      </c>
      <c r="BA117" s="48">
        <v>200000</v>
      </c>
      <c r="BB117" s="42">
        <v>200000</v>
      </c>
      <c r="BC117" s="48">
        <v>200000</v>
      </c>
      <c r="BD117" s="42">
        <v>200000</v>
      </c>
      <c r="BE117" s="48">
        <v>200000</v>
      </c>
      <c r="BF117" s="42">
        <v>200000</v>
      </c>
      <c r="BG117" s="48">
        <v>200000</v>
      </c>
      <c r="BH117" s="42">
        <v>200000</v>
      </c>
      <c r="BI117" s="48">
        <v>200000</v>
      </c>
      <c r="BJ117" s="42">
        <v>200000</v>
      </c>
      <c r="BK117" s="48">
        <v>200000</v>
      </c>
      <c r="BL117" s="42">
        <v>200000</v>
      </c>
      <c r="BM117" s="48">
        <v>200000</v>
      </c>
      <c r="BN117" s="42">
        <v>200000</v>
      </c>
      <c r="BO117" s="48">
        <v>200000</v>
      </c>
      <c r="BP117" s="42">
        <v>200000</v>
      </c>
      <c r="BQ117" s="48">
        <v>200000</v>
      </c>
      <c r="BR117" s="42">
        <v>200000</v>
      </c>
      <c r="BS117" s="48">
        <v>200000</v>
      </c>
      <c r="BT117" s="42">
        <v>200000</v>
      </c>
      <c r="BU117" s="48">
        <v>200000</v>
      </c>
      <c r="BV117" s="42">
        <v>200000</v>
      </c>
      <c r="BW117" s="48">
        <v>200000</v>
      </c>
      <c r="BX117" s="42">
        <v>200000</v>
      </c>
      <c r="BY117" s="48">
        <v>200000</v>
      </c>
      <c r="BZ117" s="42">
        <v>200000</v>
      </c>
      <c r="CA117" s="48">
        <v>200000</v>
      </c>
      <c r="CB117" s="42">
        <v>200000</v>
      </c>
      <c r="CC117" s="48">
        <v>200000</v>
      </c>
      <c r="CD117" s="42">
        <v>200000</v>
      </c>
      <c r="CE117" s="48">
        <v>200000</v>
      </c>
      <c r="CF117" s="42">
        <v>200000</v>
      </c>
      <c r="CG117" s="48">
        <v>200000</v>
      </c>
      <c r="CH117" s="42">
        <v>200000</v>
      </c>
      <c r="CI117" s="48">
        <v>200000</v>
      </c>
    </row>
    <row r="118" spans="1:87">
      <c r="A118" s="43"/>
      <c r="B118" s="25" t="s">
        <v>168</v>
      </c>
      <c r="C118" s="50"/>
      <c r="D118" s="50"/>
      <c r="E118" s="50"/>
      <c r="F118" s="42">
        <v>3118000</v>
      </c>
      <c r="G118" s="48">
        <v>3118000</v>
      </c>
      <c r="H118" s="42">
        <v>3118000</v>
      </c>
      <c r="I118" s="48">
        <v>3118000</v>
      </c>
      <c r="J118" s="42">
        <v>3118000</v>
      </c>
      <c r="K118" s="48">
        <v>3118000</v>
      </c>
      <c r="L118" s="42">
        <v>3118000</v>
      </c>
      <c r="M118" s="48">
        <v>3118000</v>
      </c>
      <c r="N118" s="42">
        <v>3118000</v>
      </c>
      <c r="O118" s="48">
        <v>3118000</v>
      </c>
      <c r="P118" s="42">
        <v>3118000</v>
      </c>
      <c r="Q118" s="48">
        <v>3118000</v>
      </c>
      <c r="R118" s="42">
        <v>3118000</v>
      </c>
      <c r="S118" s="48">
        <v>3118000</v>
      </c>
      <c r="T118" s="42">
        <v>3118000</v>
      </c>
      <c r="U118" s="48">
        <v>3118000</v>
      </c>
      <c r="V118" s="42">
        <v>3118000</v>
      </c>
      <c r="W118" s="48">
        <v>3118000</v>
      </c>
      <c r="X118" s="42">
        <v>3118000</v>
      </c>
      <c r="Y118" s="48">
        <v>3118000</v>
      </c>
      <c r="Z118" s="42">
        <v>3118000</v>
      </c>
      <c r="AA118" s="48">
        <v>3118000</v>
      </c>
      <c r="AB118" s="42">
        <v>3118000</v>
      </c>
      <c r="AC118" s="48">
        <v>3118000</v>
      </c>
      <c r="AD118" s="42">
        <v>3118000</v>
      </c>
      <c r="AE118" s="48">
        <v>3118000</v>
      </c>
      <c r="AF118" s="42">
        <v>3118000</v>
      </c>
      <c r="AG118" s="48">
        <v>3118000</v>
      </c>
      <c r="AH118" s="42">
        <v>3118000</v>
      </c>
      <c r="AI118" s="48">
        <v>3118000</v>
      </c>
      <c r="AJ118" s="42">
        <v>3118000</v>
      </c>
      <c r="AK118" s="48">
        <v>3118000</v>
      </c>
      <c r="AL118" s="42">
        <v>3118000</v>
      </c>
      <c r="AM118" s="48">
        <v>3118000</v>
      </c>
      <c r="AN118" s="42">
        <v>3118000</v>
      </c>
      <c r="AO118" s="48">
        <v>3118000</v>
      </c>
      <c r="AP118" s="42">
        <v>3118000</v>
      </c>
      <c r="AQ118" s="48">
        <v>3118000</v>
      </c>
      <c r="AR118" s="42">
        <v>3118000</v>
      </c>
      <c r="AS118" s="48">
        <v>3118000</v>
      </c>
      <c r="AT118" s="42">
        <v>3118000</v>
      </c>
      <c r="AU118" s="48">
        <v>3118000</v>
      </c>
      <c r="AV118" s="42">
        <v>3118000</v>
      </c>
      <c r="AW118" s="48">
        <v>3118000</v>
      </c>
      <c r="AX118" s="42">
        <v>3118000</v>
      </c>
      <c r="AY118" s="48">
        <v>3118000</v>
      </c>
      <c r="AZ118" s="42">
        <v>3118000</v>
      </c>
      <c r="BA118" s="48">
        <v>3118000</v>
      </c>
      <c r="BB118" s="42">
        <v>3118000</v>
      </c>
      <c r="BC118" s="48">
        <v>3118000</v>
      </c>
      <c r="BD118" s="42">
        <v>3118000</v>
      </c>
      <c r="BE118" s="48">
        <v>3118000</v>
      </c>
      <c r="BF118" s="42">
        <v>3118000</v>
      </c>
      <c r="BG118" s="48">
        <v>3118000</v>
      </c>
      <c r="BH118" s="42">
        <v>3118000</v>
      </c>
      <c r="BI118" s="48">
        <v>3118000</v>
      </c>
      <c r="BJ118" s="42">
        <v>3118000</v>
      </c>
      <c r="BK118" s="48">
        <v>3118000</v>
      </c>
      <c r="BL118" s="42">
        <v>3118000</v>
      </c>
      <c r="BM118" s="48">
        <v>3118000</v>
      </c>
      <c r="BN118" s="42">
        <v>3118000</v>
      </c>
      <c r="BO118" s="48">
        <v>3118000</v>
      </c>
      <c r="BP118" s="42">
        <v>3118000</v>
      </c>
      <c r="BQ118" s="48">
        <v>3118000</v>
      </c>
      <c r="BR118" s="42">
        <v>3118000</v>
      </c>
      <c r="BS118" s="48">
        <v>3118000</v>
      </c>
      <c r="BT118" s="42">
        <v>3118000</v>
      </c>
      <c r="BU118" s="48">
        <v>3118000</v>
      </c>
      <c r="BV118" s="42">
        <v>3118000</v>
      </c>
      <c r="BW118" s="48">
        <v>3118000</v>
      </c>
      <c r="BX118" s="42">
        <v>3118000</v>
      </c>
      <c r="BY118" s="48">
        <v>3118000</v>
      </c>
      <c r="BZ118" s="42">
        <v>3118000</v>
      </c>
      <c r="CA118" s="48">
        <v>3118000</v>
      </c>
      <c r="CB118" s="42">
        <v>3118000</v>
      </c>
      <c r="CC118" s="48">
        <v>3118000</v>
      </c>
      <c r="CD118" s="42">
        <v>3118000</v>
      </c>
      <c r="CE118" s="48">
        <v>3118000</v>
      </c>
      <c r="CF118" s="42">
        <v>3118000</v>
      </c>
      <c r="CG118" s="48">
        <v>3118000</v>
      </c>
      <c r="CH118" s="42">
        <v>3118000</v>
      </c>
      <c r="CI118" s="48">
        <v>3118000</v>
      </c>
    </row>
    <row r="119" spans="1:87">
      <c r="A119" s="43"/>
      <c r="B119" s="25" t="s">
        <v>169</v>
      </c>
      <c r="C119" s="50"/>
      <c r="D119" s="50"/>
      <c r="E119" s="50"/>
      <c r="F119" s="42">
        <v>4345000</v>
      </c>
      <c r="G119" s="48">
        <v>4345000</v>
      </c>
      <c r="H119" s="42">
        <v>4345000</v>
      </c>
      <c r="I119" s="48">
        <v>4345000</v>
      </c>
      <c r="J119" s="42">
        <v>4345000</v>
      </c>
      <c r="K119" s="48">
        <v>4345000</v>
      </c>
      <c r="L119" s="42">
        <v>4345000</v>
      </c>
      <c r="M119" s="48">
        <v>4345000</v>
      </c>
      <c r="N119" s="42">
        <v>4345000</v>
      </c>
      <c r="O119" s="48">
        <v>4345000</v>
      </c>
      <c r="P119" s="42">
        <v>4345000</v>
      </c>
      <c r="Q119" s="48">
        <v>4345000</v>
      </c>
      <c r="R119" s="42">
        <v>4345000</v>
      </c>
      <c r="S119" s="48">
        <v>4345000</v>
      </c>
      <c r="T119" s="42">
        <v>4345000</v>
      </c>
      <c r="U119" s="48">
        <v>4345000</v>
      </c>
      <c r="V119" s="42">
        <v>4345000</v>
      </c>
      <c r="W119" s="48">
        <v>4345000</v>
      </c>
      <c r="X119" s="42">
        <v>4345000</v>
      </c>
      <c r="Y119" s="48">
        <v>4345000</v>
      </c>
      <c r="Z119" s="42">
        <v>4345000</v>
      </c>
      <c r="AA119" s="48">
        <v>4345000</v>
      </c>
      <c r="AB119" s="42">
        <v>4345000</v>
      </c>
      <c r="AC119" s="48">
        <v>4345000</v>
      </c>
      <c r="AD119" s="42">
        <v>4345000</v>
      </c>
      <c r="AE119" s="48">
        <v>4345000</v>
      </c>
      <c r="AF119" s="42">
        <v>4345000</v>
      </c>
      <c r="AG119" s="48">
        <v>4345000</v>
      </c>
      <c r="AH119" s="42">
        <v>4345000</v>
      </c>
      <c r="AI119" s="48">
        <v>4345000</v>
      </c>
      <c r="AJ119" s="42">
        <v>4345000</v>
      </c>
      <c r="AK119" s="48">
        <v>4345000</v>
      </c>
      <c r="AL119" s="42">
        <v>4345000</v>
      </c>
      <c r="AM119" s="48">
        <v>4345000</v>
      </c>
      <c r="AN119" s="42">
        <v>4345000</v>
      </c>
      <c r="AO119" s="48">
        <v>4345000</v>
      </c>
      <c r="AP119" s="42">
        <v>4345000</v>
      </c>
      <c r="AQ119" s="48">
        <v>4345000</v>
      </c>
      <c r="AR119" s="42">
        <v>4345000</v>
      </c>
      <c r="AS119" s="48">
        <v>4345000</v>
      </c>
      <c r="AT119" s="42">
        <v>4345000</v>
      </c>
      <c r="AU119" s="48">
        <v>4345000</v>
      </c>
      <c r="AV119" s="42">
        <v>4345000</v>
      </c>
      <c r="AW119" s="48">
        <v>4345000</v>
      </c>
      <c r="AX119" s="42">
        <v>4345000</v>
      </c>
      <c r="AY119" s="48">
        <v>4345000</v>
      </c>
      <c r="AZ119" s="42">
        <v>4345000</v>
      </c>
      <c r="BA119" s="48">
        <v>4345000</v>
      </c>
      <c r="BB119" s="42">
        <v>4345000</v>
      </c>
      <c r="BC119" s="48">
        <v>4345000</v>
      </c>
      <c r="BD119" s="42">
        <v>4345000</v>
      </c>
      <c r="BE119" s="48">
        <v>4345000</v>
      </c>
      <c r="BF119" s="42">
        <v>4345000</v>
      </c>
      <c r="BG119" s="48">
        <v>4345000</v>
      </c>
      <c r="BH119" s="42">
        <v>4345000</v>
      </c>
      <c r="BI119" s="48">
        <v>4345000</v>
      </c>
      <c r="BJ119" s="42">
        <v>4345000</v>
      </c>
      <c r="BK119" s="48">
        <v>4345000</v>
      </c>
      <c r="BL119" s="42">
        <v>4345000</v>
      </c>
      <c r="BM119" s="48">
        <v>4345000</v>
      </c>
      <c r="BN119" s="42">
        <v>4345000</v>
      </c>
      <c r="BO119" s="48">
        <v>4345000</v>
      </c>
      <c r="BP119" s="42">
        <v>4345000</v>
      </c>
      <c r="BQ119" s="48">
        <v>4345000</v>
      </c>
      <c r="BR119" s="42">
        <v>4345000</v>
      </c>
      <c r="BS119" s="48">
        <v>4345000</v>
      </c>
      <c r="BT119" s="42">
        <v>4345000</v>
      </c>
      <c r="BU119" s="48">
        <v>4345000</v>
      </c>
      <c r="BV119" s="42">
        <v>4345000</v>
      </c>
      <c r="BW119" s="48">
        <v>4345000</v>
      </c>
      <c r="BX119" s="42">
        <v>4345000</v>
      </c>
      <c r="BY119" s="48">
        <v>4345000</v>
      </c>
      <c r="BZ119" s="42">
        <v>4345000</v>
      </c>
      <c r="CA119" s="48">
        <v>4345000</v>
      </c>
      <c r="CB119" s="42">
        <v>4345000</v>
      </c>
      <c r="CC119" s="48">
        <v>4345000</v>
      </c>
      <c r="CD119" s="42">
        <v>4345000</v>
      </c>
      <c r="CE119" s="48">
        <v>4345000</v>
      </c>
      <c r="CF119" s="42">
        <v>4345000</v>
      </c>
      <c r="CG119" s="48">
        <v>4345000</v>
      </c>
      <c r="CH119" s="42">
        <v>4345000</v>
      </c>
      <c r="CI119" s="48">
        <v>4345000</v>
      </c>
    </row>
    <row r="120" spans="1:87">
      <c r="A120" s="43"/>
      <c r="B120" s="25" t="s">
        <v>170</v>
      </c>
      <c r="C120" s="26">
        <v>500</v>
      </c>
      <c r="D120" s="26">
        <v>250</v>
      </c>
      <c r="E120" s="26">
        <v>450</v>
      </c>
      <c r="F120" s="42">
        <v>9067000</v>
      </c>
      <c r="G120" s="30"/>
      <c r="H120" s="42">
        <v>8850000</v>
      </c>
      <c r="I120" s="30"/>
      <c r="J120" s="29"/>
      <c r="K120" s="29"/>
      <c r="L120" s="42">
        <v>9087000</v>
      </c>
      <c r="M120" s="30"/>
      <c r="N120" s="29"/>
      <c r="O120" s="29"/>
      <c r="P120" s="29"/>
      <c r="Q120" s="29"/>
      <c r="R120" s="29"/>
      <c r="S120" s="29"/>
      <c r="T120" s="29"/>
      <c r="U120" s="29"/>
      <c r="V120" s="42">
        <v>8652000</v>
      </c>
      <c r="W120" s="30"/>
      <c r="X120" s="42">
        <v>8612000</v>
      </c>
      <c r="Y120" s="30"/>
      <c r="Z120" s="42">
        <v>8712000</v>
      </c>
      <c r="AA120" s="30"/>
      <c r="AB120" s="42">
        <v>8737000</v>
      </c>
      <c r="AC120" s="30"/>
      <c r="AD120" s="42">
        <v>8752000</v>
      </c>
      <c r="AE120" s="30"/>
      <c r="AF120" s="42">
        <v>8794000</v>
      </c>
      <c r="AG120" s="30"/>
      <c r="AH120" s="42">
        <v>8794000</v>
      </c>
      <c r="AI120" s="30"/>
      <c r="AJ120" s="42">
        <v>8732000</v>
      </c>
      <c r="AK120" s="30"/>
      <c r="AL120" s="42">
        <v>8803000</v>
      </c>
      <c r="AM120" s="30"/>
      <c r="AN120" s="42">
        <v>8666000</v>
      </c>
      <c r="AO120" s="30"/>
      <c r="AP120" s="42">
        <v>8780000</v>
      </c>
      <c r="AQ120" s="30"/>
      <c r="AR120" s="42">
        <v>8808000</v>
      </c>
      <c r="AS120" s="30"/>
      <c r="AT120" s="42">
        <v>8780000</v>
      </c>
      <c r="AU120" s="30"/>
      <c r="AV120" s="42">
        <v>8788000</v>
      </c>
      <c r="AW120" s="30"/>
      <c r="AX120" s="42">
        <v>8781000</v>
      </c>
      <c r="AY120" s="30"/>
      <c r="AZ120" s="42">
        <v>8796000</v>
      </c>
      <c r="BA120" s="30"/>
      <c r="BB120" s="42">
        <v>8681000</v>
      </c>
      <c r="BC120" s="30"/>
      <c r="BD120" s="42">
        <v>8681000</v>
      </c>
      <c r="BE120" s="30"/>
      <c r="BF120" s="42">
        <v>8681000</v>
      </c>
      <c r="BG120" s="30"/>
      <c r="BH120" s="42">
        <v>8681000</v>
      </c>
      <c r="BI120" s="30"/>
      <c r="BJ120" s="42">
        <v>8679000</v>
      </c>
      <c r="BK120" s="30"/>
      <c r="BL120" s="42">
        <v>8691000</v>
      </c>
      <c r="BM120" s="30"/>
      <c r="BN120" s="42">
        <v>8691000</v>
      </c>
      <c r="BO120" s="30"/>
      <c r="BP120" s="42">
        <v>8689000</v>
      </c>
      <c r="BQ120" s="30"/>
      <c r="BR120" s="42">
        <v>8681000</v>
      </c>
      <c r="BS120" s="30"/>
      <c r="BT120" s="42">
        <v>8679000</v>
      </c>
      <c r="BU120" s="30"/>
      <c r="BV120" s="42">
        <v>8679000</v>
      </c>
      <c r="BW120" s="30"/>
      <c r="BX120" s="42">
        <v>8679000</v>
      </c>
      <c r="BY120" s="30"/>
      <c r="BZ120" s="42">
        <v>8698000</v>
      </c>
      <c r="CA120" s="30"/>
      <c r="CB120" s="42">
        <v>8686000</v>
      </c>
      <c r="CC120" s="30"/>
      <c r="CD120" s="42">
        <v>8686000</v>
      </c>
      <c r="CE120" s="30"/>
      <c r="CF120" s="42">
        <v>8698000</v>
      </c>
      <c r="CG120" s="30"/>
      <c r="CH120" s="42">
        <v>8763000</v>
      </c>
      <c r="CI120" s="30"/>
    </row>
    <row r="121" spans="1:87">
      <c r="A121" s="43"/>
      <c r="B121" s="25" t="s">
        <v>171</v>
      </c>
      <c r="C121" s="26">
        <v>500</v>
      </c>
      <c r="D121" s="26">
        <v>250</v>
      </c>
      <c r="E121" s="26">
        <v>600</v>
      </c>
      <c r="F121" s="42">
        <v>9426000</v>
      </c>
      <c r="G121" s="30"/>
      <c r="H121" s="42">
        <v>9134000</v>
      </c>
      <c r="I121" s="30"/>
      <c r="J121" s="29"/>
      <c r="K121" s="29"/>
      <c r="L121" s="42">
        <v>9453000</v>
      </c>
      <c r="M121" s="30"/>
      <c r="N121" s="29"/>
      <c r="O121" s="29"/>
      <c r="P121" s="29"/>
      <c r="Q121" s="29"/>
      <c r="R121" s="29"/>
      <c r="S121" s="29"/>
      <c r="T121" s="29"/>
      <c r="U121" s="29"/>
      <c r="V121" s="42">
        <v>8865000</v>
      </c>
      <c r="W121" s="30"/>
      <c r="X121" s="42">
        <v>8811000</v>
      </c>
      <c r="Y121" s="30"/>
      <c r="Z121" s="42">
        <v>8943000</v>
      </c>
      <c r="AA121" s="30"/>
      <c r="AB121" s="42">
        <v>8975000</v>
      </c>
      <c r="AC121" s="30"/>
      <c r="AD121" s="42">
        <v>8992000</v>
      </c>
      <c r="AE121" s="30"/>
      <c r="AF121" s="42">
        <v>9047000</v>
      </c>
      <c r="AG121" s="30"/>
      <c r="AH121" s="42">
        <v>9047000</v>
      </c>
      <c r="AI121" s="30"/>
      <c r="AJ121" s="42">
        <v>8969000</v>
      </c>
      <c r="AK121" s="30"/>
      <c r="AL121" s="42">
        <v>9063000</v>
      </c>
      <c r="AM121" s="30"/>
      <c r="AN121" s="42">
        <v>8881000</v>
      </c>
      <c r="AO121" s="30"/>
      <c r="AP121" s="42">
        <v>9033000</v>
      </c>
      <c r="AQ121" s="30"/>
      <c r="AR121" s="42">
        <v>9070000</v>
      </c>
      <c r="AS121" s="30"/>
      <c r="AT121" s="42">
        <v>9033000</v>
      </c>
      <c r="AU121" s="30"/>
      <c r="AV121" s="42">
        <v>9043000</v>
      </c>
      <c r="AW121" s="30"/>
      <c r="AX121" s="42">
        <v>9034000</v>
      </c>
      <c r="AY121" s="30"/>
      <c r="AZ121" s="42">
        <v>9055000</v>
      </c>
      <c r="BA121" s="30"/>
      <c r="BB121" s="42">
        <v>8904000</v>
      </c>
      <c r="BC121" s="30"/>
      <c r="BD121" s="42">
        <v>8904000</v>
      </c>
      <c r="BE121" s="30"/>
      <c r="BF121" s="42">
        <v>8904000</v>
      </c>
      <c r="BG121" s="30"/>
      <c r="BH121" s="42">
        <v>8904000</v>
      </c>
      <c r="BI121" s="30"/>
      <c r="BJ121" s="42">
        <v>8902000</v>
      </c>
      <c r="BK121" s="30"/>
      <c r="BL121" s="42">
        <v>8917000</v>
      </c>
      <c r="BM121" s="30"/>
      <c r="BN121" s="42">
        <v>8917000</v>
      </c>
      <c r="BO121" s="30"/>
      <c r="BP121" s="42">
        <v>8914000</v>
      </c>
      <c r="BQ121" s="30"/>
      <c r="BR121" s="42">
        <v>8904000</v>
      </c>
      <c r="BS121" s="30"/>
      <c r="BT121" s="42">
        <v>8901000</v>
      </c>
      <c r="BU121" s="30"/>
      <c r="BV121" s="42">
        <v>8901000</v>
      </c>
      <c r="BW121" s="30"/>
      <c r="BX121" s="42">
        <v>8901000</v>
      </c>
      <c r="BY121" s="30"/>
      <c r="BZ121" s="42">
        <v>8919000</v>
      </c>
      <c r="CA121" s="30"/>
      <c r="CB121" s="42">
        <v>8903000</v>
      </c>
      <c r="CC121" s="30"/>
      <c r="CD121" s="42">
        <v>8903000</v>
      </c>
      <c r="CE121" s="30"/>
      <c r="CF121" s="42">
        <v>8919000</v>
      </c>
      <c r="CG121" s="30"/>
      <c r="CH121" s="42">
        <v>9009000</v>
      </c>
      <c r="CI121" s="30"/>
    </row>
    <row r="122" spans="1:87">
      <c r="A122" s="43"/>
      <c r="B122" s="25" t="s">
        <v>172</v>
      </c>
      <c r="C122" s="26">
        <v>500</v>
      </c>
      <c r="D122" s="26">
        <v>250</v>
      </c>
      <c r="E122" s="26">
        <v>900</v>
      </c>
      <c r="F122" s="42">
        <v>10108000</v>
      </c>
      <c r="G122" s="30"/>
      <c r="H122" s="42">
        <v>9666000</v>
      </c>
      <c r="I122" s="30"/>
      <c r="J122" s="29"/>
      <c r="K122" s="29"/>
      <c r="L122" s="42">
        <v>10149000</v>
      </c>
      <c r="M122" s="30"/>
      <c r="N122" s="29"/>
      <c r="O122" s="29"/>
      <c r="P122" s="29"/>
      <c r="Q122" s="29"/>
      <c r="R122" s="29"/>
      <c r="S122" s="29"/>
      <c r="T122" s="29"/>
      <c r="U122" s="29"/>
      <c r="V122" s="42">
        <v>9256000</v>
      </c>
      <c r="W122" s="30"/>
      <c r="X122" s="42">
        <v>9174000</v>
      </c>
      <c r="Y122" s="30"/>
      <c r="Z122" s="42">
        <v>9369000</v>
      </c>
      <c r="AA122" s="30"/>
      <c r="AB122" s="42">
        <v>9415000</v>
      </c>
      <c r="AC122" s="30"/>
      <c r="AD122" s="42">
        <v>9439000</v>
      </c>
      <c r="AE122" s="30"/>
      <c r="AF122" s="42">
        <v>9519000</v>
      </c>
      <c r="AG122" s="30"/>
      <c r="AH122" s="42">
        <v>9519000</v>
      </c>
      <c r="AI122" s="30"/>
      <c r="AJ122" s="42">
        <v>9408000</v>
      </c>
      <c r="AK122" s="30"/>
      <c r="AL122" s="42">
        <v>9550000</v>
      </c>
      <c r="AM122" s="30"/>
      <c r="AN122" s="42">
        <v>9275000</v>
      </c>
      <c r="AO122" s="30"/>
      <c r="AP122" s="42">
        <v>9503000</v>
      </c>
      <c r="AQ122" s="30"/>
      <c r="AR122" s="42">
        <v>9558000</v>
      </c>
      <c r="AS122" s="30"/>
      <c r="AT122" s="42">
        <v>9503000</v>
      </c>
      <c r="AU122" s="30"/>
      <c r="AV122" s="42">
        <v>9519000</v>
      </c>
      <c r="AW122" s="30"/>
      <c r="AX122" s="42">
        <v>9505000</v>
      </c>
      <c r="AY122" s="30"/>
      <c r="AZ122" s="42">
        <v>9537000</v>
      </c>
      <c r="BA122" s="30"/>
      <c r="BB122" s="42">
        <v>9315000</v>
      </c>
      <c r="BC122" s="30"/>
      <c r="BD122" s="42">
        <v>9315000</v>
      </c>
      <c r="BE122" s="30"/>
      <c r="BF122" s="42">
        <v>9315000</v>
      </c>
      <c r="BG122" s="30"/>
      <c r="BH122" s="42">
        <v>9315000</v>
      </c>
      <c r="BI122" s="30"/>
      <c r="BJ122" s="42">
        <v>9311000</v>
      </c>
      <c r="BK122" s="30"/>
      <c r="BL122" s="42">
        <v>9335000</v>
      </c>
      <c r="BM122" s="30"/>
      <c r="BN122" s="42">
        <v>9335000</v>
      </c>
      <c r="BO122" s="30"/>
      <c r="BP122" s="42">
        <v>9330000</v>
      </c>
      <c r="BQ122" s="30"/>
      <c r="BR122" s="42">
        <v>9315000</v>
      </c>
      <c r="BS122" s="30"/>
      <c r="BT122" s="42">
        <v>9310000</v>
      </c>
      <c r="BU122" s="30"/>
      <c r="BV122" s="42">
        <v>9310000</v>
      </c>
      <c r="BW122" s="30"/>
      <c r="BX122" s="42">
        <v>9310000</v>
      </c>
      <c r="BY122" s="30"/>
      <c r="BZ122" s="42">
        <v>9327000</v>
      </c>
      <c r="CA122" s="30"/>
      <c r="CB122" s="42">
        <v>9302000</v>
      </c>
      <c r="CC122" s="30"/>
      <c r="CD122" s="42">
        <v>9302000</v>
      </c>
      <c r="CE122" s="30"/>
      <c r="CF122" s="42">
        <v>9327000</v>
      </c>
      <c r="CG122" s="30"/>
      <c r="CH122" s="42">
        <v>9466000</v>
      </c>
      <c r="CI122" s="30"/>
    </row>
    <row r="123" spans="1:87" ht="12.75">
      <c r="A123" s="56"/>
      <c r="B123" s="57"/>
    </row>
    <row r="124" spans="1:87" ht="12.75">
      <c r="A124" s="56"/>
      <c r="B124" s="57"/>
    </row>
    <row r="125" spans="1:87" ht="12.75">
      <c r="A125" s="56"/>
      <c r="B125" s="57"/>
    </row>
    <row r="126" spans="1:87" ht="12.75">
      <c r="A126" s="56"/>
      <c r="B126" s="57"/>
    </row>
    <row r="127" spans="1:87" ht="12.75">
      <c r="A127" s="56"/>
      <c r="B127" s="57"/>
    </row>
    <row r="128" spans="1:87" ht="12.75">
      <c r="A128" s="56"/>
      <c r="B128" s="57"/>
    </row>
    <row r="129" spans="1:2" ht="12.75">
      <c r="A129" s="56"/>
      <c r="B129" s="57"/>
    </row>
    <row r="130" spans="1:2" ht="12.75">
      <c r="A130" s="56"/>
      <c r="B130" s="57"/>
    </row>
    <row r="131" spans="1:2" ht="12.75">
      <c r="A131" s="56"/>
      <c r="B131" s="57"/>
    </row>
    <row r="132" spans="1:2" ht="12.75">
      <c r="A132" s="56"/>
      <c r="B132" s="57"/>
    </row>
    <row r="133" spans="1:2" ht="12.75">
      <c r="A133" s="56"/>
      <c r="B133" s="57"/>
    </row>
    <row r="134" spans="1:2" ht="12.75">
      <c r="A134" s="56"/>
      <c r="B134" s="57"/>
    </row>
    <row r="135" spans="1:2" ht="12.75">
      <c r="A135" s="56"/>
      <c r="B135" s="57"/>
    </row>
    <row r="136" spans="1:2" ht="12.75">
      <c r="A136" s="56"/>
      <c r="B136" s="57"/>
    </row>
    <row r="137" spans="1:2" ht="12.75">
      <c r="A137" s="56"/>
      <c r="B137" s="57"/>
    </row>
    <row r="138" spans="1:2" ht="12.75">
      <c r="A138" s="56"/>
      <c r="B138" s="57"/>
    </row>
    <row r="139" spans="1:2" ht="12.75">
      <c r="A139" s="56"/>
      <c r="B139" s="57"/>
    </row>
    <row r="140" spans="1:2" ht="12.75">
      <c r="A140" s="56"/>
      <c r="B140" s="57"/>
    </row>
    <row r="141" spans="1:2" ht="12.75">
      <c r="A141" s="56"/>
      <c r="B141" s="57"/>
    </row>
    <row r="142" spans="1:2" ht="12.75">
      <c r="A142" s="56"/>
      <c r="B142" s="57"/>
    </row>
    <row r="143" spans="1:2" ht="12.75">
      <c r="A143" s="56"/>
      <c r="B143" s="57"/>
    </row>
    <row r="144" spans="1:2" ht="12.75">
      <c r="A144" s="56"/>
      <c r="B144" s="57"/>
    </row>
    <row r="145" spans="1:2" ht="12.75">
      <c r="A145" s="56"/>
      <c r="B145" s="57"/>
    </row>
    <row r="146" spans="1:2" ht="12.75">
      <c r="A146" s="56"/>
      <c r="B146" s="57"/>
    </row>
    <row r="147" spans="1:2" ht="12.75">
      <c r="A147" s="56"/>
      <c r="B147" s="57"/>
    </row>
    <row r="148" spans="1:2" ht="12.75">
      <c r="A148" s="56"/>
      <c r="B148" s="57"/>
    </row>
    <row r="149" spans="1:2" ht="12.75">
      <c r="A149" s="56"/>
      <c r="B149" s="57"/>
    </row>
    <row r="150" spans="1:2" ht="12.75">
      <c r="A150" s="56"/>
      <c r="B150" s="57"/>
    </row>
    <row r="151" spans="1:2" ht="12.75">
      <c r="A151" s="56"/>
      <c r="B151" s="57"/>
    </row>
    <row r="152" spans="1:2" ht="12.75">
      <c r="A152" s="56"/>
      <c r="B152" s="57"/>
    </row>
    <row r="153" spans="1:2" ht="12.75">
      <c r="A153" s="56"/>
      <c r="B153" s="57"/>
    </row>
    <row r="154" spans="1:2" ht="12.75">
      <c r="A154" s="56"/>
      <c r="B154" s="57"/>
    </row>
    <row r="155" spans="1:2" ht="12.75">
      <c r="A155" s="56"/>
      <c r="B155" s="57"/>
    </row>
    <row r="156" spans="1:2" ht="12.75">
      <c r="A156" s="56"/>
      <c r="B156" s="57"/>
    </row>
    <row r="157" spans="1:2" ht="12.75">
      <c r="A157" s="56"/>
      <c r="B157" s="57"/>
    </row>
    <row r="158" spans="1:2" ht="12.75">
      <c r="A158" s="56"/>
      <c r="B158" s="57"/>
    </row>
    <row r="159" spans="1:2" ht="12.75">
      <c r="A159" s="56"/>
      <c r="B159" s="57"/>
    </row>
    <row r="160" spans="1:2" ht="12.75">
      <c r="A160" s="56"/>
      <c r="B160" s="57"/>
    </row>
    <row r="161" spans="1:2" ht="12.75">
      <c r="A161" s="56"/>
      <c r="B161" s="57"/>
    </row>
    <row r="162" spans="1:2" ht="12.75">
      <c r="A162" s="56"/>
      <c r="B162" s="57"/>
    </row>
    <row r="163" spans="1:2" ht="12.75">
      <c r="A163" s="56"/>
      <c r="B163" s="57"/>
    </row>
    <row r="164" spans="1:2" ht="12.75">
      <c r="A164" s="56"/>
      <c r="B164" s="57"/>
    </row>
    <row r="165" spans="1:2" ht="12.75">
      <c r="A165" s="56"/>
      <c r="B165" s="57"/>
    </row>
    <row r="166" spans="1:2" ht="12.75">
      <c r="A166" s="56"/>
      <c r="B166" s="57"/>
    </row>
    <row r="167" spans="1:2" ht="12.75">
      <c r="A167" s="56"/>
      <c r="B167" s="57"/>
    </row>
    <row r="168" spans="1:2" ht="12.75">
      <c r="A168" s="56"/>
      <c r="B168" s="57"/>
    </row>
    <row r="169" spans="1:2" ht="12.75">
      <c r="A169" s="56"/>
      <c r="B169" s="57"/>
    </row>
    <row r="170" spans="1:2" ht="12.75">
      <c r="A170" s="56"/>
      <c r="B170" s="57"/>
    </row>
    <row r="171" spans="1:2" ht="12.75">
      <c r="A171" s="56"/>
      <c r="B171" s="57"/>
    </row>
    <row r="172" spans="1:2" ht="12.75">
      <c r="A172" s="56"/>
      <c r="B172" s="57"/>
    </row>
    <row r="173" spans="1:2" ht="12.75">
      <c r="A173" s="56"/>
      <c r="B173" s="57"/>
    </row>
    <row r="174" spans="1:2" ht="12.75">
      <c r="A174" s="56"/>
      <c r="B174" s="57"/>
    </row>
    <row r="175" spans="1:2" ht="12.75">
      <c r="A175" s="56"/>
      <c r="B175" s="57"/>
    </row>
    <row r="176" spans="1:2" ht="12.75">
      <c r="A176" s="56"/>
      <c r="B176" s="57"/>
    </row>
    <row r="177" spans="1:2" ht="12.75">
      <c r="A177" s="56"/>
      <c r="B177" s="57"/>
    </row>
    <row r="178" spans="1:2" ht="12.75">
      <c r="A178" s="56"/>
      <c r="B178" s="57"/>
    </row>
    <row r="179" spans="1:2" ht="12.75">
      <c r="A179" s="56"/>
      <c r="B179" s="57"/>
    </row>
    <row r="180" spans="1:2" ht="12.75">
      <c r="A180" s="56"/>
      <c r="B180" s="57"/>
    </row>
    <row r="181" spans="1:2" ht="12.75">
      <c r="A181" s="56"/>
      <c r="B181" s="57"/>
    </row>
    <row r="182" spans="1:2" ht="12.75">
      <c r="A182" s="56"/>
      <c r="B182" s="57"/>
    </row>
    <row r="183" spans="1:2" ht="12.75">
      <c r="A183" s="56"/>
      <c r="B183" s="57"/>
    </row>
    <row r="184" spans="1:2" ht="12.75">
      <c r="A184" s="56"/>
      <c r="B184" s="57"/>
    </row>
    <row r="185" spans="1:2" ht="12.75">
      <c r="A185" s="56"/>
      <c r="B185" s="57"/>
    </row>
    <row r="186" spans="1:2" ht="12.75">
      <c r="A186" s="56"/>
      <c r="B186" s="57"/>
    </row>
    <row r="187" spans="1:2" ht="12.75">
      <c r="A187" s="56"/>
      <c r="B187" s="57"/>
    </row>
    <row r="188" spans="1:2" ht="12.75">
      <c r="A188" s="56"/>
      <c r="B188" s="57"/>
    </row>
    <row r="189" spans="1:2" ht="12.75">
      <c r="A189" s="56"/>
      <c r="B189" s="57"/>
    </row>
    <row r="190" spans="1:2" ht="12.75">
      <c r="A190" s="56"/>
      <c r="B190" s="57"/>
    </row>
    <row r="191" spans="1:2" ht="12.75">
      <c r="A191" s="56"/>
      <c r="B191" s="57"/>
    </row>
    <row r="192" spans="1:2" ht="12.75">
      <c r="A192" s="56"/>
      <c r="B192" s="57"/>
    </row>
    <row r="193" spans="1:2" ht="12.75">
      <c r="A193" s="56"/>
      <c r="B193" s="57"/>
    </row>
    <row r="194" spans="1:2" ht="12.75">
      <c r="A194" s="56"/>
      <c r="B194" s="57"/>
    </row>
    <row r="195" spans="1:2" ht="12.75">
      <c r="A195" s="56"/>
      <c r="B195" s="57"/>
    </row>
    <row r="196" spans="1:2" ht="12.75">
      <c r="A196" s="56"/>
      <c r="B196" s="57"/>
    </row>
    <row r="197" spans="1:2" ht="12.75">
      <c r="A197" s="56"/>
      <c r="B197" s="57"/>
    </row>
    <row r="198" spans="1:2" ht="12.75">
      <c r="A198" s="56"/>
      <c r="B198" s="57"/>
    </row>
    <row r="199" spans="1:2" ht="12.75">
      <c r="A199" s="56"/>
      <c r="B199" s="57"/>
    </row>
    <row r="200" spans="1:2" ht="12.75">
      <c r="A200" s="56"/>
      <c r="B200" s="57"/>
    </row>
    <row r="201" spans="1:2" ht="12.75">
      <c r="A201" s="56"/>
      <c r="B201" s="57"/>
    </row>
    <row r="202" spans="1:2" ht="12.75">
      <c r="A202" s="56"/>
      <c r="B202" s="57"/>
    </row>
    <row r="203" spans="1:2" ht="12.75">
      <c r="A203" s="56"/>
      <c r="B203" s="57"/>
    </row>
    <row r="204" spans="1:2" ht="12.75">
      <c r="A204" s="56"/>
      <c r="B204" s="57"/>
    </row>
    <row r="205" spans="1:2" ht="12.75">
      <c r="A205" s="56"/>
      <c r="B205" s="57"/>
    </row>
    <row r="206" spans="1:2" ht="12.75">
      <c r="A206" s="56"/>
      <c r="B206" s="57"/>
    </row>
    <row r="207" spans="1:2" ht="12.75">
      <c r="A207" s="56"/>
      <c r="B207" s="57"/>
    </row>
    <row r="208" spans="1:2" ht="12.75">
      <c r="A208" s="56"/>
      <c r="B208" s="57"/>
    </row>
    <row r="209" spans="1:2" ht="12.75">
      <c r="A209" s="56"/>
      <c r="B209" s="57"/>
    </row>
    <row r="210" spans="1:2" ht="12.75">
      <c r="A210" s="56"/>
      <c r="B210" s="57"/>
    </row>
    <row r="211" spans="1:2" ht="12.75">
      <c r="A211" s="56"/>
      <c r="B211" s="57"/>
    </row>
    <row r="212" spans="1:2" ht="12.75">
      <c r="A212" s="56"/>
      <c r="B212" s="57"/>
    </row>
    <row r="213" spans="1:2" ht="12.75">
      <c r="A213" s="56"/>
      <c r="B213" s="57"/>
    </row>
    <row r="214" spans="1:2" ht="12.75">
      <c r="A214" s="56"/>
      <c r="B214" s="57"/>
    </row>
    <row r="215" spans="1:2" ht="12.75">
      <c r="A215" s="56"/>
      <c r="B215" s="57"/>
    </row>
    <row r="216" spans="1:2" ht="12.75">
      <c r="A216" s="56"/>
      <c r="B216" s="57"/>
    </row>
    <row r="217" spans="1:2" ht="12.75">
      <c r="A217" s="56"/>
      <c r="B217" s="57"/>
    </row>
    <row r="218" spans="1:2" ht="12.75">
      <c r="A218" s="56"/>
      <c r="B218" s="57"/>
    </row>
    <row r="219" spans="1:2" ht="12.75">
      <c r="A219" s="56"/>
      <c r="B219" s="57"/>
    </row>
    <row r="220" spans="1:2" ht="12.75">
      <c r="A220" s="56"/>
      <c r="B220" s="57"/>
    </row>
    <row r="221" spans="1:2" ht="12.75">
      <c r="A221" s="56"/>
      <c r="B221" s="57"/>
    </row>
    <row r="222" spans="1:2" ht="12.75">
      <c r="A222" s="56"/>
      <c r="B222" s="57"/>
    </row>
    <row r="223" spans="1:2" ht="12.75">
      <c r="A223" s="56"/>
      <c r="B223" s="57"/>
    </row>
    <row r="224" spans="1:2" ht="12.75">
      <c r="A224" s="56"/>
      <c r="B224" s="57"/>
    </row>
    <row r="225" spans="1:2" ht="12.75">
      <c r="A225" s="56"/>
      <c r="B225" s="57"/>
    </row>
    <row r="226" spans="1:2" ht="12.75">
      <c r="A226" s="56"/>
      <c r="B226" s="57"/>
    </row>
    <row r="227" spans="1:2" ht="12.75">
      <c r="A227" s="56"/>
      <c r="B227" s="57"/>
    </row>
    <row r="228" spans="1:2" ht="12.75">
      <c r="A228" s="56"/>
      <c r="B228" s="57"/>
    </row>
    <row r="229" spans="1:2" ht="12.75">
      <c r="A229" s="56"/>
      <c r="B229" s="57"/>
    </row>
    <row r="230" spans="1:2" ht="12.75">
      <c r="A230" s="56"/>
      <c r="B230" s="57"/>
    </row>
    <row r="231" spans="1:2" ht="12.75">
      <c r="A231" s="56"/>
      <c r="B231" s="57"/>
    </row>
    <row r="232" spans="1:2" ht="12.75">
      <c r="A232" s="56"/>
      <c r="B232" s="57"/>
    </row>
    <row r="233" spans="1:2" ht="12.75">
      <c r="A233" s="56"/>
      <c r="B233" s="57"/>
    </row>
    <row r="234" spans="1:2" ht="12.75">
      <c r="A234" s="56"/>
      <c r="B234" s="57"/>
    </row>
    <row r="235" spans="1:2" ht="12.75">
      <c r="A235" s="56"/>
      <c r="B235" s="57"/>
    </row>
    <row r="236" spans="1:2" ht="12.75">
      <c r="A236" s="56"/>
      <c r="B236" s="57"/>
    </row>
    <row r="237" spans="1:2" ht="12.75">
      <c r="A237" s="56"/>
      <c r="B237" s="57"/>
    </row>
    <row r="238" spans="1:2" ht="12.75">
      <c r="A238" s="56"/>
      <c r="B238" s="57"/>
    </row>
    <row r="239" spans="1:2" ht="12.75">
      <c r="A239" s="56"/>
      <c r="B239" s="57"/>
    </row>
    <row r="240" spans="1:2" ht="12.75">
      <c r="A240" s="56"/>
      <c r="B240" s="57"/>
    </row>
    <row r="241" spans="1:2" ht="12.75">
      <c r="A241" s="56"/>
      <c r="B241" s="57"/>
    </row>
    <row r="242" spans="1:2" ht="12.75">
      <c r="A242" s="56"/>
      <c r="B242" s="57"/>
    </row>
    <row r="243" spans="1:2" ht="12.75">
      <c r="A243" s="56"/>
      <c r="B243" s="57"/>
    </row>
    <row r="244" spans="1:2" ht="12.75">
      <c r="A244" s="56"/>
      <c r="B244" s="57"/>
    </row>
    <row r="245" spans="1:2" ht="12.75">
      <c r="A245" s="56"/>
      <c r="B245" s="57"/>
    </row>
    <row r="246" spans="1:2" ht="12.75">
      <c r="A246" s="56"/>
      <c r="B246" s="57"/>
    </row>
    <row r="247" spans="1:2" ht="12.75">
      <c r="A247" s="56"/>
      <c r="B247" s="57"/>
    </row>
    <row r="248" spans="1:2" ht="12.75">
      <c r="A248" s="56"/>
      <c r="B248" s="57"/>
    </row>
    <row r="249" spans="1:2" ht="12.75">
      <c r="A249" s="56"/>
      <c r="B249" s="57"/>
    </row>
    <row r="250" spans="1:2" ht="12.75">
      <c r="A250" s="56"/>
      <c r="B250" s="57"/>
    </row>
    <row r="251" spans="1:2" ht="12.75">
      <c r="A251" s="56"/>
      <c r="B251" s="57"/>
    </row>
    <row r="252" spans="1:2" ht="12.75">
      <c r="A252" s="56"/>
      <c r="B252" s="57"/>
    </row>
    <row r="253" spans="1:2" ht="12.75">
      <c r="A253" s="56"/>
      <c r="B253" s="57"/>
    </row>
    <row r="254" spans="1:2" ht="12.75">
      <c r="A254" s="56"/>
      <c r="B254" s="57"/>
    </row>
    <row r="255" spans="1:2" ht="12.75">
      <c r="A255" s="56"/>
      <c r="B255" s="57"/>
    </row>
    <row r="256" spans="1:2" ht="12.75">
      <c r="A256" s="56"/>
      <c r="B256" s="57"/>
    </row>
    <row r="257" spans="1:2" ht="12.75">
      <c r="A257" s="56"/>
      <c r="B257" s="57"/>
    </row>
    <row r="258" spans="1:2" ht="12.75">
      <c r="A258" s="56"/>
      <c r="B258" s="57"/>
    </row>
    <row r="259" spans="1:2" ht="12.75">
      <c r="A259" s="56"/>
      <c r="B259" s="57"/>
    </row>
    <row r="260" spans="1:2" ht="12.75">
      <c r="A260" s="56"/>
      <c r="B260" s="57"/>
    </row>
    <row r="261" spans="1:2" ht="12.75">
      <c r="A261" s="56"/>
      <c r="B261" s="57"/>
    </row>
    <row r="262" spans="1:2" ht="12.75">
      <c r="A262" s="56"/>
      <c r="B262" s="57"/>
    </row>
    <row r="263" spans="1:2" ht="12.75">
      <c r="A263" s="56"/>
      <c r="B263" s="57"/>
    </row>
    <row r="264" spans="1:2" ht="12.75">
      <c r="A264" s="56"/>
      <c r="B264" s="57"/>
    </row>
    <row r="265" spans="1:2" ht="12.75">
      <c r="A265" s="56"/>
      <c r="B265" s="57"/>
    </row>
    <row r="266" spans="1:2" ht="12.75">
      <c r="A266" s="56"/>
      <c r="B266" s="57"/>
    </row>
    <row r="267" spans="1:2" ht="12.75">
      <c r="A267" s="56"/>
      <c r="B267" s="57"/>
    </row>
    <row r="268" spans="1:2" ht="12.75">
      <c r="A268" s="56"/>
      <c r="B268" s="57"/>
    </row>
    <row r="269" spans="1:2" ht="12.75">
      <c r="A269" s="56"/>
      <c r="B269" s="57"/>
    </row>
    <row r="270" spans="1:2" ht="12.75">
      <c r="A270" s="56"/>
      <c r="B270" s="57"/>
    </row>
    <row r="271" spans="1:2" ht="12.75">
      <c r="A271" s="56"/>
      <c r="B271" s="57"/>
    </row>
    <row r="272" spans="1:2" ht="12.75">
      <c r="A272" s="56"/>
      <c r="B272" s="57"/>
    </row>
    <row r="273" spans="1:2" ht="12.75">
      <c r="A273" s="56"/>
      <c r="B273" s="57"/>
    </row>
    <row r="274" spans="1:2" ht="12.75">
      <c r="A274" s="56"/>
      <c r="B274" s="57"/>
    </row>
    <row r="275" spans="1:2" ht="12.75">
      <c r="A275" s="56"/>
      <c r="B275" s="57"/>
    </row>
    <row r="276" spans="1:2" ht="12.75">
      <c r="A276" s="56"/>
      <c r="B276" s="57"/>
    </row>
    <row r="277" spans="1:2" ht="12.75">
      <c r="A277" s="56"/>
      <c r="B277" s="57"/>
    </row>
    <row r="278" spans="1:2" ht="12.75">
      <c r="A278" s="56"/>
      <c r="B278" s="57"/>
    </row>
    <row r="279" spans="1:2" ht="12.75">
      <c r="A279" s="56"/>
      <c r="B279" s="57"/>
    </row>
    <row r="280" spans="1:2" ht="12.75">
      <c r="A280" s="56"/>
      <c r="B280" s="57"/>
    </row>
    <row r="281" spans="1:2" ht="12.75">
      <c r="A281" s="56"/>
      <c r="B281" s="57"/>
    </row>
    <row r="282" spans="1:2" ht="12.75">
      <c r="A282" s="56"/>
      <c r="B282" s="57"/>
    </row>
    <row r="283" spans="1:2" ht="12.75">
      <c r="A283" s="56"/>
      <c r="B283" s="57"/>
    </row>
    <row r="284" spans="1:2" ht="12.75">
      <c r="A284" s="56"/>
      <c r="B284" s="57"/>
    </row>
    <row r="285" spans="1:2" ht="12.75">
      <c r="A285" s="56"/>
      <c r="B285" s="57"/>
    </row>
    <row r="286" spans="1:2" ht="12.75">
      <c r="A286" s="56"/>
      <c r="B286" s="57"/>
    </row>
    <row r="287" spans="1:2" ht="12.75">
      <c r="A287" s="56"/>
      <c r="B287" s="57"/>
    </row>
    <row r="288" spans="1:2" ht="12.75">
      <c r="A288" s="56"/>
      <c r="B288" s="57"/>
    </row>
    <row r="289" spans="1:2" ht="12.75">
      <c r="A289" s="56"/>
      <c r="B289" s="57"/>
    </row>
    <row r="290" spans="1:2" ht="12.75">
      <c r="A290" s="56"/>
      <c r="B290" s="57"/>
    </row>
    <row r="291" spans="1:2" ht="12.75">
      <c r="A291" s="56"/>
      <c r="B291" s="57"/>
    </row>
    <row r="292" spans="1:2" ht="12.75">
      <c r="A292" s="56"/>
      <c r="B292" s="57"/>
    </row>
    <row r="293" spans="1:2" ht="12.75">
      <c r="A293" s="56"/>
      <c r="B293" s="57"/>
    </row>
    <row r="294" spans="1:2" ht="12.75">
      <c r="A294" s="56"/>
      <c r="B294" s="57"/>
    </row>
    <row r="295" spans="1:2" ht="12.75">
      <c r="A295" s="56"/>
      <c r="B295" s="57"/>
    </row>
    <row r="296" spans="1:2" ht="12.75">
      <c r="A296" s="56"/>
      <c r="B296" s="57"/>
    </row>
    <row r="297" spans="1:2" ht="12.75">
      <c r="A297" s="56"/>
      <c r="B297" s="57"/>
    </row>
    <row r="298" spans="1:2" ht="12.75">
      <c r="A298" s="56"/>
      <c r="B298" s="57"/>
    </row>
    <row r="299" spans="1:2" ht="12.75">
      <c r="A299" s="56"/>
      <c r="B299" s="57"/>
    </row>
    <row r="300" spans="1:2" ht="12.75">
      <c r="A300" s="56"/>
      <c r="B300" s="57"/>
    </row>
    <row r="301" spans="1:2" ht="12.75">
      <c r="A301" s="56"/>
      <c r="B301" s="57"/>
    </row>
    <row r="302" spans="1:2" ht="12.75">
      <c r="A302" s="56"/>
      <c r="B302" s="57"/>
    </row>
    <row r="303" spans="1:2" ht="12.75">
      <c r="A303" s="56"/>
      <c r="B303" s="57"/>
    </row>
    <row r="304" spans="1:2" ht="12.75">
      <c r="A304" s="56"/>
      <c r="B304" s="57"/>
    </row>
    <row r="305" spans="1:2" ht="12.75">
      <c r="A305" s="56"/>
      <c r="B305" s="57"/>
    </row>
    <row r="306" spans="1:2" ht="12.75">
      <c r="A306" s="56"/>
      <c r="B306" s="57"/>
    </row>
    <row r="307" spans="1:2" ht="12.75">
      <c r="A307" s="56"/>
      <c r="B307" s="57"/>
    </row>
    <row r="308" spans="1:2" ht="12.75">
      <c r="A308" s="56"/>
      <c r="B308" s="57"/>
    </row>
    <row r="309" spans="1:2" ht="12.75">
      <c r="A309" s="56"/>
      <c r="B309" s="57"/>
    </row>
    <row r="310" spans="1:2" ht="12.75">
      <c r="A310" s="56"/>
      <c r="B310" s="57"/>
    </row>
    <row r="311" spans="1:2" ht="12.75">
      <c r="A311" s="56"/>
      <c r="B311" s="57"/>
    </row>
    <row r="312" spans="1:2" ht="12.75">
      <c r="A312" s="56"/>
      <c r="B312" s="57"/>
    </row>
    <row r="313" spans="1:2" ht="12.75">
      <c r="A313" s="56"/>
      <c r="B313" s="57"/>
    </row>
    <row r="314" spans="1:2" ht="12.75">
      <c r="A314" s="56"/>
      <c r="B314" s="57"/>
    </row>
    <row r="315" spans="1:2" ht="12.75">
      <c r="A315" s="56"/>
      <c r="B315" s="57"/>
    </row>
    <row r="316" spans="1:2" ht="12.75">
      <c r="A316" s="56"/>
      <c r="B316" s="57"/>
    </row>
    <row r="317" spans="1:2" ht="12.75">
      <c r="A317" s="56"/>
      <c r="B317" s="57"/>
    </row>
    <row r="318" spans="1:2" ht="12.75">
      <c r="A318" s="56"/>
      <c r="B318" s="57"/>
    </row>
    <row r="319" spans="1:2" ht="12.75">
      <c r="A319" s="56"/>
      <c r="B319" s="57"/>
    </row>
    <row r="320" spans="1:2" ht="12.75">
      <c r="A320" s="56"/>
      <c r="B320" s="57"/>
    </row>
    <row r="321" spans="1:2" ht="12.75">
      <c r="A321" s="56"/>
      <c r="B321" s="57"/>
    </row>
    <row r="322" spans="1:2" ht="12.75">
      <c r="A322" s="56"/>
      <c r="B322" s="57"/>
    </row>
    <row r="323" spans="1:2" ht="12.75">
      <c r="A323" s="56"/>
      <c r="B323" s="57"/>
    </row>
    <row r="324" spans="1:2" ht="12.75">
      <c r="A324" s="56"/>
      <c r="B324" s="57"/>
    </row>
    <row r="325" spans="1:2" ht="12.75">
      <c r="A325" s="56"/>
      <c r="B325" s="57"/>
    </row>
    <row r="326" spans="1:2" ht="12.75">
      <c r="A326" s="56"/>
      <c r="B326" s="57"/>
    </row>
    <row r="327" spans="1:2" ht="12.75">
      <c r="A327" s="56"/>
      <c r="B327" s="57"/>
    </row>
    <row r="328" spans="1:2" ht="12.75">
      <c r="A328" s="56"/>
      <c r="B328" s="57"/>
    </row>
    <row r="329" spans="1:2" ht="12.75">
      <c r="A329" s="56"/>
      <c r="B329" s="57"/>
    </row>
    <row r="330" spans="1:2" ht="12.75">
      <c r="A330" s="56"/>
      <c r="B330" s="57"/>
    </row>
    <row r="331" spans="1:2" ht="12.75">
      <c r="A331" s="56"/>
      <c r="B331" s="57"/>
    </row>
    <row r="332" spans="1:2" ht="12.75">
      <c r="A332" s="56"/>
      <c r="B332" s="57"/>
    </row>
    <row r="333" spans="1:2" ht="12.75">
      <c r="A333" s="56"/>
      <c r="B333" s="57"/>
    </row>
    <row r="334" spans="1:2" ht="12.75">
      <c r="A334" s="56"/>
      <c r="B334" s="57"/>
    </row>
    <row r="335" spans="1:2" ht="12.75">
      <c r="A335" s="56"/>
      <c r="B335" s="57"/>
    </row>
    <row r="336" spans="1:2" ht="12.75">
      <c r="A336" s="56"/>
      <c r="B336" s="57"/>
    </row>
    <row r="337" spans="1:2" ht="12.75">
      <c r="A337" s="56"/>
      <c r="B337" s="57"/>
    </row>
    <row r="338" spans="1:2" ht="12.75">
      <c r="A338" s="56"/>
      <c r="B338" s="57"/>
    </row>
    <row r="339" spans="1:2" ht="12.75">
      <c r="A339" s="56"/>
      <c r="B339" s="57"/>
    </row>
    <row r="340" spans="1:2" ht="12.75">
      <c r="A340" s="56"/>
      <c r="B340" s="57"/>
    </row>
    <row r="341" spans="1:2" ht="12.75">
      <c r="A341" s="56"/>
      <c r="B341" s="57"/>
    </row>
    <row r="342" spans="1:2" ht="12.75">
      <c r="A342" s="56"/>
      <c r="B342" s="57"/>
    </row>
    <row r="343" spans="1:2" ht="12.75">
      <c r="A343" s="56"/>
      <c r="B343" s="57"/>
    </row>
    <row r="344" spans="1:2" ht="12.75">
      <c r="A344" s="56"/>
      <c r="B344" s="57"/>
    </row>
    <row r="345" spans="1:2" ht="12.75">
      <c r="A345" s="56"/>
      <c r="B345" s="57"/>
    </row>
    <row r="346" spans="1:2" ht="12.75">
      <c r="A346" s="56"/>
      <c r="B346" s="57"/>
    </row>
    <row r="347" spans="1:2" ht="12.75">
      <c r="A347" s="56"/>
      <c r="B347" s="57"/>
    </row>
    <row r="348" spans="1:2" ht="12.75">
      <c r="A348" s="56"/>
      <c r="B348" s="57"/>
    </row>
    <row r="349" spans="1:2" ht="12.75">
      <c r="A349" s="56"/>
      <c r="B349" s="57"/>
    </row>
    <row r="350" spans="1:2" ht="12.75">
      <c r="A350" s="56"/>
      <c r="B350" s="57"/>
    </row>
    <row r="351" spans="1:2" ht="12.75">
      <c r="A351" s="56"/>
      <c r="B351" s="57"/>
    </row>
    <row r="352" spans="1:2" ht="12.75">
      <c r="A352" s="56"/>
      <c r="B352" s="57"/>
    </row>
    <row r="353" spans="1:2" ht="12.75">
      <c r="A353" s="56"/>
      <c r="B353" s="57"/>
    </row>
    <row r="354" spans="1:2" ht="12.75">
      <c r="A354" s="56"/>
      <c r="B354" s="57"/>
    </row>
    <row r="355" spans="1:2" ht="12.75">
      <c r="A355" s="56"/>
      <c r="B355" s="57"/>
    </row>
    <row r="356" spans="1:2" ht="12.75">
      <c r="A356" s="56"/>
      <c r="B356" s="57"/>
    </row>
    <row r="357" spans="1:2" ht="12.75">
      <c r="A357" s="56"/>
      <c r="B357" s="57"/>
    </row>
    <row r="358" spans="1:2" ht="12.75">
      <c r="A358" s="56"/>
      <c r="B358" s="57"/>
    </row>
    <row r="359" spans="1:2" ht="12.75">
      <c r="A359" s="56"/>
      <c r="B359" s="57"/>
    </row>
    <row r="360" spans="1:2" ht="12.75">
      <c r="A360" s="56"/>
      <c r="B360" s="57"/>
    </row>
    <row r="361" spans="1:2" ht="12.75">
      <c r="A361" s="56"/>
      <c r="B361" s="57"/>
    </row>
    <row r="362" spans="1:2" ht="12.75">
      <c r="A362" s="56"/>
      <c r="B362" s="57"/>
    </row>
    <row r="363" spans="1:2" ht="12.75">
      <c r="A363" s="56"/>
      <c r="B363" s="57"/>
    </row>
    <row r="364" spans="1:2" ht="12.75">
      <c r="A364" s="56"/>
      <c r="B364" s="57"/>
    </row>
    <row r="365" spans="1:2" ht="12.75">
      <c r="A365" s="56"/>
      <c r="B365" s="57"/>
    </row>
    <row r="366" spans="1:2" ht="12.75">
      <c r="A366" s="56"/>
      <c r="B366" s="57"/>
    </row>
    <row r="367" spans="1:2" ht="12.75">
      <c r="A367" s="56"/>
      <c r="B367" s="57"/>
    </row>
    <row r="368" spans="1:2" ht="12.75">
      <c r="A368" s="56"/>
      <c r="B368" s="57"/>
    </row>
    <row r="369" spans="1:2" ht="12.75">
      <c r="A369" s="56"/>
      <c r="B369" s="57"/>
    </row>
    <row r="370" spans="1:2" ht="12.75">
      <c r="A370" s="56"/>
      <c r="B370" s="57"/>
    </row>
    <row r="371" spans="1:2" ht="12.75">
      <c r="A371" s="56"/>
      <c r="B371" s="57"/>
    </row>
    <row r="372" spans="1:2" ht="12.75">
      <c r="A372" s="56"/>
      <c r="B372" s="57"/>
    </row>
    <row r="373" spans="1:2" ht="12.75">
      <c r="A373" s="56"/>
      <c r="B373" s="57"/>
    </row>
    <row r="374" spans="1:2" ht="12.75">
      <c r="A374" s="56"/>
      <c r="B374" s="57"/>
    </row>
    <row r="375" spans="1:2" ht="12.75">
      <c r="A375" s="56"/>
      <c r="B375" s="57"/>
    </row>
    <row r="376" spans="1:2" ht="12.75">
      <c r="A376" s="56"/>
      <c r="B376" s="57"/>
    </row>
    <row r="377" spans="1:2" ht="12.75">
      <c r="A377" s="56"/>
      <c r="B377" s="57"/>
    </row>
    <row r="378" spans="1:2" ht="12.75">
      <c r="A378" s="56"/>
      <c r="B378" s="57"/>
    </row>
    <row r="379" spans="1:2" ht="12.75">
      <c r="A379" s="56"/>
      <c r="B379" s="57"/>
    </row>
    <row r="380" spans="1:2" ht="12.75">
      <c r="A380" s="56"/>
      <c r="B380" s="57"/>
    </row>
    <row r="381" spans="1:2" ht="12.75">
      <c r="A381" s="56"/>
      <c r="B381" s="57"/>
    </row>
    <row r="382" spans="1:2" ht="12.75">
      <c r="A382" s="56"/>
      <c r="B382" s="57"/>
    </row>
    <row r="383" spans="1:2" ht="12.75">
      <c r="A383" s="56"/>
      <c r="B383" s="57"/>
    </row>
    <row r="384" spans="1:2" ht="12.75">
      <c r="A384" s="56"/>
      <c r="B384" s="57"/>
    </row>
    <row r="385" spans="1:2" ht="12.75">
      <c r="A385" s="56"/>
      <c r="B385" s="57"/>
    </row>
    <row r="386" spans="1:2" ht="12.75">
      <c r="A386" s="56"/>
      <c r="B386" s="57"/>
    </row>
    <row r="387" spans="1:2" ht="12.75">
      <c r="A387" s="56"/>
      <c r="B387" s="57"/>
    </row>
    <row r="388" spans="1:2" ht="12.75">
      <c r="A388" s="56"/>
      <c r="B388" s="57"/>
    </row>
    <row r="389" spans="1:2" ht="12.75">
      <c r="A389" s="56"/>
      <c r="B389" s="57"/>
    </row>
    <row r="390" spans="1:2" ht="12.75">
      <c r="A390" s="56"/>
      <c r="B390" s="57"/>
    </row>
    <row r="391" spans="1:2" ht="12.75">
      <c r="A391" s="56"/>
      <c r="B391" s="57"/>
    </row>
    <row r="392" spans="1:2" ht="12.75">
      <c r="A392" s="56"/>
      <c r="B392" s="57"/>
    </row>
    <row r="393" spans="1:2" ht="12.75">
      <c r="A393" s="56"/>
      <c r="B393" s="57"/>
    </row>
    <row r="394" spans="1:2" ht="12.75">
      <c r="A394" s="56"/>
      <c r="B394" s="57"/>
    </row>
    <row r="395" spans="1:2" ht="12.75">
      <c r="A395" s="56"/>
      <c r="B395" s="57"/>
    </row>
    <row r="396" spans="1:2" ht="12.75">
      <c r="A396" s="56"/>
      <c r="B396" s="57"/>
    </row>
    <row r="397" spans="1:2" ht="12.75">
      <c r="A397" s="56"/>
      <c r="B397" s="57"/>
    </row>
    <row r="398" spans="1:2" ht="12.75">
      <c r="A398" s="56"/>
      <c r="B398" s="57"/>
    </row>
    <row r="399" spans="1:2" ht="12.75">
      <c r="A399" s="56"/>
      <c r="B399" s="57"/>
    </row>
    <row r="400" spans="1:2" ht="12.75">
      <c r="A400" s="56"/>
      <c r="B400" s="57"/>
    </row>
    <row r="401" spans="1:2" ht="12.75">
      <c r="A401" s="56"/>
      <c r="B401" s="57"/>
    </row>
    <row r="402" spans="1:2" ht="12.75">
      <c r="A402" s="56"/>
      <c r="B402" s="57"/>
    </row>
    <row r="403" spans="1:2" ht="12.75">
      <c r="A403" s="56"/>
      <c r="B403" s="57"/>
    </row>
    <row r="404" spans="1:2" ht="12.75">
      <c r="A404" s="56"/>
      <c r="B404" s="57"/>
    </row>
    <row r="405" spans="1:2" ht="12.75">
      <c r="A405" s="56"/>
      <c r="B405" s="57"/>
    </row>
    <row r="406" spans="1:2" ht="12.75">
      <c r="A406" s="56"/>
      <c r="B406" s="57"/>
    </row>
    <row r="407" spans="1:2" ht="12.75">
      <c r="A407" s="56"/>
      <c r="B407" s="57"/>
    </row>
    <row r="408" spans="1:2" ht="12.75">
      <c r="A408" s="56"/>
      <c r="B408" s="57"/>
    </row>
    <row r="409" spans="1:2" ht="12.75">
      <c r="A409" s="56"/>
      <c r="B409" s="57"/>
    </row>
    <row r="410" spans="1:2" ht="12.75">
      <c r="A410" s="56"/>
      <c r="B410" s="57"/>
    </row>
    <row r="411" spans="1:2" ht="12.75">
      <c r="A411" s="56"/>
      <c r="B411" s="57"/>
    </row>
    <row r="412" spans="1:2" ht="12.75">
      <c r="A412" s="56"/>
      <c r="B412" s="57"/>
    </row>
    <row r="413" spans="1:2" ht="12.75">
      <c r="A413" s="56"/>
      <c r="B413" s="57"/>
    </row>
    <row r="414" spans="1:2" ht="12.75">
      <c r="A414" s="56"/>
      <c r="B414" s="57"/>
    </row>
    <row r="415" spans="1:2" ht="12.75">
      <c r="A415" s="56"/>
      <c r="B415" s="57"/>
    </row>
    <row r="416" spans="1:2" ht="12.75">
      <c r="A416" s="56"/>
      <c r="B416" s="57"/>
    </row>
    <row r="417" spans="1:2" ht="12.75">
      <c r="A417" s="56"/>
      <c r="B417" s="57"/>
    </row>
    <row r="418" spans="1:2" ht="12.75">
      <c r="A418" s="56"/>
      <c r="B418" s="57"/>
    </row>
    <row r="419" spans="1:2" ht="12.75">
      <c r="A419" s="56"/>
      <c r="B419" s="57"/>
    </row>
    <row r="420" spans="1:2" ht="12.75">
      <c r="A420" s="56"/>
      <c r="B420" s="57"/>
    </row>
    <row r="421" spans="1:2" ht="12.75">
      <c r="A421" s="56"/>
      <c r="B421" s="57"/>
    </row>
    <row r="422" spans="1:2" ht="12.75">
      <c r="A422" s="56"/>
      <c r="B422" s="57"/>
    </row>
    <row r="423" spans="1:2" ht="12.75">
      <c r="A423" s="56"/>
      <c r="B423" s="57"/>
    </row>
    <row r="424" spans="1:2" ht="12.75">
      <c r="A424" s="56"/>
      <c r="B424" s="57"/>
    </row>
    <row r="425" spans="1:2" ht="12.75">
      <c r="A425" s="56"/>
      <c r="B425" s="57"/>
    </row>
    <row r="426" spans="1:2" ht="12.75">
      <c r="A426" s="56"/>
      <c r="B426" s="57"/>
    </row>
    <row r="427" spans="1:2" ht="12.75">
      <c r="A427" s="56"/>
      <c r="B427" s="57"/>
    </row>
    <row r="428" spans="1:2" ht="12.75">
      <c r="A428" s="56"/>
      <c r="B428" s="57"/>
    </row>
    <row r="429" spans="1:2" ht="12.75">
      <c r="A429" s="56"/>
      <c r="B429" s="57"/>
    </row>
    <row r="430" spans="1:2" ht="12.75">
      <c r="A430" s="56"/>
      <c r="B430" s="57"/>
    </row>
    <row r="431" spans="1:2" ht="12.75">
      <c r="A431" s="56"/>
      <c r="B431" s="57"/>
    </row>
    <row r="432" spans="1:2" ht="12.75">
      <c r="A432" s="56"/>
      <c r="B432" s="57"/>
    </row>
    <row r="433" spans="1:2" ht="12.75">
      <c r="A433" s="56"/>
      <c r="B433" s="57"/>
    </row>
    <row r="434" spans="1:2" ht="12.75">
      <c r="A434" s="56"/>
      <c r="B434" s="57"/>
    </row>
    <row r="435" spans="1:2" ht="12.75">
      <c r="A435" s="56"/>
      <c r="B435" s="57"/>
    </row>
    <row r="436" spans="1:2" ht="12.75">
      <c r="A436" s="56"/>
      <c r="B436" s="57"/>
    </row>
    <row r="437" spans="1:2" ht="12.75">
      <c r="A437" s="56"/>
      <c r="B437" s="57"/>
    </row>
    <row r="438" spans="1:2" ht="12.75">
      <c r="A438" s="56"/>
      <c r="B438" s="57"/>
    </row>
    <row r="439" spans="1:2" ht="12.75">
      <c r="A439" s="56"/>
      <c r="B439" s="57"/>
    </row>
    <row r="440" spans="1:2" ht="12.75">
      <c r="A440" s="56"/>
      <c r="B440" s="57"/>
    </row>
    <row r="441" spans="1:2" ht="12.75">
      <c r="A441" s="56"/>
      <c r="B441" s="57"/>
    </row>
    <row r="442" spans="1:2" ht="12.75">
      <c r="A442" s="56"/>
      <c r="B442" s="57"/>
    </row>
    <row r="443" spans="1:2" ht="12.75">
      <c r="A443" s="56"/>
      <c r="B443" s="57"/>
    </row>
    <row r="444" spans="1:2" ht="12.75">
      <c r="A444" s="56"/>
      <c r="B444" s="57"/>
    </row>
    <row r="445" spans="1:2" ht="12.75">
      <c r="A445" s="56"/>
      <c r="B445" s="57"/>
    </row>
    <row r="446" spans="1:2" ht="12.75">
      <c r="A446" s="56"/>
      <c r="B446" s="57"/>
    </row>
    <row r="447" spans="1:2" ht="12.75">
      <c r="A447" s="56"/>
      <c r="B447" s="57"/>
    </row>
    <row r="448" spans="1:2" ht="12.75">
      <c r="A448" s="56"/>
      <c r="B448" s="57"/>
    </row>
    <row r="449" spans="1:2" ht="12.75">
      <c r="A449" s="56"/>
      <c r="B449" s="57"/>
    </row>
    <row r="450" spans="1:2" ht="12.75">
      <c r="A450" s="56"/>
      <c r="B450" s="57"/>
    </row>
    <row r="451" spans="1:2" ht="12.75">
      <c r="A451" s="56"/>
      <c r="B451" s="57"/>
    </row>
    <row r="452" spans="1:2" ht="12.75">
      <c r="A452" s="56"/>
      <c r="B452" s="57"/>
    </row>
    <row r="453" spans="1:2" ht="12.75">
      <c r="A453" s="56"/>
      <c r="B453" s="57"/>
    </row>
    <row r="454" spans="1:2" ht="12.75">
      <c r="A454" s="56"/>
      <c r="B454" s="57"/>
    </row>
    <row r="455" spans="1:2" ht="12.75">
      <c r="A455" s="56"/>
      <c r="B455" s="57"/>
    </row>
    <row r="456" spans="1:2" ht="12.75">
      <c r="A456" s="56"/>
      <c r="B456" s="57"/>
    </row>
    <row r="457" spans="1:2" ht="12.75">
      <c r="A457" s="56"/>
      <c r="B457" s="57"/>
    </row>
    <row r="458" spans="1:2" ht="12.75">
      <c r="A458" s="56"/>
      <c r="B458" s="57"/>
    </row>
    <row r="459" spans="1:2" ht="12.75">
      <c r="A459" s="56"/>
      <c r="B459" s="57"/>
    </row>
    <row r="460" spans="1:2" ht="12.75">
      <c r="A460" s="56"/>
      <c r="B460" s="57"/>
    </row>
    <row r="461" spans="1:2" ht="12.75">
      <c r="A461" s="56"/>
      <c r="B461" s="57"/>
    </row>
    <row r="462" spans="1:2" ht="12.75">
      <c r="A462" s="56"/>
      <c r="B462" s="57"/>
    </row>
    <row r="463" spans="1:2" ht="12.75">
      <c r="A463" s="56"/>
      <c r="B463" s="57"/>
    </row>
    <row r="464" spans="1:2" ht="12.75">
      <c r="A464" s="56"/>
      <c r="B464" s="57"/>
    </row>
    <row r="465" spans="1:2" ht="12.75">
      <c r="A465" s="56"/>
      <c r="B465" s="57"/>
    </row>
    <row r="466" spans="1:2" ht="12.75">
      <c r="A466" s="56"/>
      <c r="B466" s="57"/>
    </row>
    <row r="467" spans="1:2" ht="12.75">
      <c r="A467" s="56"/>
      <c r="B467" s="57"/>
    </row>
    <row r="468" spans="1:2" ht="12.75">
      <c r="A468" s="56"/>
      <c r="B468" s="57"/>
    </row>
    <row r="469" spans="1:2" ht="12.75">
      <c r="A469" s="56"/>
      <c r="B469" s="57"/>
    </row>
    <row r="470" spans="1:2" ht="12.75">
      <c r="A470" s="56"/>
      <c r="B470" s="57"/>
    </row>
    <row r="471" spans="1:2" ht="12.75">
      <c r="A471" s="56"/>
      <c r="B471" s="57"/>
    </row>
    <row r="472" spans="1:2" ht="12.75">
      <c r="A472" s="56"/>
      <c r="B472" s="57"/>
    </row>
    <row r="473" spans="1:2" ht="12.75">
      <c r="A473" s="56"/>
      <c r="B473" s="57"/>
    </row>
    <row r="474" spans="1:2" ht="12.75">
      <c r="A474" s="56"/>
      <c r="B474" s="57"/>
    </row>
    <row r="475" spans="1:2" ht="12.75">
      <c r="A475" s="56"/>
      <c r="B475" s="57"/>
    </row>
    <row r="476" spans="1:2" ht="12.75">
      <c r="A476" s="56"/>
      <c r="B476" s="57"/>
    </row>
    <row r="477" spans="1:2" ht="12.75">
      <c r="A477" s="56"/>
      <c r="B477" s="57"/>
    </row>
    <row r="478" spans="1:2" ht="12.75">
      <c r="A478" s="56"/>
      <c r="B478" s="57"/>
    </row>
    <row r="479" spans="1:2" ht="12.75">
      <c r="A479" s="56"/>
      <c r="B479" s="57"/>
    </row>
    <row r="480" spans="1:2" ht="12.75">
      <c r="A480" s="56"/>
      <c r="B480" s="57"/>
    </row>
    <row r="481" spans="1:2" ht="12.75">
      <c r="A481" s="56"/>
      <c r="B481" s="57"/>
    </row>
    <row r="482" spans="1:2" ht="12.75">
      <c r="A482" s="56"/>
      <c r="B482" s="57"/>
    </row>
    <row r="483" spans="1:2" ht="12.75">
      <c r="A483" s="56"/>
      <c r="B483" s="57"/>
    </row>
    <row r="484" spans="1:2" ht="12.75">
      <c r="A484" s="56"/>
      <c r="B484" s="57"/>
    </row>
    <row r="485" spans="1:2" ht="12.75">
      <c r="A485" s="56"/>
      <c r="B485" s="57"/>
    </row>
    <row r="486" spans="1:2" ht="12.75">
      <c r="A486" s="56"/>
      <c r="B486" s="57"/>
    </row>
    <row r="487" spans="1:2" ht="12.75">
      <c r="A487" s="56"/>
      <c r="B487" s="57"/>
    </row>
    <row r="488" spans="1:2" ht="12.75">
      <c r="A488" s="56"/>
      <c r="B488" s="57"/>
    </row>
    <row r="489" spans="1:2" ht="12.75">
      <c r="A489" s="56"/>
      <c r="B489" s="57"/>
    </row>
    <row r="490" spans="1:2" ht="12.75">
      <c r="A490" s="56"/>
      <c r="B490" s="57"/>
    </row>
    <row r="491" spans="1:2" ht="12.75">
      <c r="A491" s="56"/>
      <c r="B491" s="57"/>
    </row>
    <row r="492" spans="1:2" ht="12.75">
      <c r="A492" s="56"/>
      <c r="B492" s="57"/>
    </row>
    <row r="493" spans="1:2" ht="12.75">
      <c r="A493" s="56"/>
      <c r="B493" s="57"/>
    </row>
    <row r="494" spans="1:2" ht="12.75">
      <c r="A494" s="56"/>
      <c r="B494" s="57"/>
    </row>
    <row r="495" spans="1:2" ht="12.75">
      <c r="A495" s="56"/>
      <c r="B495" s="57"/>
    </row>
    <row r="496" spans="1:2" ht="12.75">
      <c r="A496" s="56"/>
      <c r="B496" s="57"/>
    </row>
    <row r="497" spans="1:2" ht="12.75">
      <c r="A497" s="56"/>
      <c r="B497" s="57"/>
    </row>
    <row r="498" spans="1:2" ht="12.75">
      <c r="A498" s="56"/>
      <c r="B498" s="57"/>
    </row>
    <row r="499" spans="1:2" ht="12.75">
      <c r="A499" s="56"/>
      <c r="B499" s="57"/>
    </row>
    <row r="500" spans="1:2" ht="12.75">
      <c r="A500" s="56"/>
      <c r="B500" s="57"/>
    </row>
    <row r="501" spans="1:2" ht="12.75">
      <c r="A501" s="56"/>
      <c r="B501" s="57"/>
    </row>
    <row r="502" spans="1:2" ht="12.75">
      <c r="A502" s="56"/>
      <c r="B502" s="57"/>
    </row>
    <row r="503" spans="1:2" ht="12.75">
      <c r="A503" s="56"/>
      <c r="B503" s="57"/>
    </row>
    <row r="504" spans="1:2" ht="12.75">
      <c r="A504" s="56"/>
      <c r="B504" s="57"/>
    </row>
    <row r="505" spans="1:2" ht="12.75">
      <c r="A505" s="56"/>
      <c r="B505" s="57"/>
    </row>
    <row r="506" spans="1:2" ht="12.75">
      <c r="A506" s="56"/>
      <c r="B506" s="57"/>
    </row>
    <row r="507" spans="1:2" ht="12.75">
      <c r="A507" s="56"/>
      <c r="B507" s="57"/>
    </row>
    <row r="508" spans="1:2" ht="12.75">
      <c r="A508" s="56"/>
      <c r="B508" s="57"/>
    </row>
    <row r="509" spans="1:2" ht="12.75">
      <c r="A509" s="56"/>
      <c r="B509" s="57"/>
    </row>
    <row r="510" spans="1:2" ht="12.75">
      <c r="A510" s="56"/>
      <c r="B510" s="57"/>
    </row>
    <row r="511" spans="1:2" ht="12.75">
      <c r="A511" s="56"/>
      <c r="B511" s="57"/>
    </row>
    <row r="512" spans="1:2" ht="12.75">
      <c r="A512" s="56"/>
      <c r="B512" s="57"/>
    </row>
    <row r="513" spans="1:2" ht="12.75">
      <c r="A513" s="56"/>
      <c r="B513" s="57"/>
    </row>
    <row r="514" spans="1:2" ht="12.75">
      <c r="A514" s="56"/>
      <c r="B514" s="57"/>
    </row>
    <row r="515" spans="1:2" ht="12.75">
      <c r="A515" s="56"/>
      <c r="B515" s="57"/>
    </row>
    <row r="516" spans="1:2" ht="12.75">
      <c r="A516" s="56"/>
      <c r="B516" s="57"/>
    </row>
    <row r="517" spans="1:2" ht="12.75">
      <c r="A517" s="56"/>
      <c r="B517" s="57"/>
    </row>
    <row r="518" spans="1:2" ht="12.75">
      <c r="A518" s="56"/>
      <c r="B518" s="57"/>
    </row>
    <row r="519" spans="1:2" ht="12.75">
      <c r="A519" s="56"/>
      <c r="B519" s="57"/>
    </row>
    <row r="520" spans="1:2" ht="12.75">
      <c r="A520" s="56"/>
      <c r="B520" s="57"/>
    </row>
    <row r="521" spans="1:2" ht="12.75">
      <c r="A521" s="56"/>
      <c r="B521" s="57"/>
    </row>
    <row r="522" spans="1:2" ht="12.75">
      <c r="A522" s="56"/>
      <c r="B522" s="57"/>
    </row>
    <row r="523" spans="1:2" ht="12.75">
      <c r="A523" s="56"/>
      <c r="B523" s="57"/>
    </row>
    <row r="524" spans="1:2" ht="12.75">
      <c r="A524" s="56"/>
      <c r="B524" s="57"/>
    </row>
    <row r="525" spans="1:2" ht="12.75">
      <c r="A525" s="56"/>
      <c r="B525" s="57"/>
    </row>
    <row r="526" spans="1:2" ht="12.75">
      <c r="A526" s="56"/>
      <c r="B526" s="57"/>
    </row>
    <row r="527" spans="1:2" ht="12.75">
      <c r="A527" s="56"/>
      <c r="B527" s="57"/>
    </row>
    <row r="528" spans="1:2" ht="12.75">
      <c r="A528" s="56"/>
      <c r="B528" s="57"/>
    </row>
    <row r="529" spans="1:2" ht="12.75">
      <c r="A529" s="56"/>
      <c r="B529" s="57"/>
    </row>
    <row r="530" spans="1:2" ht="12.75">
      <c r="A530" s="56"/>
      <c r="B530" s="57"/>
    </row>
    <row r="531" spans="1:2" ht="12.75">
      <c r="A531" s="56"/>
      <c r="B531" s="57"/>
    </row>
    <row r="532" spans="1:2" ht="12.75">
      <c r="A532" s="56"/>
      <c r="B532" s="57"/>
    </row>
    <row r="533" spans="1:2" ht="12.75">
      <c r="A533" s="56"/>
      <c r="B533" s="57"/>
    </row>
    <row r="534" spans="1:2" ht="12.75">
      <c r="A534" s="56"/>
      <c r="B534" s="57"/>
    </row>
    <row r="535" spans="1:2" ht="12.75">
      <c r="A535" s="56"/>
      <c r="B535" s="57"/>
    </row>
    <row r="536" spans="1:2" ht="12.75">
      <c r="A536" s="56"/>
      <c r="B536" s="57"/>
    </row>
    <row r="537" spans="1:2" ht="12.75">
      <c r="A537" s="56"/>
      <c r="B537" s="57"/>
    </row>
    <row r="538" spans="1:2" ht="12.75">
      <c r="A538" s="56"/>
      <c r="B538" s="57"/>
    </row>
    <row r="539" spans="1:2" ht="12.75">
      <c r="A539" s="56"/>
      <c r="B539" s="57"/>
    </row>
    <row r="540" spans="1:2" ht="12.75">
      <c r="A540" s="56"/>
      <c r="B540" s="57"/>
    </row>
    <row r="541" spans="1:2" ht="12.75">
      <c r="A541" s="56"/>
      <c r="B541" s="57"/>
    </row>
    <row r="542" spans="1:2" ht="12.75">
      <c r="A542" s="56"/>
      <c r="B542" s="57"/>
    </row>
    <row r="543" spans="1:2" ht="12.75">
      <c r="A543" s="56"/>
      <c r="B543" s="57"/>
    </row>
    <row r="544" spans="1:2" ht="12.75">
      <c r="A544" s="56"/>
      <c r="B544" s="57"/>
    </row>
    <row r="545" spans="1:2" ht="12.75">
      <c r="A545" s="56"/>
      <c r="B545" s="57"/>
    </row>
    <row r="546" spans="1:2" ht="12.75">
      <c r="A546" s="56"/>
      <c r="B546" s="57"/>
    </row>
    <row r="547" spans="1:2" ht="12.75">
      <c r="A547" s="56"/>
      <c r="B547" s="57"/>
    </row>
    <row r="548" spans="1:2" ht="12.75">
      <c r="A548" s="56"/>
      <c r="B548" s="57"/>
    </row>
    <row r="549" spans="1:2" ht="12.75">
      <c r="A549" s="56"/>
      <c r="B549" s="57"/>
    </row>
    <row r="550" spans="1:2" ht="12.75">
      <c r="A550" s="56"/>
      <c r="B550" s="57"/>
    </row>
    <row r="551" spans="1:2" ht="12.75">
      <c r="A551" s="56"/>
      <c r="B551" s="57"/>
    </row>
    <row r="552" spans="1:2" ht="12.75">
      <c r="A552" s="56"/>
      <c r="B552" s="57"/>
    </row>
    <row r="553" spans="1:2" ht="12.75">
      <c r="A553" s="56"/>
      <c r="B553" s="57"/>
    </row>
    <row r="554" spans="1:2" ht="12.75">
      <c r="A554" s="56"/>
      <c r="B554" s="57"/>
    </row>
    <row r="555" spans="1:2" ht="12.75">
      <c r="A555" s="56"/>
      <c r="B555" s="57"/>
    </row>
    <row r="556" spans="1:2" ht="12.75">
      <c r="A556" s="56"/>
      <c r="B556" s="57"/>
    </row>
    <row r="557" spans="1:2" ht="12.75">
      <c r="A557" s="56"/>
      <c r="B557" s="57"/>
    </row>
    <row r="558" spans="1:2" ht="12.75">
      <c r="A558" s="56"/>
      <c r="B558" s="57"/>
    </row>
    <row r="559" spans="1:2" ht="12.75">
      <c r="A559" s="56"/>
      <c r="B559" s="57"/>
    </row>
    <row r="560" spans="1:2" ht="12.75">
      <c r="A560" s="56"/>
      <c r="B560" s="57"/>
    </row>
    <row r="561" spans="1:2" ht="12.75">
      <c r="A561" s="56"/>
      <c r="B561" s="57"/>
    </row>
    <row r="562" spans="1:2" ht="12.75">
      <c r="A562" s="56"/>
      <c r="B562" s="57"/>
    </row>
    <row r="563" spans="1:2" ht="12.75">
      <c r="A563" s="56"/>
      <c r="B563" s="57"/>
    </row>
    <row r="564" spans="1:2" ht="12.75">
      <c r="A564" s="56"/>
      <c r="B564" s="57"/>
    </row>
    <row r="565" spans="1:2" ht="12.75">
      <c r="A565" s="56"/>
      <c r="B565" s="57"/>
    </row>
    <row r="566" spans="1:2" ht="12.75">
      <c r="A566" s="56"/>
      <c r="B566" s="57"/>
    </row>
    <row r="567" spans="1:2" ht="12.75">
      <c r="A567" s="56"/>
      <c r="B567" s="57"/>
    </row>
    <row r="568" spans="1:2" ht="12.75">
      <c r="A568" s="56"/>
      <c r="B568" s="57"/>
    </row>
    <row r="569" spans="1:2" ht="12.75">
      <c r="A569" s="56"/>
      <c r="B569" s="57"/>
    </row>
    <row r="570" spans="1:2" ht="12.75">
      <c r="A570" s="56"/>
      <c r="B570" s="57"/>
    </row>
    <row r="571" spans="1:2" ht="12.75">
      <c r="A571" s="56"/>
      <c r="B571" s="57"/>
    </row>
    <row r="572" spans="1:2" ht="12.75">
      <c r="A572" s="56"/>
      <c r="B572" s="57"/>
    </row>
    <row r="573" spans="1:2" ht="12.75">
      <c r="A573" s="56"/>
      <c r="B573" s="57"/>
    </row>
    <row r="574" spans="1:2" ht="12.75">
      <c r="A574" s="56"/>
      <c r="B574" s="57"/>
    </row>
    <row r="575" spans="1:2" ht="12.75">
      <c r="A575" s="56"/>
      <c r="B575" s="57"/>
    </row>
    <row r="576" spans="1:2" ht="12.75">
      <c r="A576" s="56"/>
      <c r="B576" s="57"/>
    </row>
    <row r="577" spans="1:2" ht="12.75">
      <c r="A577" s="56"/>
      <c r="B577" s="57"/>
    </row>
    <row r="578" spans="1:2" ht="12.75">
      <c r="A578" s="56"/>
      <c r="B578" s="57"/>
    </row>
    <row r="579" spans="1:2" ht="12.75">
      <c r="A579" s="56"/>
      <c r="B579" s="57"/>
    </row>
    <row r="580" spans="1:2" ht="12.75">
      <c r="A580" s="56"/>
      <c r="B580" s="57"/>
    </row>
    <row r="581" spans="1:2" ht="12.75">
      <c r="A581" s="56"/>
      <c r="B581" s="57"/>
    </row>
    <row r="582" spans="1:2" ht="12.75">
      <c r="A582" s="56"/>
      <c r="B582" s="57"/>
    </row>
    <row r="583" spans="1:2" ht="12.75">
      <c r="A583" s="56"/>
      <c r="B583" s="57"/>
    </row>
    <row r="584" spans="1:2" ht="12.75">
      <c r="A584" s="56"/>
      <c r="B584" s="57"/>
    </row>
    <row r="585" spans="1:2" ht="12.75">
      <c r="A585" s="56"/>
      <c r="B585" s="57"/>
    </row>
    <row r="586" spans="1:2" ht="12.75">
      <c r="A586" s="56"/>
      <c r="B586" s="57"/>
    </row>
    <row r="587" spans="1:2" ht="12.75">
      <c r="A587" s="56"/>
      <c r="B587" s="57"/>
    </row>
    <row r="588" spans="1:2" ht="12.75">
      <c r="A588" s="56"/>
      <c r="B588" s="57"/>
    </row>
    <row r="589" spans="1:2" ht="12.75">
      <c r="A589" s="56"/>
      <c r="B589" s="57"/>
    </row>
    <row r="590" spans="1:2" ht="12.75">
      <c r="A590" s="56"/>
      <c r="B590" s="57"/>
    </row>
    <row r="591" spans="1:2" ht="12.75">
      <c r="A591" s="56"/>
      <c r="B591" s="57"/>
    </row>
    <row r="592" spans="1:2" ht="12.75">
      <c r="A592" s="56"/>
      <c r="B592" s="57"/>
    </row>
    <row r="593" spans="1:2" ht="12.75">
      <c r="A593" s="56"/>
      <c r="B593" s="57"/>
    </row>
    <row r="594" spans="1:2" ht="12.75">
      <c r="A594" s="56"/>
      <c r="B594" s="57"/>
    </row>
    <row r="595" spans="1:2" ht="12.75">
      <c r="A595" s="56"/>
      <c r="B595" s="57"/>
    </row>
    <row r="596" spans="1:2" ht="12.75">
      <c r="A596" s="56"/>
      <c r="B596" s="57"/>
    </row>
    <row r="597" spans="1:2" ht="12.75">
      <c r="A597" s="56"/>
      <c r="B597" s="57"/>
    </row>
    <row r="598" spans="1:2" ht="12.75">
      <c r="A598" s="56"/>
      <c r="B598" s="57"/>
    </row>
    <row r="599" spans="1:2" ht="12.75">
      <c r="A599" s="56"/>
      <c r="B599" s="57"/>
    </row>
    <row r="600" spans="1:2" ht="12.75">
      <c r="A600" s="56"/>
      <c r="B600" s="57"/>
    </row>
    <row r="601" spans="1:2" ht="12.75">
      <c r="A601" s="56"/>
      <c r="B601" s="57"/>
    </row>
    <row r="602" spans="1:2" ht="12.75">
      <c r="A602" s="56"/>
      <c r="B602" s="57"/>
    </row>
    <row r="603" spans="1:2" ht="12.75">
      <c r="A603" s="56"/>
      <c r="B603" s="57"/>
    </row>
    <row r="604" spans="1:2" ht="12.75">
      <c r="A604" s="56"/>
      <c r="B604" s="57"/>
    </row>
    <row r="605" spans="1:2" ht="12.75">
      <c r="A605" s="56"/>
      <c r="B605" s="57"/>
    </row>
    <row r="606" spans="1:2" ht="12.75">
      <c r="A606" s="56"/>
      <c r="B606" s="57"/>
    </row>
    <row r="607" spans="1:2" ht="12.75">
      <c r="A607" s="56"/>
      <c r="B607" s="57"/>
    </row>
    <row r="608" spans="1:2" ht="12.75">
      <c r="A608" s="56"/>
      <c r="B608" s="57"/>
    </row>
    <row r="609" spans="1:2" ht="12.75">
      <c r="A609" s="56"/>
      <c r="B609" s="57"/>
    </row>
    <row r="610" spans="1:2" ht="12.75">
      <c r="A610" s="56"/>
      <c r="B610" s="57"/>
    </row>
    <row r="611" spans="1:2" ht="12.75">
      <c r="A611" s="56"/>
      <c r="B611" s="57"/>
    </row>
    <row r="612" spans="1:2" ht="12.75">
      <c r="A612" s="56"/>
      <c r="B612" s="57"/>
    </row>
    <row r="613" spans="1:2" ht="12.75">
      <c r="A613" s="56"/>
      <c r="B613" s="57"/>
    </row>
    <row r="614" spans="1:2" ht="12.75">
      <c r="A614" s="56"/>
      <c r="B614" s="57"/>
    </row>
    <row r="615" spans="1:2" ht="12.75">
      <c r="A615" s="56"/>
      <c r="B615" s="57"/>
    </row>
    <row r="616" spans="1:2" ht="12.75">
      <c r="A616" s="56"/>
      <c r="B616" s="57"/>
    </row>
    <row r="617" spans="1:2" ht="12.75">
      <c r="A617" s="56"/>
      <c r="B617" s="57"/>
    </row>
    <row r="618" spans="1:2" ht="12.75">
      <c r="A618" s="56"/>
      <c r="B618" s="57"/>
    </row>
    <row r="619" spans="1:2" ht="12.75">
      <c r="A619" s="56"/>
      <c r="B619" s="57"/>
    </row>
    <row r="620" spans="1:2" ht="12.75">
      <c r="A620" s="56"/>
      <c r="B620" s="57"/>
    </row>
    <row r="621" spans="1:2" ht="12.75">
      <c r="A621" s="56"/>
      <c r="B621" s="57"/>
    </row>
    <row r="622" spans="1:2" ht="12.75">
      <c r="A622" s="56"/>
      <c r="B622" s="57"/>
    </row>
    <row r="623" spans="1:2" ht="12.75">
      <c r="A623" s="56"/>
      <c r="B623" s="57"/>
    </row>
    <row r="624" spans="1:2" ht="12.75">
      <c r="A624" s="56"/>
      <c r="B624" s="57"/>
    </row>
    <row r="625" spans="1:2" ht="12.75">
      <c r="A625" s="56"/>
      <c r="B625" s="57"/>
    </row>
    <row r="626" spans="1:2" ht="12.75">
      <c r="A626" s="56"/>
      <c r="B626" s="57"/>
    </row>
    <row r="627" spans="1:2" ht="12.75">
      <c r="A627" s="56"/>
      <c r="B627" s="57"/>
    </row>
    <row r="628" spans="1:2" ht="12.75">
      <c r="A628" s="56"/>
      <c r="B628" s="57"/>
    </row>
    <row r="629" spans="1:2" ht="12.75">
      <c r="A629" s="56"/>
      <c r="B629" s="57"/>
    </row>
    <row r="630" spans="1:2" ht="12.75">
      <c r="A630" s="56"/>
      <c r="B630" s="57"/>
    </row>
    <row r="631" spans="1:2" ht="12.75">
      <c r="A631" s="56"/>
      <c r="B631" s="57"/>
    </row>
    <row r="632" spans="1:2" ht="12.75">
      <c r="A632" s="56"/>
      <c r="B632" s="57"/>
    </row>
    <row r="633" spans="1:2" ht="12.75">
      <c r="A633" s="56"/>
      <c r="B633" s="57"/>
    </row>
    <row r="634" spans="1:2" ht="12.75">
      <c r="A634" s="56"/>
      <c r="B634" s="57"/>
    </row>
    <row r="635" spans="1:2" ht="12.75">
      <c r="A635" s="56"/>
      <c r="B635" s="57"/>
    </row>
    <row r="636" spans="1:2" ht="12.75">
      <c r="A636" s="56"/>
      <c r="B636" s="57"/>
    </row>
    <row r="637" spans="1:2" ht="12.75">
      <c r="A637" s="56"/>
      <c r="B637" s="57"/>
    </row>
    <row r="638" spans="1:2" ht="12.75">
      <c r="A638" s="56"/>
      <c r="B638" s="57"/>
    </row>
    <row r="639" spans="1:2" ht="12.75">
      <c r="A639" s="56"/>
      <c r="B639" s="57"/>
    </row>
    <row r="640" spans="1:2" ht="12.75">
      <c r="A640" s="56"/>
      <c r="B640" s="57"/>
    </row>
    <row r="641" spans="1:2" ht="12.75">
      <c r="A641" s="56"/>
      <c r="B641" s="57"/>
    </row>
    <row r="642" spans="1:2" ht="12.75">
      <c r="A642" s="56"/>
      <c r="B642" s="57"/>
    </row>
    <row r="643" spans="1:2" ht="12.75">
      <c r="A643" s="56"/>
      <c r="B643" s="57"/>
    </row>
    <row r="644" spans="1:2" ht="12.75">
      <c r="A644" s="56"/>
      <c r="B644" s="57"/>
    </row>
    <row r="645" spans="1:2" ht="12.75">
      <c r="A645" s="56"/>
      <c r="B645" s="57"/>
    </row>
    <row r="646" spans="1:2" ht="12.75">
      <c r="A646" s="56"/>
      <c r="B646" s="57"/>
    </row>
    <row r="647" spans="1:2" ht="12.75">
      <c r="A647" s="56"/>
      <c r="B647" s="57"/>
    </row>
    <row r="648" spans="1:2" ht="12.75">
      <c r="A648" s="56"/>
      <c r="B648" s="57"/>
    </row>
    <row r="649" spans="1:2" ht="12.75">
      <c r="A649" s="56"/>
      <c r="B649" s="57"/>
    </row>
    <row r="650" spans="1:2" ht="12.75">
      <c r="A650" s="56"/>
      <c r="B650" s="57"/>
    </row>
    <row r="651" spans="1:2" ht="12.75">
      <c r="A651" s="56"/>
      <c r="B651" s="57"/>
    </row>
    <row r="652" spans="1:2" ht="12.75">
      <c r="A652" s="56"/>
      <c r="B652" s="57"/>
    </row>
    <row r="653" spans="1:2" ht="12.75">
      <c r="A653" s="56"/>
      <c r="B653" s="57"/>
    </row>
    <row r="654" spans="1:2" ht="12.75">
      <c r="A654" s="56"/>
      <c r="B654" s="57"/>
    </row>
    <row r="655" spans="1:2" ht="12.75">
      <c r="A655" s="56"/>
      <c r="B655" s="57"/>
    </row>
    <row r="656" spans="1:2" ht="12.75">
      <c r="A656" s="56"/>
      <c r="B656" s="57"/>
    </row>
    <row r="657" spans="1:2" ht="12.75">
      <c r="A657" s="56"/>
      <c r="B657" s="57"/>
    </row>
    <row r="658" spans="1:2" ht="12.75">
      <c r="A658" s="56"/>
      <c r="B658" s="57"/>
    </row>
    <row r="659" spans="1:2" ht="12.75">
      <c r="A659" s="56"/>
      <c r="B659" s="57"/>
    </row>
    <row r="660" spans="1:2" ht="12.75">
      <c r="A660" s="56"/>
      <c r="B660" s="57"/>
    </row>
    <row r="661" spans="1:2" ht="12.75">
      <c r="A661" s="56"/>
      <c r="B661" s="57"/>
    </row>
    <row r="662" spans="1:2" ht="12.75">
      <c r="A662" s="56"/>
      <c r="B662" s="57"/>
    </row>
    <row r="663" spans="1:2" ht="12.75">
      <c r="A663" s="56"/>
      <c r="B663" s="57"/>
    </row>
    <row r="664" spans="1:2" ht="12.75">
      <c r="A664" s="56"/>
      <c r="B664" s="57"/>
    </row>
    <row r="665" spans="1:2" ht="12.75">
      <c r="A665" s="56"/>
      <c r="B665" s="57"/>
    </row>
    <row r="666" spans="1:2" ht="12.75">
      <c r="A666" s="56"/>
      <c r="B666" s="57"/>
    </row>
    <row r="667" spans="1:2" ht="12.75">
      <c r="A667" s="56"/>
      <c r="B667" s="57"/>
    </row>
    <row r="668" spans="1:2" ht="12.75">
      <c r="A668" s="56"/>
      <c r="B668" s="57"/>
    </row>
    <row r="669" spans="1:2" ht="12.75">
      <c r="A669" s="56"/>
      <c r="B669" s="57"/>
    </row>
    <row r="670" spans="1:2" ht="12.75">
      <c r="A670" s="56"/>
      <c r="B670" s="57"/>
    </row>
    <row r="671" spans="1:2" ht="12.75">
      <c r="A671" s="56"/>
      <c r="B671" s="57"/>
    </row>
    <row r="672" spans="1:2" ht="12.75">
      <c r="A672" s="56"/>
      <c r="B672" s="57"/>
    </row>
    <row r="673" spans="1:2" ht="12.75">
      <c r="A673" s="56"/>
      <c r="B673" s="57"/>
    </row>
    <row r="674" spans="1:2" ht="12.75">
      <c r="A674" s="56"/>
      <c r="B674" s="57"/>
    </row>
    <row r="675" spans="1:2" ht="12.75">
      <c r="A675" s="56"/>
      <c r="B675" s="57"/>
    </row>
    <row r="676" spans="1:2" ht="12.75">
      <c r="A676" s="56"/>
      <c r="B676" s="57"/>
    </row>
    <row r="677" spans="1:2" ht="12.75">
      <c r="A677" s="56"/>
      <c r="B677" s="57"/>
    </row>
    <row r="678" spans="1:2" ht="12.75">
      <c r="A678" s="56"/>
      <c r="B678" s="57"/>
    </row>
    <row r="679" spans="1:2" ht="12.75">
      <c r="A679" s="56"/>
      <c r="B679" s="57"/>
    </row>
    <row r="680" spans="1:2" ht="12.75">
      <c r="A680" s="56"/>
      <c r="B680" s="57"/>
    </row>
    <row r="681" spans="1:2" ht="12.75">
      <c r="A681" s="56"/>
      <c r="B681" s="57"/>
    </row>
    <row r="682" spans="1:2" ht="12.75">
      <c r="A682" s="56"/>
      <c r="B682" s="57"/>
    </row>
    <row r="683" spans="1:2" ht="12.75">
      <c r="A683" s="56"/>
      <c r="B683" s="57"/>
    </row>
    <row r="684" spans="1:2" ht="12.75">
      <c r="A684" s="56"/>
      <c r="B684" s="57"/>
    </row>
    <row r="685" spans="1:2" ht="12.75">
      <c r="A685" s="56"/>
      <c r="B685" s="57"/>
    </row>
    <row r="686" spans="1:2" ht="12.75">
      <c r="A686" s="56"/>
      <c r="B686" s="57"/>
    </row>
    <row r="687" spans="1:2" ht="12.75">
      <c r="A687" s="56"/>
      <c r="B687" s="57"/>
    </row>
    <row r="688" spans="1:2" ht="12.75">
      <c r="A688" s="56"/>
      <c r="B688" s="57"/>
    </row>
    <row r="689" spans="1:2" ht="12.75">
      <c r="A689" s="56"/>
      <c r="B689" s="57"/>
    </row>
    <row r="690" spans="1:2" ht="12.75">
      <c r="A690" s="56"/>
      <c r="B690" s="57"/>
    </row>
    <row r="691" spans="1:2" ht="12.75">
      <c r="A691" s="56"/>
      <c r="B691" s="57"/>
    </row>
    <row r="692" spans="1:2" ht="12.75">
      <c r="A692" s="56"/>
      <c r="B692" s="57"/>
    </row>
    <row r="693" spans="1:2" ht="12.75">
      <c r="A693" s="56"/>
      <c r="B693" s="57"/>
    </row>
    <row r="694" spans="1:2" ht="12.75">
      <c r="A694" s="56"/>
      <c r="B694" s="57"/>
    </row>
    <row r="695" spans="1:2" ht="12.75">
      <c r="A695" s="56"/>
      <c r="B695" s="57"/>
    </row>
    <row r="696" spans="1:2" ht="12.75">
      <c r="A696" s="56"/>
      <c r="B696" s="57"/>
    </row>
    <row r="697" spans="1:2" ht="12.75">
      <c r="A697" s="56"/>
      <c r="B697" s="57"/>
    </row>
    <row r="698" spans="1:2" ht="12.75">
      <c r="A698" s="56"/>
      <c r="B698" s="57"/>
    </row>
    <row r="699" spans="1:2" ht="12.75">
      <c r="A699" s="56"/>
      <c r="B699" s="57"/>
    </row>
    <row r="700" spans="1:2" ht="12.75">
      <c r="A700" s="56"/>
      <c r="B700" s="57"/>
    </row>
    <row r="701" spans="1:2" ht="12.75">
      <c r="A701" s="56"/>
      <c r="B701" s="57"/>
    </row>
    <row r="702" spans="1:2" ht="12.75">
      <c r="A702" s="56"/>
      <c r="B702" s="57"/>
    </row>
    <row r="703" spans="1:2" ht="12.75">
      <c r="A703" s="56"/>
      <c r="B703" s="57"/>
    </row>
    <row r="704" spans="1:2" ht="12.75">
      <c r="A704" s="56"/>
      <c r="B704" s="57"/>
    </row>
    <row r="705" spans="1:2" ht="12.75">
      <c r="A705" s="56"/>
      <c r="B705" s="57"/>
    </row>
    <row r="706" spans="1:2" ht="12.75">
      <c r="A706" s="56"/>
      <c r="B706" s="57"/>
    </row>
    <row r="707" spans="1:2" ht="12.75">
      <c r="A707" s="56"/>
      <c r="B707" s="57"/>
    </row>
    <row r="708" spans="1:2" ht="12.75">
      <c r="A708" s="56"/>
      <c r="B708" s="57"/>
    </row>
    <row r="709" spans="1:2" ht="12.75">
      <c r="A709" s="56"/>
      <c r="B709" s="57"/>
    </row>
    <row r="710" spans="1:2" ht="12.75">
      <c r="A710" s="56"/>
      <c r="B710" s="57"/>
    </row>
    <row r="711" spans="1:2" ht="12.75">
      <c r="A711" s="56"/>
      <c r="B711" s="57"/>
    </row>
    <row r="712" spans="1:2" ht="12.75">
      <c r="A712" s="56"/>
      <c r="B712" s="57"/>
    </row>
    <row r="713" spans="1:2" ht="12.75">
      <c r="A713" s="56"/>
      <c r="B713" s="57"/>
    </row>
    <row r="714" spans="1:2" ht="12.75">
      <c r="A714" s="56"/>
      <c r="B714" s="57"/>
    </row>
    <row r="715" spans="1:2" ht="12.75">
      <c r="A715" s="56"/>
      <c r="B715" s="57"/>
    </row>
    <row r="716" spans="1:2" ht="12.75">
      <c r="A716" s="56"/>
      <c r="B716" s="57"/>
    </row>
    <row r="717" spans="1:2" ht="12.75">
      <c r="A717" s="56"/>
      <c r="B717" s="57"/>
    </row>
    <row r="718" spans="1:2" ht="12.75">
      <c r="A718" s="56"/>
      <c r="B718" s="57"/>
    </row>
    <row r="719" spans="1:2" ht="12.75">
      <c r="A719" s="56"/>
      <c r="B719" s="57"/>
    </row>
    <row r="720" spans="1:2" ht="12.75">
      <c r="A720" s="56"/>
      <c r="B720" s="57"/>
    </row>
    <row r="721" spans="1:2" ht="12.75">
      <c r="A721" s="56"/>
      <c r="B721" s="57"/>
    </row>
    <row r="722" spans="1:2" ht="12.75">
      <c r="A722" s="56"/>
      <c r="B722" s="57"/>
    </row>
    <row r="723" spans="1:2" ht="12.75">
      <c r="A723" s="56"/>
      <c r="B723" s="57"/>
    </row>
    <row r="724" spans="1:2" ht="12.75">
      <c r="A724" s="56"/>
      <c r="B724" s="57"/>
    </row>
    <row r="725" spans="1:2" ht="12.75">
      <c r="A725" s="56"/>
      <c r="B725" s="57"/>
    </row>
    <row r="726" spans="1:2" ht="12.75">
      <c r="A726" s="56"/>
      <c r="B726" s="57"/>
    </row>
    <row r="727" spans="1:2" ht="12.75">
      <c r="A727" s="56"/>
      <c r="B727" s="57"/>
    </row>
    <row r="728" spans="1:2" ht="12.75">
      <c r="A728" s="56"/>
      <c r="B728" s="57"/>
    </row>
    <row r="729" spans="1:2" ht="12.75">
      <c r="A729" s="56"/>
      <c r="B729" s="57"/>
    </row>
    <row r="730" spans="1:2" ht="12.75">
      <c r="A730" s="56"/>
      <c r="B730" s="57"/>
    </row>
    <row r="731" spans="1:2" ht="12.75">
      <c r="A731" s="56"/>
      <c r="B731" s="57"/>
    </row>
    <row r="732" spans="1:2" ht="12.75">
      <c r="A732" s="56"/>
      <c r="B732" s="57"/>
    </row>
    <row r="733" spans="1:2" ht="12.75">
      <c r="A733" s="56"/>
      <c r="B733" s="57"/>
    </row>
    <row r="734" spans="1:2" ht="12.75">
      <c r="A734" s="56"/>
      <c r="B734" s="57"/>
    </row>
    <row r="735" spans="1:2" ht="12.75">
      <c r="A735" s="56"/>
      <c r="B735" s="57"/>
    </row>
    <row r="736" spans="1:2" ht="12.75">
      <c r="A736" s="56"/>
      <c r="B736" s="57"/>
    </row>
    <row r="737" spans="1:2" ht="12.75">
      <c r="A737" s="56"/>
      <c r="B737" s="57"/>
    </row>
    <row r="738" spans="1:2" ht="12.75">
      <c r="A738" s="56"/>
      <c r="B738" s="57"/>
    </row>
    <row r="739" spans="1:2" ht="12.75">
      <c r="A739" s="56"/>
      <c r="B739" s="57"/>
    </row>
    <row r="740" spans="1:2" ht="12.75">
      <c r="A740" s="56"/>
      <c r="B740" s="57"/>
    </row>
    <row r="741" spans="1:2" ht="12.75">
      <c r="A741" s="56"/>
      <c r="B741" s="57"/>
    </row>
    <row r="742" spans="1:2" ht="12.75">
      <c r="A742" s="56"/>
      <c r="B742" s="57"/>
    </row>
    <row r="743" spans="1:2" ht="12.75">
      <c r="A743" s="56"/>
      <c r="B743" s="57"/>
    </row>
    <row r="744" spans="1:2" ht="12.75">
      <c r="A744" s="56"/>
      <c r="B744" s="57"/>
    </row>
    <row r="745" spans="1:2" ht="12.75">
      <c r="A745" s="56"/>
      <c r="B745" s="57"/>
    </row>
    <row r="746" spans="1:2" ht="12.75">
      <c r="A746" s="56"/>
      <c r="B746" s="57"/>
    </row>
    <row r="747" spans="1:2" ht="12.75">
      <c r="A747" s="56"/>
      <c r="B747" s="57"/>
    </row>
    <row r="748" spans="1:2" ht="12.75">
      <c r="A748" s="56"/>
      <c r="B748" s="57"/>
    </row>
    <row r="749" spans="1:2" ht="12.75">
      <c r="A749" s="56"/>
      <c r="B749" s="57"/>
    </row>
    <row r="750" spans="1:2" ht="12.75">
      <c r="A750" s="56"/>
      <c r="B750" s="57"/>
    </row>
    <row r="751" spans="1:2" ht="12.75">
      <c r="A751" s="56"/>
      <c r="B751" s="57"/>
    </row>
    <row r="752" spans="1:2" ht="12.75">
      <c r="A752" s="56"/>
      <c r="B752" s="57"/>
    </row>
    <row r="753" spans="1:2" ht="12.75">
      <c r="A753" s="56"/>
      <c r="B753" s="57"/>
    </row>
    <row r="754" spans="1:2" ht="12.75">
      <c r="A754" s="56"/>
      <c r="B754" s="57"/>
    </row>
    <row r="755" spans="1:2" ht="12.75">
      <c r="A755" s="56"/>
      <c r="B755" s="57"/>
    </row>
    <row r="756" spans="1:2" ht="12.75">
      <c r="A756" s="56"/>
      <c r="B756" s="57"/>
    </row>
    <row r="757" spans="1:2" ht="12.75">
      <c r="A757" s="56"/>
      <c r="B757" s="57"/>
    </row>
    <row r="758" spans="1:2" ht="12.75">
      <c r="A758" s="56"/>
      <c r="B758" s="57"/>
    </row>
    <row r="759" spans="1:2" ht="12.75">
      <c r="A759" s="56"/>
      <c r="B759" s="57"/>
    </row>
    <row r="760" spans="1:2" ht="12.75">
      <c r="A760" s="56"/>
      <c r="B760" s="57"/>
    </row>
    <row r="761" spans="1:2" ht="12.75">
      <c r="A761" s="56"/>
      <c r="B761" s="57"/>
    </row>
    <row r="762" spans="1:2" ht="12.75">
      <c r="A762" s="56"/>
      <c r="B762" s="57"/>
    </row>
    <row r="763" spans="1:2" ht="12.75">
      <c r="A763" s="56"/>
      <c r="B763" s="57"/>
    </row>
    <row r="764" spans="1:2" ht="12.75">
      <c r="A764" s="56"/>
      <c r="B764" s="57"/>
    </row>
    <row r="765" spans="1:2" ht="12.75">
      <c r="A765" s="56"/>
      <c r="B765" s="57"/>
    </row>
    <row r="766" spans="1:2" ht="12.75">
      <c r="A766" s="56"/>
      <c r="B766" s="57"/>
    </row>
    <row r="767" spans="1:2" ht="12.75">
      <c r="A767" s="56"/>
      <c r="B767" s="57"/>
    </row>
    <row r="768" spans="1:2" ht="12.75">
      <c r="A768" s="56"/>
      <c r="B768" s="57"/>
    </row>
    <row r="769" spans="1:2" ht="12.75">
      <c r="A769" s="56"/>
      <c r="B769" s="57"/>
    </row>
    <row r="770" spans="1:2" ht="12.75">
      <c r="A770" s="56"/>
      <c r="B770" s="57"/>
    </row>
    <row r="771" spans="1:2" ht="12.75">
      <c r="A771" s="56"/>
      <c r="B771" s="57"/>
    </row>
    <row r="772" spans="1:2" ht="12.75">
      <c r="A772" s="56"/>
      <c r="B772" s="57"/>
    </row>
    <row r="773" spans="1:2" ht="12.75">
      <c r="A773" s="56"/>
      <c r="B773" s="57"/>
    </row>
    <row r="774" spans="1:2" ht="12.75">
      <c r="A774" s="56"/>
      <c r="B774" s="57"/>
    </row>
    <row r="775" spans="1:2" ht="12.75">
      <c r="A775" s="56"/>
      <c r="B775" s="57"/>
    </row>
    <row r="776" spans="1:2" ht="12.75">
      <c r="A776" s="56"/>
      <c r="B776" s="57"/>
    </row>
    <row r="777" spans="1:2" ht="12.75">
      <c r="A777" s="56"/>
      <c r="B777" s="57"/>
    </row>
    <row r="778" spans="1:2" ht="12.75">
      <c r="A778" s="56"/>
      <c r="B778" s="57"/>
    </row>
    <row r="779" spans="1:2" ht="12.75">
      <c r="A779" s="56"/>
      <c r="B779" s="57"/>
    </row>
    <row r="780" spans="1:2" ht="12.75">
      <c r="A780" s="56"/>
      <c r="B780" s="57"/>
    </row>
    <row r="781" spans="1:2" ht="12.75">
      <c r="A781" s="56"/>
      <c r="B781" s="57"/>
    </row>
    <row r="782" spans="1:2" ht="12.75">
      <c r="A782" s="56"/>
      <c r="B782" s="57"/>
    </row>
    <row r="783" spans="1:2" ht="12.75">
      <c r="A783" s="56"/>
      <c r="B783" s="57"/>
    </row>
    <row r="784" spans="1:2" ht="12.75">
      <c r="A784" s="56"/>
      <c r="B784" s="57"/>
    </row>
    <row r="785" spans="1:2" ht="12.75">
      <c r="A785" s="56"/>
      <c r="B785" s="57"/>
    </row>
    <row r="786" spans="1:2" ht="12.75">
      <c r="A786" s="56"/>
      <c r="B786" s="57"/>
    </row>
    <row r="787" spans="1:2" ht="12.75">
      <c r="A787" s="56"/>
      <c r="B787" s="57"/>
    </row>
    <row r="788" spans="1:2" ht="12.75">
      <c r="A788" s="56"/>
      <c r="B788" s="57"/>
    </row>
    <row r="789" spans="1:2" ht="12.75">
      <c r="A789" s="56"/>
      <c r="B789" s="57"/>
    </row>
    <row r="790" spans="1:2" ht="12.75">
      <c r="A790" s="56"/>
      <c r="B790" s="57"/>
    </row>
    <row r="791" spans="1:2" ht="12.75">
      <c r="A791" s="56"/>
      <c r="B791" s="57"/>
    </row>
    <row r="792" spans="1:2" ht="12.75">
      <c r="A792" s="56"/>
      <c r="B792" s="57"/>
    </row>
    <row r="793" spans="1:2" ht="12.75">
      <c r="A793" s="56"/>
      <c r="B793" s="57"/>
    </row>
    <row r="794" spans="1:2" ht="12.75">
      <c r="A794" s="56"/>
      <c r="B794" s="57"/>
    </row>
    <row r="795" spans="1:2" ht="12.75">
      <c r="A795" s="56"/>
      <c r="B795" s="57"/>
    </row>
    <row r="796" spans="1:2" ht="12.75">
      <c r="A796" s="56"/>
      <c r="B796" s="57"/>
    </row>
    <row r="797" spans="1:2" ht="12.75">
      <c r="A797" s="56"/>
      <c r="B797" s="57"/>
    </row>
    <row r="798" spans="1:2" ht="12.75">
      <c r="A798" s="56"/>
      <c r="B798" s="57"/>
    </row>
    <row r="799" spans="1:2" ht="12.75">
      <c r="A799" s="56"/>
      <c r="B799" s="57"/>
    </row>
    <row r="800" spans="1:2" ht="12.75">
      <c r="A800" s="56"/>
      <c r="B800" s="57"/>
    </row>
    <row r="801" spans="1:2" ht="12.75">
      <c r="A801" s="56"/>
      <c r="B801" s="57"/>
    </row>
    <row r="802" spans="1:2" ht="12.75">
      <c r="A802" s="56"/>
      <c r="B802" s="57"/>
    </row>
    <row r="803" spans="1:2" ht="12.75">
      <c r="A803" s="56"/>
      <c r="B803" s="57"/>
    </row>
    <row r="804" spans="1:2" ht="12.75">
      <c r="A804" s="56"/>
      <c r="B804" s="57"/>
    </row>
    <row r="805" spans="1:2" ht="12.75">
      <c r="A805" s="56"/>
      <c r="B805" s="57"/>
    </row>
    <row r="806" spans="1:2" ht="12.75">
      <c r="A806" s="56"/>
      <c r="B806" s="57"/>
    </row>
    <row r="807" spans="1:2" ht="12.75">
      <c r="A807" s="56"/>
      <c r="B807" s="57"/>
    </row>
    <row r="808" spans="1:2" ht="12.75">
      <c r="A808" s="56"/>
      <c r="B808" s="57"/>
    </row>
    <row r="809" spans="1:2" ht="12.75">
      <c r="A809" s="56"/>
      <c r="B809" s="57"/>
    </row>
    <row r="810" spans="1:2" ht="12.75">
      <c r="A810" s="56"/>
      <c r="B810" s="57"/>
    </row>
    <row r="811" spans="1:2" ht="12.75">
      <c r="A811" s="56"/>
      <c r="B811" s="57"/>
    </row>
    <row r="812" spans="1:2" ht="12.75">
      <c r="A812" s="56"/>
      <c r="B812" s="57"/>
    </row>
    <row r="813" spans="1:2" ht="12.75">
      <c r="A813" s="56"/>
      <c r="B813" s="57"/>
    </row>
    <row r="814" spans="1:2" ht="12.75">
      <c r="A814" s="56"/>
      <c r="B814" s="57"/>
    </row>
    <row r="815" spans="1:2" ht="12.75">
      <c r="A815" s="56"/>
      <c r="B815" s="57"/>
    </row>
    <row r="816" spans="1:2" ht="12.75">
      <c r="A816" s="56"/>
      <c r="B816" s="57"/>
    </row>
    <row r="817" spans="1:2" ht="12.75">
      <c r="A817" s="56"/>
      <c r="B817" s="57"/>
    </row>
    <row r="818" spans="1:2" ht="12.75">
      <c r="A818" s="56"/>
      <c r="B818" s="57"/>
    </row>
    <row r="819" spans="1:2" ht="12.75">
      <c r="A819" s="56"/>
      <c r="B819" s="57"/>
    </row>
    <row r="820" spans="1:2" ht="12.75">
      <c r="A820" s="56"/>
      <c r="B820" s="57"/>
    </row>
    <row r="821" spans="1:2" ht="12.75">
      <c r="A821" s="56"/>
      <c r="B821" s="57"/>
    </row>
    <row r="822" spans="1:2" ht="12.75">
      <c r="A822" s="56"/>
      <c r="B822" s="57"/>
    </row>
    <row r="823" spans="1:2" ht="12.75">
      <c r="A823" s="56"/>
      <c r="B823" s="57"/>
    </row>
    <row r="824" spans="1:2" ht="12.75">
      <c r="A824" s="56"/>
      <c r="B824" s="57"/>
    </row>
    <row r="825" spans="1:2" ht="12.75">
      <c r="A825" s="56"/>
      <c r="B825" s="57"/>
    </row>
    <row r="826" spans="1:2" ht="12.75">
      <c r="A826" s="56"/>
      <c r="B826" s="57"/>
    </row>
    <row r="827" spans="1:2" ht="12.75">
      <c r="A827" s="56"/>
      <c r="B827" s="57"/>
    </row>
    <row r="828" spans="1:2" ht="12.75">
      <c r="A828" s="56"/>
      <c r="B828" s="57"/>
    </row>
    <row r="829" spans="1:2" ht="12.75">
      <c r="A829" s="56"/>
      <c r="B829" s="57"/>
    </row>
    <row r="830" spans="1:2" ht="12.75">
      <c r="A830" s="56"/>
      <c r="B830" s="57"/>
    </row>
    <row r="831" spans="1:2" ht="12.75">
      <c r="A831" s="56"/>
      <c r="B831" s="57"/>
    </row>
    <row r="832" spans="1:2" ht="12.75">
      <c r="A832" s="56"/>
      <c r="B832" s="57"/>
    </row>
    <row r="833" spans="1:2" ht="12.75">
      <c r="A833" s="56"/>
      <c r="B833" s="57"/>
    </row>
    <row r="834" spans="1:2" ht="12.75">
      <c r="A834" s="56"/>
      <c r="B834" s="57"/>
    </row>
    <row r="835" spans="1:2" ht="12.75">
      <c r="A835" s="56"/>
      <c r="B835" s="57"/>
    </row>
    <row r="836" spans="1:2" ht="12.75">
      <c r="A836" s="56"/>
      <c r="B836" s="57"/>
    </row>
    <row r="837" spans="1:2" ht="12.75">
      <c r="A837" s="56"/>
      <c r="B837" s="57"/>
    </row>
    <row r="838" spans="1:2" ht="12.75">
      <c r="A838" s="56"/>
      <c r="B838" s="57"/>
    </row>
    <row r="839" spans="1:2" ht="12.75">
      <c r="A839" s="56"/>
      <c r="B839" s="57"/>
    </row>
    <row r="840" spans="1:2" ht="12.75">
      <c r="A840" s="56"/>
      <c r="B840" s="57"/>
    </row>
    <row r="841" spans="1:2" ht="12.75">
      <c r="A841" s="56"/>
      <c r="B841" s="57"/>
    </row>
    <row r="842" spans="1:2" ht="12.75">
      <c r="A842" s="56"/>
      <c r="B842" s="57"/>
    </row>
    <row r="843" spans="1:2" ht="12.75">
      <c r="A843" s="56"/>
      <c r="B843" s="57"/>
    </row>
    <row r="844" spans="1:2" ht="12.75">
      <c r="A844" s="56"/>
      <c r="B844" s="57"/>
    </row>
    <row r="845" spans="1:2" ht="12.75">
      <c r="A845" s="56"/>
      <c r="B845" s="57"/>
    </row>
    <row r="846" spans="1:2" ht="12.75">
      <c r="A846" s="56"/>
      <c r="B846" s="57"/>
    </row>
    <row r="847" spans="1:2" ht="12.75">
      <c r="A847" s="56"/>
      <c r="B847" s="57"/>
    </row>
    <row r="848" spans="1:2" ht="12.75">
      <c r="A848" s="56"/>
      <c r="B848" s="57"/>
    </row>
    <row r="849" spans="1:2" ht="12.75">
      <c r="A849" s="56"/>
      <c r="B849" s="57"/>
    </row>
    <row r="850" spans="1:2" ht="12.75">
      <c r="A850" s="56"/>
      <c r="B850" s="57"/>
    </row>
    <row r="851" spans="1:2" ht="12.75">
      <c r="A851" s="56"/>
      <c r="B851" s="57"/>
    </row>
    <row r="852" spans="1:2" ht="12.75">
      <c r="A852" s="56"/>
      <c r="B852" s="57"/>
    </row>
    <row r="853" spans="1:2" ht="12.75">
      <c r="A853" s="56"/>
      <c r="B853" s="57"/>
    </row>
    <row r="854" spans="1:2" ht="12.75">
      <c r="A854" s="56"/>
      <c r="B854" s="57"/>
    </row>
    <row r="855" spans="1:2" ht="12.75">
      <c r="A855" s="56"/>
      <c r="B855" s="57"/>
    </row>
    <row r="856" spans="1:2" ht="12.75">
      <c r="A856" s="56"/>
      <c r="B856" s="57"/>
    </row>
    <row r="857" spans="1:2" ht="12.75">
      <c r="A857" s="56"/>
      <c r="B857" s="57"/>
    </row>
    <row r="858" spans="1:2" ht="12.75">
      <c r="A858" s="56"/>
      <c r="B858" s="57"/>
    </row>
    <row r="859" spans="1:2" ht="12.75">
      <c r="A859" s="56"/>
      <c r="B859" s="57"/>
    </row>
    <row r="860" spans="1:2" ht="12.75">
      <c r="A860" s="56"/>
      <c r="B860" s="57"/>
    </row>
    <row r="861" spans="1:2" ht="12.75">
      <c r="A861" s="56"/>
      <c r="B861" s="57"/>
    </row>
    <row r="862" spans="1:2" ht="12.75">
      <c r="A862" s="56"/>
      <c r="B862" s="57"/>
    </row>
    <row r="863" spans="1:2" ht="12.75">
      <c r="A863" s="56"/>
      <c r="B863" s="57"/>
    </row>
    <row r="864" spans="1:2" ht="12.75">
      <c r="A864" s="56"/>
      <c r="B864" s="57"/>
    </row>
    <row r="865" spans="1:2" ht="12.75">
      <c r="A865" s="56"/>
      <c r="B865" s="57"/>
    </row>
    <row r="866" spans="1:2" ht="12.75">
      <c r="A866" s="56"/>
      <c r="B866" s="57"/>
    </row>
    <row r="867" spans="1:2" ht="12.75">
      <c r="A867" s="56"/>
      <c r="B867" s="57"/>
    </row>
    <row r="868" spans="1:2" ht="12.75">
      <c r="A868" s="56"/>
      <c r="B868" s="57"/>
    </row>
    <row r="869" spans="1:2" ht="12.75">
      <c r="A869" s="56"/>
      <c r="B869" s="57"/>
    </row>
    <row r="870" spans="1:2" ht="12.75">
      <c r="A870" s="56"/>
      <c r="B870" s="57"/>
    </row>
    <row r="871" spans="1:2" ht="12.75">
      <c r="A871" s="56"/>
      <c r="B871" s="57"/>
    </row>
    <row r="872" spans="1:2" ht="12.75">
      <c r="A872" s="56"/>
      <c r="B872" s="57"/>
    </row>
    <row r="873" spans="1:2" ht="12.75">
      <c r="A873" s="56"/>
      <c r="B873" s="57"/>
    </row>
    <row r="874" spans="1:2" ht="12.75">
      <c r="A874" s="56"/>
      <c r="B874" s="57"/>
    </row>
    <row r="875" spans="1:2" ht="12.75">
      <c r="A875" s="56"/>
      <c r="B875" s="57"/>
    </row>
    <row r="876" spans="1:2" ht="12.75">
      <c r="A876" s="56"/>
      <c r="B876" s="57"/>
    </row>
    <row r="877" spans="1:2" ht="12.75">
      <c r="A877" s="56"/>
      <c r="B877" s="57"/>
    </row>
    <row r="878" spans="1:2" ht="12.75">
      <c r="A878" s="56"/>
      <c r="B878" s="57"/>
    </row>
    <row r="879" spans="1:2" ht="12.75">
      <c r="A879" s="56"/>
      <c r="B879" s="57"/>
    </row>
    <row r="880" spans="1:2" ht="12.75">
      <c r="A880" s="56"/>
      <c r="B880" s="57"/>
    </row>
    <row r="881" spans="1:2" ht="12.75">
      <c r="A881" s="56"/>
      <c r="B881" s="57"/>
    </row>
    <row r="882" spans="1:2" ht="12.75">
      <c r="A882" s="56"/>
      <c r="B882" s="57"/>
    </row>
    <row r="883" spans="1:2" ht="12.75">
      <c r="A883" s="56"/>
      <c r="B883" s="57"/>
    </row>
    <row r="884" spans="1:2" ht="12.75">
      <c r="A884" s="56"/>
      <c r="B884" s="57"/>
    </row>
    <row r="885" spans="1:2" ht="12.75">
      <c r="A885" s="56"/>
      <c r="B885" s="57"/>
    </row>
    <row r="886" spans="1:2" ht="12.75">
      <c r="A886" s="56"/>
      <c r="B886" s="57"/>
    </row>
    <row r="887" spans="1:2" ht="12.75">
      <c r="A887" s="56"/>
      <c r="B887" s="57"/>
    </row>
    <row r="888" spans="1:2" ht="12.75">
      <c r="A888" s="56"/>
      <c r="B888" s="57"/>
    </row>
    <row r="889" spans="1:2" ht="12.75">
      <c r="A889" s="56"/>
      <c r="B889" s="57"/>
    </row>
    <row r="890" spans="1:2" ht="12.75">
      <c r="A890" s="56"/>
      <c r="B890" s="57"/>
    </row>
    <row r="891" spans="1:2" ht="12.75">
      <c r="A891" s="56"/>
      <c r="B891" s="57"/>
    </row>
    <row r="892" spans="1:2" ht="12.75">
      <c r="A892" s="56"/>
      <c r="B892" s="57"/>
    </row>
    <row r="893" spans="1:2" ht="12.75">
      <c r="A893" s="56"/>
      <c r="B893" s="57"/>
    </row>
    <row r="894" spans="1:2" ht="12.75">
      <c r="A894" s="56"/>
      <c r="B894" s="57"/>
    </row>
    <row r="895" spans="1:2" ht="12.75">
      <c r="A895" s="56"/>
      <c r="B895" s="57"/>
    </row>
    <row r="896" spans="1:2" ht="12.75">
      <c r="A896" s="56"/>
      <c r="B896" s="57"/>
    </row>
    <row r="897" spans="1:2" ht="12.75">
      <c r="A897" s="56"/>
      <c r="B897" s="57"/>
    </row>
    <row r="898" spans="1:2" ht="12.75">
      <c r="A898" s="56"/>
      <c r="B898" s="57"/>
    </row>
    <row r="899" spans="1:2" ht="12.75">
      <c r="A899" s="56"/>
      <c r="B899" s="57"/>
    </row>
    <row r="900" spans="1:2" ht="12.75">
      <c r="A900" s="56"/>
      <c r="B900" s="57"/>
    </row>
    <row r="901" spans="1:2" ht="12.75">
      <c r="A901" s="56"/>
      <c r="B901" s="57"/>
    </row>
    <row r="902" spans="1:2" ht="12.75">
      <c r="A902" s="56"/>
      <c r="B902" s="57"/>
    </row>
    <row r="903" spans="1:2" ht="12.75">
      <c r="A903" s="56"/>
      <c r="B903" s="57"/>
    </row>
    <row r="904" spans="1:2" ht="12.75">
      <c r="A904" s="56"/>
      <c r="B904" s="57"/>
    </row>
    <row r="905" spans="1:2" ht="12.75">
      <c r="A905" s="56"/>
      <c r="B905" s="57"/>
    </row>
    <row r="906" spans="1:2" ht="12.75">
      <c r="A906" s="56"/>
      <c r="B906" s="57"/>
    </row>
    <row r="907" spans="1:2" ht="12.75">
      <c r="A907" s="56"/>
      <c r="B907" s="57"/>
    </row>
    <row r="908" spans="1:2" ht="12.75">
      <c r="A908" s="56"/>
      <c r="B908" s="57"/>
    </row>
    <row r="909" spans="1:2" ht="12.75">
      <c r="A909" s="56"/>
      <c r="B909" s="57"/>
    </row>
    <row r="910" spans="1:2" ht="12.75">
      <c r="A910" s="56"/>
      <c r="B910" s="57"/>
    </row>
    <row r="911" spans="1:2" ht="12.75">
      <c r="A911" s="56"/>
      <c r="B911" s="57"/>
    </row>
    <row r="912" spans="1:2" ht="12.75">
      <c r="A912" s="56"/>
      <c r="B912" s="57"/>
    </row>
    <row r="913" spans="1:2" ht="12.75">
      <c r="A913" s="56"/>
      <c r="B913" s="57"/>
    </row>
    <row r="914" spans="1:2" ht="12.75">
      <c r="A914" s="56"/>
      <c r="B914" s="57"/>
    </row>
    <row r="915" spans="1:2" ht="12.75">
      <c r="A915" s="56"/>
      <c r="B915" s="57"/>
    </row>
    <row r="916" spans="1:2" ht="12.75">
      <c r="A916" s="56"/>
      <c r="B916" s="57"/>
    </row>
    <row r="917" spans="1:2" ht="12.75">
      <c r="A917" s="56"/>
      <c r="B917" s="57"/>
    </row>
    <row r="918" spans="1:2" ht="12.75">
      <c r="A918" s="56"/>
      <c r="B918" s="57"/>
    </row>
    <row r="919" spans="1:2" ht="12.75">
      <c r="A919" s="56"/>
      <c r="B919" s="57"/>
    </row>
    <row r="920" spans="1:2" ht="12.75">
      <c r="A920" s="56"/>
      <c r="B920" s="57"/>
    </row>
    <row r="921" spans="1:2" ht="12.75">
      <c r="A921" s="56"/>
      <c r="B921" s="57"/>
    </row>
    <row r="922" spans="1:2" ht="12.75">
      <c r="A922" s="56"/>
      <c r="B922" s="57"/>
    </row>
    <row r="923" spans="1:2" ht="12.75">
      <c r="A923" s="56"/>
      <c r="B923" s="57"/>
    </row>
    <row r="924" spans="1:2" ht="12.75">
      <c r="A924" s="56"/>
      <c r="B924" s="57"/>
    </row>
    <row r="925" spans="1:2" ht="12.75">
      <c r="A925" s="56"/>
      <c r="B925" s="57"/>
    </row>
    <row r="926" spans="1:2" ht="12.75">
      <c r="A926" s="56"/>
      <c r="B926" s="57"/>
    </row>
    <row r="927" spans="1:2" ht="12.75">
      <c r="A927" s="56"/>
      <c r="B927" s="57"/>
    </row>
    <row r="928" spans="1:2" ht="12.75">
      <c r="A928" s="56"/>
      <c r="B928" s="57"/>
    </row>
    <row r="929" spans="1:2" ht="12.75">
      <c r="A929" s="56"/>
      <c r="B929" s="57"/>
    </row>
    <row r="930" spans="1:2" ht="12.75">
      <c r="A930" s="56"/>
      <c r="B930" s="57"/>
    </row>
    <row r="931" spans="1:2" ht="12.75">
      <c r="A931" s="56"/>
      <c r="B931" s="57"/>
    </row>
    <row r="932" spans="1:2" ht="12.75">
      <c r="A932" s="56"/>
      <c r="B932" s="57"/>
    </row>
    <row r="933" spans="1:2" ht="12.75">
      <c r="A933" s="56"/>
      <c r="B933" s="57"/>
    </row>
    <row r="934" spans="1:2" ht="12.75">
      <c r="A934" s="56"/>
      <c r="B934" s="57"/>
    </row>
    <row r="935" spans="1:2" ht="12.75">
      <c r="A935" s="56"/>
      <c r="B935" s="57"/>
    </row>
    <row r="936" spans="1:2" ht="12.75">
      <c r="A936" s="56"/>
      <c r="B936" s="57"/>
    </row>
    <row r="937" spans="1:2" ht="12.75">
      <c r="A937" s="56"/>
      <c r="B937" s="57"/>
    </row>
    <row r="938" spans="1:2" ht="12.75">
      <c r="A938" s="56"/>
      <c r="B938" s="57"/>
    </row>
    <row r="939" spans="1:2" ht="12.75">
      <c r="A939" s="56"/>
      <c r="B939" s="57"/>
    </row>
    <row r="940" spans="1:2" ht="12.75">
      <c r="A940" s="56"/>
      <c r="B940" s="57"/>
    </row>
    <row r="941" spans="1:2" ht="12.75">
      <c r="A941" s="56"/>
      <c r="B941" s="57"/>
    </row>
    <row r="942" spans="1:2" ht="12.75">
      <c r="A942" s="56"/>
      <c r="B942" s="57"/>
    </row>
    <row r="943" spans="1:2" ht="12.75">
      <c r="A943" s="56"/>
      <c r="B943" s="57"/>
    </row>
    <row r="944" spans="1:2" ht="12.75">
      <c r="A944" s="56"/>
      <c r="B944" s="57"/>
    </row>
    <row r="945" spans="1:2" ht="12.75">
      <c r="A945" s="56"/>
      <c r="B945" s="57"/>
    </row>
    <row r="946" spans="1:2" ht="12.75">
      <c r="A946" s="56"/>
      <c r="B946" s="57"/>
    </row>
    <row r="947" spans="1:2" ht="12.75">
      <c r="A947" s="56"/>
      <c r="B947" s="57"/>
    </row>
    <row r="948" spans="1:2" ht="12.75">
      <c r="A948" s="56"/>
      <c r="B948" s="57"/>
    </row>
    <row r="949" spans="1:2" ht="12.75">
      <c r="A949" s="56"/>
      <c r="B949" s="57"/>
    </row>
    <row r="950" spans="1:2" ht="12.75">
      <c r="A950" s="56"/>
      <c r="B950" s="57"/>
    </row>
    <row r="951" spans="1:2" ht="12.75">
      <c r="A951" s="56"/>
      <c r="B951" s="57"/>
    </row>
    <row r="952" spans="1:2" ht="12.75">
      <c r="A952" s="56"/>
      <c r="B952" s="57"/>
    </row>
    <row r="953" spans="1:2" ht="12.75">
      <c r="A953" s="56"/>
      <c r="B953" s="57"/>
    </row>
    <row r="954" spans="1:2" ht="12.75">
      <c r="A954" s="56"/>
      <c r="B954" s="57"/>
    </row>
    <row r="955" spans="1:2" ht="12.75">
      <c r="A955" s="56"/>
      <c r="B955" s="57"/>
    </row>
    <row r="956" spans="1:2" ht="12.75">
      <c r="A956" s="56"/>
      <c r="B956" s="57"/>
    </row>
    <row r="957" spans="1:2" ht="12.75">
      <c r="A957" s="56"/>
      <c r="B957" s="57"/>
    </row>
    <row r="958" spans="1:2" ht="12.75">
      <c r="A958" s="56"/>
      <c r="B958" s="57"/>
    </row>
    <row r="959" spans="1:2" ht="12.75">
      <c r="A959" s="56"/>
      <c r="B959" s="57"/>
    </row>
    <row r="960" spans="1:2" ht="12.75">
      <c r="A960" s="56"/>
      <c r="B960" s="57"/>
    </row>
    <row r="961" spans="1:2" ht="12.75">
      <c r="A961" s="56"/>
      <c r="B961" s="57"/>
    </row>
    <row r="962" spans="1:2" ht="12.75">
      <c r="A962" s="56"/>
      <c r="B962" s="57"/>
    </row>
    <row r="963" spans="1:2" ht="12.75">
      <c r="A963" s="56"/>
      <c r="B963" s="57"/>
    </row>
    <row r="964" spans="1:2" ht="12.75">
      <c r="A964" s="56"/>
      <c r="B964" s="57"/>
    </row>
    <row r="965" spans="1:2" ht="12.75">
      <c r="A965" s="56"/>
      <c r="B965" s="57"/>
    </row>
    <row r="966" spans="1:2" ht="12.75">
      <c r="A966" s="56"/>
      <c r="B966" s="57"/>
    </row>
    <row r="967" spans="1:2" ht="12.75">
      <c r="A967" s="56"/>
      <c r="B967" s="57"/>
    </row>
    <row r="968" spans="1:2" ht="12.75">
      <c r="A968" s="56"/>
      <c r="B968" s="57"/>
    </row>
    <row r="969" spans="1:2" ht="12.75">
      <c r="A969" s="56"/>
      <c r="B969" s="57"/>
    </row>
    <row r="970" spans="1:2" ht="12.75">
      <c r="A970" s="56"/>
      <c r="B970" s="57"/>
    </row>
    <row r="971" spans="1:2" ht="12.75">
      <c r="A971" s="56"/>
      <c r="B971" s="57"/>
    </row>
    <row r="972" spans="1:2" ht="12.75">
      <c r="A972" s="56"/>
      <c r="B972" s="57"/>
    </row>
    <row r="973" spans="1:2" ht="12.75">
      <c r="A973" s="56"/>
      <c r="B973" s="57"/>
    </row>
    <row r="974" spans="1:2" ht="12.75">
      <c r="A974" s="56"/>
      <c r="B974" s="57"/>
    </row>
    <row r="975" spans="1:2" ht="12.75">
      <c r="A975" s="56"/>
      <c r="B975" s="57"/>
    </row>
    <row r="976" spans="1:2" ht="12.75">
      <c r="A976" s="56"/>
      <c r="B976" s="57"/>
    </row>
    <row r="977" spans="1:2" ht="12.75">
      <c r="A977" s="56"/>
      <c r="B977" s="57"/>
    </row>
    <row r="978" spans="1:2" ht="12.75">
      <c r="A978" s="56"/>
      <c r="B978" s="57"/>
    </row>
    <row r="979" spans="1:2" ht="12.75">
      <c r="A979" s="56"/>
      <c r="B979" s="57"/>
    </row>
    <row r="980" spans="1:2" ht="12.75">
      <c r="A980" s="56"/>
      <c r="B980" s="57"/>
    </row>
    <row r="981" spans="1:2" ht="12.75">
      <c r="A981" s="56"/>
      <c r="B981" s="57"/>
    </row>
    <row r="982" spans="1:2" ht="12.75">
      <c r="A982" s="56"/>
      <c r="B982" s="57"/>
    </row>
    <row r="983" spans="1:2" ht="12.75">
      <c r="A983" s="56"/>
      <c r="B983" s="57"/>
    </row>
    <row r="984" spans="1:2" ht="12.75">
      <c r="A984" s="56"/>
      <c r="B984" s="57"/>
    </row>
    <row r="985" spans="1:2" ht="12.75">
      <c r="A985" s="56"/>
      <c r="B985" s="57"/>
    </row>
    <row r="986" spans="1:2" ht="12.75">
      <c r="A986" s="56"/>
      <c r="B986" s="57"/>
    </row>
    <row r="987" spans="1:2" ht="12.75">
      <c r="A987" s="56"/>
      <c r="B987" s="57"/>
    </row>
    <row r="988" spans="1:2" ht="12.75">
      <c r="A988" s="56"/>
      <c r="B988" s="57"/>
    </row>
    <row r="989" spans="1:2" ht="12.75">
      <c r="A989" s="56"/>
      <c r="B989" s="57"/>
    </row>
    <row r="990" spans="1:2" ht="12.75">
      <c r="A990" s="56"/>
      <c r="B990" s="57"/>
    </row>
    <row r="991" spans="1:2" ht="12.75">
      <c r="A991" s="56"/>
      <c r="B991" s="57"/>
    </row>
    <row r="992" spans="1:2" ht="12.75">
      <c r="A992" s="56"/>
      <c r="B992" s="57"/>
    </row>
    <row r="993" spans="1:2" ht="12.75">
      <c r="A993" s="56"/>
      <c r="B993" s="57"/>
    </row>
    <row r="994" spans="1:2" ht="12.75">
      <c r="A994" s="56"/>
      <c r="B994" s="57"/>
    </row>
    <row r="995" spans="1:2" ht="12.75">
      <c r="A995" s="56"/>
      <c r="B995" s="57"/>
    </row>
    <row r="996" spans="1:2" ht="12.75">
      <c r="A996" s="56"/>
      <c r="B996" s="57"/>
    </row>
    <row r="997" spans="1:2" ht="12.75">
      <c r="A997" s="56"/>
      <c r="B997" s="57"/>
    </row>
    <row r="998" spans="1:2" ht="12.75">
      <c r="A998" s="56"/>
      <c r="B998" s="57"/>
    </row>
    <row r="999" spans="1:2" ht="12.75">
      <c r="A999" s="56"/>
      <c r="B999" s="57"/>
    </row>
  </sheetData>
  <mergeCells count="70">
    <mergeCell ref="C8:E8"/>
    <mergeCell ref="B9:E9"/>
    <mergeCell ref="C32:E32"/>
    <mergeCell ref="B33:E33"/>
    <mergeCell ref="B39:E39"/>
    <mergeCell ref="C38:E38"/>
    <mergeCell ref="C44:E44"/>
    <mergeCell ref="B45:E45"/>
    <mergeCell ref="C51:E51"/>
    <mergeCell ref="B52:E52"/>
    <mergeCell ref="C58:E58"/>
    <mergeCell ref="B59:E59"/>
    <mergeCell ref="B86:E86"/>
    <mergeCell ref="C64:E64"/>
    <mergeCell ref="B65:E65"/>
    <mergeCell ref="C72:E72"/>
    <mergeCell ref="B73:E73"/>
    <mergeCell ref="C79:E79"/>
    <mergeCell ref="B80:E80"/>
    <mergeCell ref="C85:E85"/>
    <mergeCell ref="C89:E89"/>
    <mergeCell ref="B90:E90"/>
    <mergeCell ref="C99:E99"/>
    <mergeCell ref="B100:E100"/>
    <mergeCell ref="C110:E110"/>
    <mergeCell ref="P6:Q6"/>
    <mergeCell ref="R6:S6"/>
    <mergeCell ref="A1:B1"/>
    <mergeCell ref="A2:B2"/>
    <mergeCell ref="F5:Y5"/>
    <mergeCell ref="C6:E6"/>
    <mergeCell ref="F6:G6"/>
    <mergeCell ref="H6:I6"/>
    <mergeCell ref="J6:K6"/>
    <mergeCell ref="X6:Y6"/>
    <mergeCell ref="T6:U6"/>
    <mergeCell ref="V6:W6"/>
    <mergeCell ref="L6:M6"/>
    <mergeCell ref="N6:O6"/>
    <mergeCell ref="Z6:AA6"/>
    <mergeCell ref="AB6:AC6"/>
    <mergeCell ref="AD6:AE6"/>
    <mergeCell ref="AF6:AG6"/>
    <mergeCell ref="AH6:AI6"/>
    <mergeCell ref="AJ6:AK6"/>
    <mergeCell ref="AL6:AM6"/>
    <mergeCell ref="AN6:AO6"/>
    <mergeCell ref="AP6:AQ6"/>
    <mergeCell ref="AR6:AS6"/>
    <mergeCell ref="AT6:AU6"/>
    <mergeCell ref="AV6:AW6"/>
    <mergeCell ref="AX6:AY6"/>
    <mergeCell ref="AZ6:BA6"/>
    <mergeCell ref="BB6:BC6"/>
    <mergeCell ref="BD6:BE6"/>
    <mergeCell ref="BF6:BG6"/>
    <mergeCell ref="BH6:BI6"/>
    <mergeCell ref="BJ6:BK6"/>
    <mergeCell ref="BZ6:CA6"/>
    <mergeCell ref="CB6:CC6"/>
    <mergeCell ref="CD6:CE6"/>
    <mergeCell ref="CF6:CG6"/>
    <mergeCell ref="CH6:CI6"/>
    <mergeCell ref="BL6:BM6"/>
    <mergeCell ref="BN6:BO6"/>
    <mergeCell ref="BP6:BQ6"/>
    <mergeCell ref="BR6:BS6"/>
    <mergeCell ref="BT6:BU6"/>
    <mergeCell ref="BV6:BW6"/>
    <mergeCell ref="BX6:BY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I1000"/>
  <sheetViews>
    <sheetView workbookViewId="0">
      <pane xSplit="5" ySplit="7" topLeftCell="F8" activePane="bottomRight" state="frozen"/>
      <selection pane="topRight" activeCell="F1" sqref="F1"/>
      <selection pane="bottomLeft" activeCell="A8" sqref="A8"/>
      <selection pane="bottomRight" activeCell="B23" sqref="B23:E23"/>
    </sheetView>
  </sheetViews>
  <sheetFormatPr defaultColWidth="12.5703125" defaultRowHeight="15.75" customHeight="1"/>
  <cols>
    <col min="1" max="1" width="20.140625" customWidth="1"/>
    <col min="2" max="2" width="48.140625" customWidth="1"/>
    <col min="3" max="5" width="5.140625" customWidth="1"/>
    <col min="20" max="21" width="12.5703125" hidden="1"/>
  </cols>
  <sheetData>
    <row r="1" spans="1:87" ht="30">
      <c r="A1" s="148" t="s">
        <v>0</v>
      </c>
      <c r="B1" s="128"/>
      <c r="C1" s="149"/>
      <c r="D1" s="128"/>
      <c r="E1" s="128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</row>
    <row r="2" spans="1:87" ht="31.5">
      <c r="A2" s="150" t="s">
        <v>173</v>
      </c>
      <c r="B2" s="130"/>
      <c r="C2" s="4"/>
      <c r="D2" s="4"/>
      <c r="E2" s="4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</row>
    <row r="3" spans="1:87" ht="18">
      <c r="A3" s="60" t="s">
        <v>2</v>
      </c>
      <c r="B3" s="6"/>
      <c r="C3" s="4"/>
      <c r="D3" s="4"/>
      <c r="E3" s="4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</row>
    <row r="4" spans="1:87" ht="18">
      <c r="A4" s="151" t="s">
        <v>3</v>
      </c>
      <c r="B4" s="128"/>
      <c r="C4" s="128"/>
      <c r="D4" s="128"/>
      <c r="E4" s="128"/>
      <c r="F4" s="3"/>
      <c r="G4" s="3"/>
      <c r="H4" s="3"/>
      <c r="I4" s="7" t="s">
        <v>4</v>
      </c>
      <c r="J4" s="3"/>
      <c r="K4" s="3"/>
      <c r="L4" s="3"/>
      <c r="M4" s="3"/>
      <c r="N4" s="3"/>
      <c r="O4" s="3"/>
      <c r="P4" s="3" t="s">
        <v>5</v>
      </c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</row>
    <row r="5" spans="1:87" ht="18.75">
      <c r="A5" s="152"/>
      <c r="B5" s="128"/>
      <c r="C5" s="128"/>
      <c r="D5" s="128"/>
      <c r="E5" s="128"/>
      <c r="F5" s="131" t="s">
        <v>6</v>
      </c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128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</row>
    <row r="6" spans="1:87">
      <c r="A6" s="61"/>
      <c r="B6" s="10"/>
      <c r="C6" s="132" t="s">
        <v>7</v>
      </c>
      <c r="D6" s="133"/>
      <c r="E6" s="134"/>
      <c r="F6" s="126" t="s">
        <v>8</v>
      </c>
      <c r="G6" s="125"/>
      <c r="H6" s="126" t="s">
        <v>9</v>
      </c>
      <c r="I6" s="125"/>
      <c r="J6" s="126" t="s">
        <v>10</v>
      </c>
      <c r="K6" s="125"/>
      <c r="L6" s="126" t="s">
        <v>11</v>
      </c>
      <c r="M6" s="125"/>
      <c r="N6" s="126" t="s">
        <v>12</v>
      </c>
      <c r="O6" s="125"/>
      <c r="P6" s="126" t="s">
        <v>13</v>
      </c>
      <c r="Q6" s="125"/>
      <c r="R6" s="126" t="s">
        <v>14</v>
      </c>
      <c r="S6" s="125"/>
      <c r="T6" s="126" t="s">
        <v>15</v>
      </c>
      <c r="U6" s="125"/>
      <c r="V6" s="126" t="s">
        <v>16</v>
      </c>
      <c r="W6" s="125"/>
      <c r="X6" s="126" t="s">
        <v>17</v>
      </c>
      <c r="Y6" s="125"/>
      <c r="Z6" s="124" t="s">
        <v>18</v>
      </c>
      <c r="AA6" s="125"/>
      <c r="AB6" s="124" t="s">
        <v>19</v>
      </c>
      <c r="AC6" s="125"/>
      <c r="AD6" s="124" t="s">
        <v>20</v>
      </c>
      <c r="AE6" s="125"/>
      <c r="AF6" s="124" t="s">
        <v>21</v>
      </c>
      <c r="AG6" s="125"/>
      <c r="AH6" s="124" t="s">
        <v>22</v>
      </c>
      <c r="AI6" s="125"/>
      <c r="AJ6" s="124" t="s">
        <v>23</v>
      </c>
      <c r="AK6" s="125"/>
      <c r="AL6" s="124" t="s">
        <v>24</v>
      </c>
      <c r="AM6" s="125"/>
      <c r="AN6" s="124" t="s">
        <v>25</v>
      </c>
      <c r="AO6" s="125"/>
      <c r="AP6" s="124" t="s">
        <v>26</v>
      </c>
      <c r="AQ6" s="125"/>
      <c r="AR6" s="124" t="s">
        <v>27</v>
      </c>
      <c r="AS6" s="125"/>
      <c r="AT6" s="124" t="s">
        <v>28</v>
      </c>
      <c r="AU6" s="125"/>
      <c r="AV6" s="124" t="s">
        <v>29</v>
      </c>
      <c r="AW6" s="125"/>
      <c r="AX6" s="124" t="s">
        <v>30</v>
      </c>
      <c r="AY6" s="125"/>
      <c r="AZ6" s="124" t="s">
        <v>31</v>
      </c>
      <c r="BA6" s="125"/>
      <c r="BB6" s="124" t="s">
        <v>32</v>
      </c>
      <c r="BC6" s="125"/>
      <c r="BD6" s="124" t="s">
        <v>33</v>
      </c>
      <c r="BE6" s="125"/>
      <c r="BF6" s="124" t="s">
        <v>34</v>
      </c>
      <c r="BG6" s="125"/>
      <c r="BH6" s="124" t="s">
        <v>35</v>
      </c>
      <c r="BI6" s="125"/>
      <c r="BJ6" s="124" t="s">
        <v>36</v>
      </c>
      <c r="BK6" s="125"/>
      <c r="BL6" s="124" t="s">
        <v>37</v>
      </c>
      <c r="BM6" s="125"/>
      <c r="BN6" s="124" t="s">
        <v>38</v>
      </c>
      <c r="BO6" s="125"/>
      <c r="BP6" s="124" t="s">
        <v>39</v>
      </c>
      <c r="BQ6" s="125"/>
      <c r="BR6" s="124" t="s">
        <v>40</v>
      </c>
      <c r="BS6" s="125"/>
      <c r="BT6" s="124" t="s">
        <v>41</v>
      </c>
      <c r="BU6" s="125"/>
      <c r="BV6" s="124" t="s">
        <v>42</v>
      </c>
      <c r="BW6" s="125"/>
      <c r="BX6" s="124" t="s">
        <v>43</v>
      </c>
      <c r="BY6" s="125"/>
      <c r="BZ6" s="124" t="s">
        <v>44</v>
      </c>
      <c r="CA6" s="125"/>
      <c r="CB6" s="124" t="s">
        <v>45</v>
      </c>
      <c r="CC6" s="125"/>
      <c r="CD6" s="124" t="s">
        <v>46</v>
      </c>
      <c r="CE6" s="125"/>
      <c r="CF6" s="124" t="s">
        <v>47</v>
      </c>
      <c r="CG6" s="125"/>
      <c r="CH6" s="124" t="s">
        <v>48</v>
      </c>
      <c r="CI6" s="125"/>
    </row>
    <row r="7" spans="1:87">
      <c r="A7" s="62"/>
      <c r="B7" s="13" t="s">
        <v>49</v>
      </c>
      <c r="C7" s="14" t="s">
        <v>50</v>
      </c>
      <c r="D7" s="14" t="s">
        <v>51</v>
      </c>
      <c r="E7" s="14" t="s">
        <v>52</v>
      </c>
      <c r="F7" s="15" t="s">
        <v>53</v>
      </c>
      <c r="G7" s="15" t="s">
        <v>54</v>
      </c>
      <c r="H7" s="15" t="s">
        <v>53</v>
      </c>
      <c r="I7" s="15" t="s">
        <v>54</v>
      </c>
      <c r="J7" s="15" t="s">
        <v>53</v>
      </c>
      <c r="K7" s="15" t="s">
        <v>54</v>
      </c>
      <c r="L7" s="15" t="s">
        <v>53</v>
      </c>
      <c r="M7" s="15" t="s">
        <v>54</v>
      </c>
      <c r="N7" s="15" t="s">
        <v>53</v>
      </c>
      <c r="O7" s="15" t="s">
        <v>54</v>
      </c>
      <c r="P7" s="15" t="s">
        <v>53</v>
      </c>
      <c r="Q7" s="15" t="s">
        <v>54</v>
      </c>
      <c r="R7" s="15" t="s">
        <v>53</v>
      </c>
      <c r="S7" s="15" t="s">
        <v>54</v>
      </c>
      <c r="T7" s="15" t="s">
        <v>53</v>
      </c>
      <c r="U7" s="15" t="s">
        <v>54</v>
      </c>
      <c r="V7" s="15" t="s">
        <v>53</v>
      </c>
      <c r="W7" s="15" t="s">
        <v>54</v>
      </c>
      <c r="X7" s="15" t="s">
        <v>53</v>
      </c>
      <c r="Y7" s="15" t="s">
        <v>54</v>
      </c>
      <c r="Z7" s="15" t="s">
        <v>53</v>
      </c>
      <c r="AA7" s="15" t="s">
        <v>54</v>
      </c>
      <c r="AB7" s="15" t="s">
        <v>53</v>
      </c>
      <c r="AC7" s="15" t="s">
        <v>54</v>
      </c>
      <c r="AD7" s="15" t="s">
        <v>53</v>
      </c>
      <c r="AE7" s="15" t="s">
        <v>54</v>
      </c>
      <c r="AF7" s="15" t="s">
        <v>53</v>
      </c>
      <c r="AG7" s="15" t="s">
        <v>54</v>
      </c>
      <c r="AH7" s="15" t="s">
        <v>53</v>
      </c>
      <c r="AI7" s="15" t="s">
        <v>54</v>
      </c>
      <c r="AJ7" s="15" t="s">
        <v>53</v>
      </c>
      <c r="AK7" s="15" t="s">
        <v>54</v>
      </c>
      <c r="AL7" s="15" t="s">
        <v>53</v>
      </c>
      <c r="AM7" s="15" t="s">
        <v>54</v>
      </c>
      <c r="AN7" s="15" t="s">
        <v>53</v>
      </c>
      <c r="AO7" s="15" t="s">
        <v>54</v>
      </c>
      <c r="AP7" s="15" t="s">
        <v>53</v>
      </c>
      <c r="AQ7" s="15" t="s">
        <v>54</v>
      </c>
      <c r="AR7" s="15" t="s">
        <v>53</v>
      </c>
      <c r="AS7" s="15" t="s">
        <v>54</v>
      </c>
      <c r="AT7" s="15" t="s">
        <v>53</v>
      </c>
      <c r="AU7" s="15" t="s">
        <v>54</v>
      </c>
      <c r="AV7" s="15" t="s">
        <v>53</v>
      </c>
      <c r="AW7" s="15" t="s">
        <v>54</v>
      </c>
      <c r="AX7" s="15" t="s">
        <v>53</v>
      </c>
      <c r="AY7" s="15" t="s">
        <v>54</v>
      </c>
      <c r="AZ7" s="15" t="s">
        <v>53</v>
      </c>
      <c r="BA7" s="15" t="s">
        <v>54</v>
      </c>
      <c r="BB7" s="15" t="s">
        <v>53</v>
      </c>
      <c r="BC7" s="15" t="s">
        <v>54</v>
      </c>
      <c r="BD7" s="15" t="s">
        <v>53</v>
      </c>
      <c r="BE7" s="15" t="s">
        <v>54</v>
      </c>
      <c r="BF7" s="15" t="s">
        <v>53</v>
      </c>
      <c r="BG7" s="15" t="s">
        <v>54</v>
      </c>
      <c r="BH7" s="15" t="s">
        <v>53</v>
      </c>
      <c r="BI7" s="15" t="s">
        <v>54</v>
      </c>
      <c r="BJ7" s="15" t="s">
        <v>53</v>
      </c>
      <c r="BK7" s="15" t="s">
        <v>54</v>
      </c>
      <c r="BL7" s="15" t="s">
        <v>53</v>
      </c>
      <c r="BM7" s="15" t="s">
        <v>54</v>
      </c>
      <c r="BN7" s="15" t="s">
        <v>53</v>
      </c>
      <c r="BO7" s="15" t="s">
        <v>54</v>
      </c>
      <c r="BP7" s="15" t="s">
        <v>53</v>
      </c>
      <c r="BQ7" s="15" t="s">
        <v>54</v>
      </c>
      <c r="BR7" s="15" t="s">
        <v>53</v>
      </c>
      <c r="BS7" s="15" t="s">
        <v>54</v>
      </c>
      <c r="BT7" s="15" t="s">
        <v>53</v>
      </c>
      <c r="BU7" s="15" t="s">
        <v>54</v>
      </c>
      <c r="BV7" s="15" t="s">
        <v>53</v>
      </c>
      <c r="BW7" s="15" t="s">
        <v>54</v>
      </c>
      <c r="BX7" s="15" t="s">
        <v>53</v>
      </c>
      <c r="BY7" s="15" t="s">
        <v>54</v>
      </c>
      <c r="BZ7" s="15" t="s">
        <v>53</v>
      </c>
      <c r="CA7" s="15" t="s">
        <v>54</v>
      </c>
      <c r="CB7" s="15" t="s">
        <v>53</v>
      </c>
      <c r="CC7" s="15" t="s">
        <v>54</v>
      </c>
      <c r="CD7" s="15" t="s">
        <v>53</v>
      </c>
      <c r="CE7" s="15" t="s">
        <v>54</v>
      </c>
      <c r="CF7" s="15" t="s">
        <v>53</v>
      </c>
      <c r="CG7" s="15" t="s">
        <v>54</v>
      </c>
      <c r="CH7" s="15" t="s">
        <v>53</v>
      </c>
      <c r="CI7" s="15" t="s">
        <v>54</v>
      </c>
    </row>
    <row r="8" spans="1:87" ht="63" customHeight="1">
      <c r="A8" s="16" t="e">
        <f ca="1">_xludf.image("https://lh3.google.com/u/0/d/1VXH2xqPa9x_nAlmXCBfLK2RwsgRqS38K",1)</f>
        <v>#NAME?</v>
      </c>
      <c r="B8" s="17" t="s">
        <v>174</v>
      </c>
      <c r="C8" s="147"/>
      <c r="D8" s="145"/>
      <c r="E8" s="146"/>
      <c r="F8" s="63"/>
      <c r="G8" s="64"/>
      <c r="H8" s="63"/>
      <c r="I8" s="64"/>
      <c r="J8" s="63"/>
      <c r="K8" s="64"/>
      <c r="L8" s="63"/>
      <c r="M8" s="64"/>
      <c r="N8" s="63"/>
      <c r="O8" s="64"/>
      <c r="P8" s="63"/>
      <c r="Q8" s="64"/>
      <c r="R8" s="63"/>
      <c r="S8" s="64"/>
      <c r="T8" s="63"/>
      <c r="U8" s="64"/>
      <c r="V8" s="63"/>
      <c r="W8" s="64"/>
      <c r="X8" s="63"/>
      <c r="Y8" s="64"/>
      <c r="Z8" s="63"/>
      <c r="AA8" s="64"/>
      <c r="AB8" s="63"/>
      <c r="AC8" s="64"/>
      <c r="AD8" s="63"/>
      <c r="AE8" s="64"/>
      <c r="AF8" s="63"/>
      <c r="AG8" s="64"/>
      <c r="AH8" s="63"/>
      <c r="AI8" s="64"/>
      <c r="AJ8" s="63"/>
      <c r="AK8" s="64"/>
      <c r="AL8" s="63"/>
      <c r="AM8" s="64"/>
      <c r="AN8" s="63"/>
      <c r="AO8" s="64"/>
      <c r="AP8" s="63"/>
      <c r="AQ8" s="64"/>
      <c r="AR8" s="63"/>
      <c r="AS8" s="64"/>
      <c r="AT8" s="63"/>
      <c r="AU8" s="64"/>
      <c r="AV8" s="63"/>
      <c r="AW8" s="64"/>
      <c r="AX8" s="63"/>
      <c r="AY8" s="64"/>
      <c r="AZ8" s="63"/>
      <c r="BA8" s="64"/>
      <c r="BB8" s="63"/>
      <c r="BC8" s="64"/>
      <c r="BD8" s="63"/>
      <c r="BE8" s="64"/>
      <c r="BF8" s="63"/>
      <c r="BG8" s="64"/>
      <c r="BH8" s="63"/>
      <c r="BI8" s="64"/>
      <c r="BJ8" s="63"/>
      <c r="BK8" s="64"/>
      <c r="BL8" s="63"/>
      <c r="BM8" s="64"/>
      <c r="BN8" s="63"/>
      <c r="BO8" s="64"/>
      <c r="BP8" s="63"/>
      <c r="BQ8" s="64"/>
      <c r="BR8" s="63"/>
      <c r="BS8" s="64"/>
      <c r="BT8" s="63"/>
      <c r="BU8" s="64"/>
      <c r="BV8" s="63"/>
      <c r="BW8" s="64"/>
      <c r="BX8" s="63"/>
      <c r="BY8" s="64"/>
      <c r="BZ8" s="63"/>
      <c r="CA8" s="64"/>
      <c r="CB8" s="63"/>
      <c r="CC8" s="64"/>
      <c r="CD8" s="63"/>
      <c r="CE8" s="64"/>
      <c r="CF8" s="63"/>
      <c r="CG8" s="64"/>
      <c r="CH8" s="63"/>
      <c r="CI8" s="64"/>
    </row>
    <row r="9" spans="1:87" ht="12.75">
      <c r="A9" s="20"/>
      <c r="B9" s="138" t="s">
        <v>175</v>
      </c>
      <c r="C9" s="136"/>
      <c r="D9" s="136"/>
      <c r="E9" s="137"/>
      <c r="F9" s="22"/>
      <c r="G9" s="23"/>
      <c r="H9" s="22"/>
      <c r="I9" s="23"/>
      <c r="J9" s="22"/>
      <c r="K9" s="23"/>
      <c r="L9" s="22"/>
      <c r="M9" s="23"/>
      <c r="N9" s="22"/>
      <c r="O9" s="23"/>
      <c r="P9" s="22"/>
      <c r="Q9" s="23"/>
      <c r="R9" s="22"/>
      <c r="S9" s="23"/>
      <c r="T9" s="22"/>
      <c r="U9" s="23"/>
      <c r="V9" s="22"/>
      <c r="W9" s="23"/>
      <c r="X9" s="22"/>
      <c r="Y9" s="23"/>
      <c r="Z9" s="22"/>
      <c r="AA9" s="23"/>
      <c r="AB9" s="22"/>
      <c r="AC9" s="23"/>
      <c r="AD9" s="22"/>
      <c r="AE9" s="23"/>
      <c r="AF9" s="22"/>
      <c r="AG9" s="23"/>
      <c r="AH9" s="22"/>
      <c r="AI9" s="23"/>
      <c r="AJ9" s="22"/>
      <c r="AK9" s="23"/>
      <c r="AL9" s="22"/>
      <c r="AM9" s="23"/>
      <c r="AN9" s="22"/>
      <c r="AO9" s="23"/>
      <c r="AP9" s="22"/>
      <c r="AQ9" s="23"/>
      <c r="AR9" s="22"/>
      <c r="AS9" s="23"/>
      <c r="AT9" s="22"/>
      <c r="AU9" s="23"/>
      <c r="AV9" s="22"/>
      <c r="AW9" s="23"/>
      <c r="AX9" s="22"/>
      <c r="AY9" s="23"/>
      <c r="AZ9" s="22"/>
      <c r="BA9" s="23"/>
      <c r="BB9" s="22"/>
      <c r="BC9" s="23"/>
      <c r="BD9" s="22"/>
      <c r="BE9" s="23"/>
      <c r="BF9" s="22"/>
      <c r="BG9" s="23"/>
      <c r="BH9" s="22"/>
      <c r="BI9" s="23"/>
      <c r="BJ9" s="22"/>
      <c r="BK9" s="23"/>
      <c r="BL9" s="22"/>
      <c r="BM9" s="23"/>
      <c r="BN9" s="22"/>
      <c r="BO9" s="23"/>
      <c r="BP9" s="22"/>
      <c r="BQ9" s="23"/>
      <c r="BR9" s="22"/>
      <c r="BS9" s="23"/>
      <c r="BT9" s="22"/>
      <c r="BU9" s="23"/>
      <c r="BV9" s="22"/>
      <c r="BW9" s="23"/>
      <c r="BX9" s="22"/>
      <c r="BY9" s="23"/>
      <c r="BZ9" s="22"/>
      <c r="CA9" s="23"/>
      <c r="CB9" s="22"/>
      <c r="CC9" s="23"/>
      <c r="CD9" s="22"/>
      <c r="CE9" s="23"/>
      <c r="CF9" s="22"/>
      <c r="CG9" s="23"/>
      <c r="CH9" s="22"/>
      <c r="CI9" s="23"/>
    </row>
    <row r="10" spans="1:87">
      <c r="A10" s="24"/>
      <c r="B10" s="25" t="s">
        <v>176</v>
      </c>
      <c r="C10" s="26">
        <v>380</v>
      </c>
      <c r="D10" s="26">
        <v>360</v>
      </c>
      <c r="E10" s="26">
        <v>450</v>
      </c>
      <c r="F10" s="27">
        <v>6864000</v>
      </c>
      <c r="G10" s="28">
        <v>7087000</v>
      </c>
      <c r="H10" s="27">
        <v>6523000</v>
      </c>
      <c r="I10" s="28">
        <v>6746000</v>
      </c>
      <c r="J10" s="27">
        <v>7204000</v>
      </c>
      <c r="K10" s="28">
        <v>7427000</v>
      </c>
      <c r="L10" s="27">
        <v>6896000</v>
      </c>
      <c r="M10" s="28">
        <v>7119000</v>
      </c>
      <c r="N10" s="27">
        <v>7736000</v>
      </c>
      <c r="O10" s="28">
        <v>7959000</v>
      </c>
      <c r="P10" s="27">
        <v>6590000</v>
      </c>
      <c r="Q10" s="28">
        <v>6813000</v>
      </c>
      <c r="R10" s="27">
        <v>7009000</v>
      </c>
      <c r="S10" s="28">
        <v>7232000</v>
      </c>
      <c r="T10" s="29"/>
      <c r="U10" s="30"/>
      <c r="V10" s="27">
        <v>6204000</v>
      </c>
      <c r="W10" s="28">
        <v>6427000</v>
      </c>
      <c r="X10" s="27">
        <v>6141000</v>
      </c>
      <c r="Y10" s="28">
        <v>6364000</v>
      </c>
      <c r="Z10" s="27">
        <v>6288000</v>
      </c>
      <c r="AA10" s="28">
        <v>6511000</v>
      </c>
      <c r="AB10" s="27">
        <v>6323000</v>
      </c>
      <c r="AC10" s="28">
        <v>6546000</v>
      </c>
      <c r="AD10" s="27">
        <v>6339000</v>
      </c>
      <c r="AE10" s="28">
        <v>6562000</v>
      </c>
      <c r="AF10" s="27">
        <v>6400000</v>
      </c>
      <c r="AG10" s="28">
        <v>6623000</v>
      </c>
      <c r="AH10" s="27">
        <v>6400000</v>
      </c>
      <c r="AI10" s="28">
        <v>6623000</v>
      </c>
      <c r="AJ10" s="27">
        <v>6318000</v>
      </c>
      <c r="AK10" s="28">
        <v>6541000</v>
      </c>
      <c r="AL10" s="27">
        <v>6427000</v>
      </c>
      <c r="AM10" s="28">
        <v>6650000</v>
      </c>
      <c r="AN10" s="27">
        <v>6216000</v>
      </c>
      <c r="AO10" s="28">
        <v>6439000</v>
      </c>
      <c r="AP10" s="27">
        <v>6390000</v>
      </c>
      <c r="AQ10" s="28">
        <v>6613000</v>
      </c>
      <c r="AR10" s="27">
        <v>6433000</v>
      </c>
      <c r="AS10" s="28">
        <v>6656000</v>
      </c>
      <c r="AT10" s="27">
        <v>6390000</v>
      </c>
      <c r="AU10" s="28">
        <v>6613000</v>
      </c>
      <c r="AV10" s="27">
        <v>6403000</v>
      </c>
      <c r="AW10" s="28">
        <v>6626000</v>
      </c>
      <c r="AX10" s="27">
        <v>6392000</v>
      </c>
      <c r="AY10" s="28">
        <v>6615000</v>
      </c>
      <c r="AZ10" s="27">
        <v>6417000</v>
      </c>
      <c r="BA10" s="28">
        <v>6640000</v>
      </c>
      <c r="BB10" s="27">
        <v>6249000</v>
      </c>
      <c r="BC10" s="28">
        <v>6472000</v>
      </c>
      <c r="BD10" s="27">
        <v>6249000</v>
      </c>
      <c r="BE10" s="28">
        <v>6472000</v>
      </c>
      <c r="BF10" s="27">
        <v>6249000</v>
      </c>
      <c r="BG10" s="28">
        <v>6472000</v>
      </c>
      <c r="BH10" s="27">
        <v>6249000</v>
      </c>
      <c r="BI10" s="28">
        <v>6472000</v>
      </c>
      <c r="BJ10" s="27">
        <v>6246000</v>
      </c>
      <c r="BK10" s="28">
        <v>6469000</v>
      </c>
      <c r="BL10" s="27">
        <v>6265000</v>
      </c>
      <c r="BM10" s="28">
        <v>6488000</v>
      </c>
      <c r="BN10" s="27">
        <v>6265000</v>
      </c>
      <c r="BO10" s="28">
        <v>6488000</v>
      </c>
      <c r="BP10" s="27">
        <v>6261000</v>
      </c>
      <c r="BQ10" s="28">
        <v>6484000</v>
      </c>
      <c r="BR10" s="27">
        <v>6249000</v>
      </c>
      <c r="BS10" s="28">
        <v>6472000</v>
      </c>
      <c r="BT10" s="27">
        <v>6245000</v>
      </c>
      <c r="BU10" s="28">
        <v>6468000</v>
      </c>
      <c r="BV10" s="27">
        <v>6245000</v>
      </c>
      <c r="BW10" s="28">
        <v>6468000</v>
      </c>
      <c r="BX10" s="27">
        <v>6245000</v>
      </c>
      <c r="BY10" s="28">
        <v>6468000</v>
      </c>
      <c r="BZ10" s="27">
        <v>6252000</v>
      </c>
      <c r="CA10" s="28">
        <v>6475000</v>
      </c>
      <c r="CB10" s="27">
        <v>6233000</v>
      </c>
      <c r="CC10" s="28">
        <v>6456000</v>
      </c>
      <c r="CD10" s="27">
        <v>6233000</v>
      </c>
      <c r="CE10" s="28">
        <v>6456000</v>
      </c>
      <c r="CF10" s="27">
        <v>6252000</v>
      </c>
      <c r="CG10" s="28">
        <v>6475000</v>
      </c>
      <c r="CH10" s="27">
        <v>6361000</v>
      </c>
      <c r="CI10" s="28">
        <v>6584000</v>
      </c>
    </row>
    <row r="11" spans="1:87">
      <c r="A11" s="24"/>
      <c r="B11" s="25" t="s">
        <v>177</v>
      </c>
      <c r="C11" s="26">
        <v>380</v>
      </c>
      <c r="D11" s="26">
        <v>360</v>
      </c>
      <c r="E11" s="26">
        <v>600</v>
      </c>
      <c r="F11" s="27">
        <v>7348000</v>
      </c>
      <c r="G11" s="28">
        <v>7646000</v>
      </c>
      <c r="H11" s="27">
        <v>6893000</v>
      </c>
      <c r="I11" s="28">
        <v>7191000</v>
      </c>
      <c r="J11" s="27">
        <v>7801000</v>
      </c>
      <c r="K11" s="28">
        <v>8099000</v>
      </c>
      <c r="L11" s="27">
        <v>7390000</v>
      </c>
      <c r="M11" s="28">
        <v>7688000</v>
      </c>
      <c r="N11" s="27">
        <v>8510000</v>
      </c>
      <c r="O11" s="28">
        <v>8808000</v>
      </c>
      <c r="P11" s="27">
        <v>6940000</v>
      </c>
      <c r="Q11" s="28">
        <v>7238000</v>
      </c>
      <c r="R11" s="27">
        <v>7568000</v>
      </c>
      <c r="S11" s="28">
        <v>7866000</v>
      </c>
      <c r="T11" s="29"/>
      <c r="U11" s="30"/>
      <c r="V11" s="27">
        <v>6464000</v>
      </c>
      <c r="W11" s="28">
        <v>6762000</v>
      </c>
      <c r="X11" s="27">
        <v>6380000</v>
      </c>
      <c r="Y11" s="28">
        <v>6678000</v>
      </c>
      <c r="Z11" s="27">
        <v>6573000</v>
      </c>
      <c r="AA11" s="28">
        <v>6871000</v>
      </c>
      <c r="AB11" s="27">
        <v>6617000</v>
      </c>
      <c r="AC11" s="28">
        <v>6915000</v>
      </c>
      <c r="AD11" s="27">
        <v>6636000</v>
      </c>
      <c r="AE11" s="28">
        <v>6934000</v>
      </c>
      <c r="AF11" s="27">
        <v>6714000</v>
      </c>
      <c r="AG11" s="28">
        <v>7012000</v>
      </c>
      <c r="AH11" s="27">
        <v>6714000</v>
      </c>
      <c r="AI11" s="28">
        <v>7012000</v>
      </c>
      <c r="AJ11" s="27">
        <v>6612000</v>
      </c>
      <c r="AK11" s="28">
        <v>6910000</v>
      </c>
      <c r="AL11" s="27">
        <v>6757000</v>
      </c>
      <c r="AM11" s="28">
        <v>7055000</v>
      </c>
      <c r="AN11" s="27">
        <v>6477000</v>
      </c>
      <c r="AO11" s="28">
        <v>6775000</v>
      </c>
      <c r="AP11" s="27">
        <v>6706000</v>
      </c>
      <c r="AQ11" s="28">
        <v>7004000</v>
      </c>
      <c r="AR11" s="27">
        <v>6764000</v>
      </c>
      <c r="AS11" s="28">
        <v>7062000</v>
      </c>
      <c r="AT11" s="27">
        <v>6706000</v>
      </c>
      <c r="AU11" s="28">
        <v>7004000</v>
      </c>
      <c r="AV11" s="27">
        <v>6725000</v>
      </c>
      <c r="AW11" s="28">
        <v>7023000</v>
      </c>
      <c r="AX11" s="27">
        <v>6710000</v>
      </c>
      <c r="AY11" s="28">
        <v>7008000</v>
      </c>
      <c r="AZ11" s="27">
        <v>6743000</v>
      </c>
      <c r="BA11" s="28">
        <v>7041000</v>
      </c>
      <c r="BB11" s="27">
        <v>6524000</v>
      </c>
      <c r="BC11" s="28">
        <v>6822000</v>
      </c>
      <c r="BD11" s="27">
        <v>6524000</v>
      </c>
      <c r="BE11" s="28">
        <v>6822000</v>
      </c>
      <c r="BF11" s="27">
        <v>6524000</v>
      </c>
      <c r="BG11" s="28">
        <v>6822000</v>
      </c>
      <c r="BH11" s="27">
        <v>6524000</v>
      </c>
      <c r="BI11" s="28">
        <v>6822000</v>
      </c>
      <c r="BJ11" s="27">
        <v>6520000</v>
      </c>
      <c r="BK11" s="28">
        <v>6818000</v>
      </c>
      <c r="BL11" s="27">
        <v>6545000</v>
      </c>
      <c r="BM11" s="28">
        <v>6843000</v>
      </c>
      <c r="BN11" s="27">
        <v>6545000</v>
      </c>
      <c r="BO11" s="28">
        <v>6843000</v>
      </c>
      <c r="BP11" s="27">
        <v>6540000</v>
      </c>
      <c r="BQ11" s="28">
        <v>6838000</v>
      </c>
      <c r="BR11" s="27">
        <v>6524000</v>
      </c>
      <c r="BS11" s="28">
        <v>6822000</v>
      </c>
      <c r="BT11" s="27">
        <v>6519000</v>
      </c>
      <c r="BU11" s="28">
        <v>6817000</v>
      </c>
      <c r="BV11" s="27">
        <v>6519000</v>
      </c>
      <c r="BW11" s="28">
        <v>6817000</v>
      </c>
      <c r="BX11" s="27">
        <v>6519000</v>
      </c>
      <c r="BY11" s="28">
        <v>6817000</v>
      </c>
      <c r="BZ11" s="27">
        <v>6519000</v>
      </c>
      <c r="CA11" s="28">
        <v>6817000</v>
      </c>
      <c r="CB11" s="27">
        <v>6494000</v>
      </c>
      <c r="CC11" s="28">
        <v>6792000</v>
      </c>
      <c r="CD11" s="27">
        <v>6494000</v>
      </c>
      <c r="CE11" s="28">
        <v>6792000</v>
      </c>
      <c r="CF11" s="27">
        <v>6519000</v>
      </c>
      <c r="CG11" s="28">
        <v>6817000</v>
      </c>
      <c r="CH11" s="27">
        <v>6667000</v>
      </c>
      <c r="CI11" s="28">
        <v>6965000</v>
      </c>
    </row>
    <row r="12" spans="1:87">
      <c r="A12" s="24"/>
      <c r="B12" s="25" t="s">
        <v>178</v>
      </c>
      <c r="C12" s="26">
        <v>380</v>
      </c>
      <c r="D12" s="26">
        <v>360</v>
      </c>
      <c r="E12" s="26">
        <v>900</v>
      </c>
      <c r="F12" s="27">
        <v>8297000</v>
      </c>
      <c r="G12" s="28">
        <v>8743000</v>
      </c>
      <c r="H12" s="27">
        <v>7614000</v>
      </c>
      <c r="I12" s="28">
        <v>8060000</v>
      </c>
      <c r="J12" s="27">
        <v>8977000</v>
      </c>
      <c r="K12" s="28">
        <v>9423000</v>
      </c>
      <c r="L12" s="27">
        <v>8360000</v>
      </c>
      <c r="M12" s="28">
        <v>8806000</v>
      </c>
      <c r="N12" s="27">
        <v>10040000</v>
      </c>
      <c r="O12" s="28">
        <v>10486000</v>
      </c>
      <c r="P12" s="27">
        <v>7622000</v>
      </c>
      <c r="Q12" s="28">
        <v>8068000</v>
      </c>
      <c r="R12" s="27">
        <v>8668000</v>
      </c>
      <c r="S12" s="28">
        <v>9114000</v>
      </c>
      <c r="T12" s="29"/>
      <c r="U12" s="30"/>
      <c r="V12" s="27">
        <v>6966000</v>
      </c>
      <c r="W12" s="28">
        <v>7412000</v>
      </c>
      <c r="X12" s="27">
        <v>6840000</v>
      </c>
      <c r="Y12" s="28">
        <v>7286000</v>
      </c>
      <c r="Z12" s="27">
        <v>7123000</v>
      </c>
      <c r="AA12" s="28">
        <v>7569000</v>
      </c>
      <c r="AB12" s="27">
        <v>7186000</v>
      </c>
      <c r="AC12" s="28">
        <v>7632000</v>
      </c>
      <c r="AD12" s="27">
        <v>7211000</v>
      </c>
      <c r="AE12" s="28">
        <v>7657000</v>
      </c>
      <c r="AF12" s="27">
        <v>7325000</v>
      </c>
      <c r="AG12" s="28">
        <v>7771000</v>
      </c>
      <c r="AH12" s="27">
        <v>7325000</v>
      </c>
      <c r="AI12" s="28">
        <v>7771000</v>
      </c>
      <c r="AJ12" s="27">
        <v>7181000</v>
      </c>
      <c r="AK12" s="28">
        <v>7627000</v>
      </c>
      <c r="AL12" s="27">
        <v>7397000</v>
      </c>
      <c r="AM12" s="28">
        <v>7843000</v>
      </c>
      <c r="AN12" s="27">
        <v>6979000</v>
      </c>
      <c r="AO12" s="28">
        <v>7425000</v>
      </c>
      <c r="AP12" s="27">
        <v>7320000</v>
      </c>
      <c r="AQ12" s="28">
        <v>7766000</v>
      </c>
      <c r="AR12" s="27">
        <v>7406000</v>
      </c>
      <c r="AS12" s="28">
        <v>7852000</v>
      </c>
      <c r="AT12" s="27">
        <v>7320000</v>
      </c>
      <c r="AU12" s="28">
        <v>7766000</v>
      </c>
      <c r="AV12" s="27">
        <v>7348000</v>
      </c>
      <c r="AW12" s="28">
        <v>7794000</v>
      </c>
      <c r="AX12" s="27">
        <v>7326000</v>
      </c>
      <c r="AY12" s="28">
        <v>7772000</v>
      </c>
      <c r="AZ12" s="27">
        <v>7376000</v>
      </c>
      <c r="BA12" s="28">
        <v>7822000</v>
      </c>
      <c r="BB12" s="27">
        <v>7055000</v>
      </c>
      <c r="BC12" s="28">
        <v>7501000</v>
      </c>
      <c r="BD12" s="27">
        <v>7055000</v>
      </c>
      <c r="BE12" s="28">
        <v>7501000</v>
      </c>
      <c r="BF12" s="27">
        <v>7055000</v>
      </c>
      <c r="BG12" s="28">
        <v>7501000</v>
      </c>
      <c r="BH12" s="27">
        <v>7055000</v>
      </c>
      <c r="BI12" s="28">
        <v>7501000</v>
      </c>
      <c r="BJ12" s="27">
        <v>7050000</v>
      </c>
      <c r="BK12" s="28">
        <v>7496000</v>
      </c>
      <c r="BL12" s="27">
        <v>7087000</v>
      </c>
      <c r="BM12" s="28">
        <v>7533000</v>
      </c>
      <c r="BN12" s="27">
        <v>7087000</v>
      </c>
      <c r="BO12" s="28">
        <v>7533000</v>
      </c>
      <c r="BP12" s="27">
        <v>7079000</v>
      </c>
      <c r="BQ12" s="28">
        <v>7525000</v>
      </c>
      <c r="BR12" s="27">
        <v>7055000</v>
      </c>
      <c r="BS12" s="28">
        <v>7501000</v>
      </c>
      <c r="BT12" s="27">
        <v>7048000</v>
      </c>
      <c r="BU12" s="28">
        <v>7494000</v>
      </c>
      <c r="BV12" s="27">
        <v>7048000</v>
      </c>
      <c r="BW12" s="28">
        <v>7494000</v>
      </c>
      <c r="BX12" s="27">
        <v>7048000</v>
      </c>
      <c r="BY12" s="28">
        <v>7494000</v>
      </c>
      <c r="BZ12" s="27">
        <v>7033000</v>
      </c>
      <c r="CA12" s="28">
        <v>7479000</v>
      </c>
      <c r="CB12" s="27">
        <v>6996000</v>
      </c>
      <c r="CC12" s="28">
        <v>7442000</v>
      </c>
      <c r="CD12" s="27">
        <v>6996000</v>
      </c>
      <c r="CE12" s="28">
        <v>7442000</v>
      </c>
      <c r="CF12" s="27">
        <v>7033000</v>
      </c>
      <c r="CG12" s="28">
        <v>7479000</v>
      </c>
      <c r="CH12" s="27">
        <v>7259000</v>
      </c>
      <c r="CI12" s="28">
        <v>7705000</v>
      </c>
    </row>
    <row r="13" spans="1:87">
      <c r="A13" s="24"/>
      <c r="B13" s="25" t="s">
        <v>179</v>
      </c>
      <c r="C13" s="26">
        <v>380</v>
      </c>
      <c r="D13" s="26">
        <v>563</v>
      </c>
      <c r="E13" s="26">
        <v>450</v>
      </c>
      <c r="F13" s="27">
        <v>7826000</v>
      </c>
      <c r="G13" s="28">
        <v>8049000</v>
      </c>
      <c r="H13" s="27">
        <v>7292000</v>
      </c>
      <c r="I13" s="28">
        <v>7515000</v>
      </c>
      <c r="J13" s="27">
        <v>8357000</v>
      </c>
      <c r="K13" s="28">
        <v>8580000</v>
      </c>
      <c r="L13" s="27">
        <v>7875000</v>
      </c>
      <c r="M13" s="28">
        <v>8098000</v>
      </c>
      <c r="N13" s="27">
        <v>9189000</v>
      </c>
      <c r="O13" s="28">
        <v>9412000</v>
      </c>
      <c r="P13" s="27">
        <v>7254000</v>
      </c>
      <c r="Q13" s="28">
        <v>7477000</v>
      </c>
      <c r="R13" s="27">
        <v>8077000</v>
      </c>
      <c r="S13" s="28">
        <v>8300000</v>
      </c>
      <c r="T13" s="29"/>
      <c r="U13" s="30"/>
      <c r="V13" s="27">
        <v>6786000</v>
      </c>
      <c r="W13" s="28">
        <v>7009000</v>
      </c>
      <c r="X13" s="27">
        <v>6687000</v>
      </c>
      <c r="Y13" s="28">
        <v>6910000</v>
      </c>
      <c r="Z13" s="27">
        <v>6910000</v>
      </c>
      <c r="AA13" s="28">
        <v>7133000</v>
      </c>
      <c r="AB13" s="27">
        <v>6960000</v>
      </c>
      <c r="AC13" s="28">
        <v>7183000</v>
      </c>
      <c r="AD13" s="27">
        <v>6979000</v>
      </c>
      <c r="AE13" s="28">
        <v>7202000</v>
      </c>
      <c r="AF13" s="27">
        <v>7069000</v>
      </c>
      <c r="AG13" s="28">
        <v>7292000</v>
      </c>
      <c r="AH13" s="27">
        <v>7069000</v>
      </c>
      <c r="AI13" s="28">
        <v>7292000</v>
      </c>
      <c r="AJ13" s="27">
        <v>6955000</v>
      </c>
      <c r="AK13" s="28">
        <v>7178000</v>
      </c>
      <c r="AL13" s="27">
        <v>7124000</v>
      </c>
      <c r="AM13" s="28">
        <v>7347000</v>
      </c>
      <c r="AN13" s="27">
        <v>6797000</v>
      </c>
      <c r="AO13" s="28">
        <v>7020000</v>
      </c>
      <c r="AP13" s="27">
        <v>7064000</v>
      </c>
      <c r="AQ13" s="28">
        <v>7287000</v>
      </c>
      <c r="AR13" s="27">
        <v>7132000</v>
      </c>
      <c r="AS13" s="28">
        <v>7355000</v>
      </c>
      <c r="AT13" s="27">
        <v>7064000</v>
      </c>
      <c r="AU13" s="28">
        <v>7287000</v>
      </c>
      <c r="AV13" s="27">
        <v>7086000</v>
      </c>
      <c r="AW13" s="28">
        <v>7309000</v>
      </c>
      <c r="AX13" s="27">
        <v>7069000</v>
      </c>
      <c r="AY13" s="28">
        <v>7292000</v>
      </c>
      <c r="AZ13" s="27">
        <v>7108000</v>
      </c>
      <c r="BA13" s="28">
        <v>7331000</v>
      </c>
      <c r="BB13" s="27">
        <v>6856000</v>
      </c>
      <c r="BC13" s="28">
        <v>7079000</v>
      </c>
      <c r="BD13" s="27">
        <v>6856000</v>
      </c>
      <c r="BE13" s="28">
        <v>7079000</v>
      </c>
      <c r="BF13" s="27">
        <v>6856000</v>
      </c>
      <c r="BG13" s="28">
        <v>7079000</v>
      </c>
      <c r="BH13" s="27">
        <v>6856000</v>
      </c>
      <c r="BI13" s="28">
        <v>7079000</v>
      </c>
      <c r="BJ13" s="27">
        <v>6851000</v>
      </c>
      <c r="BK13" s="28">
        <v>7074000</v>
      </c>
      <c r="BL13" s="27">
        <v>6881000</v>
      </c>
      <c r="BM13" s="28">
        <v>7104000</v>
      </c>
      <c r="BN13" s="27">
        <v>6881000</v>
      </c>
      <c r="BO13" s="28">
        <v>7104000</v>
      </c>
      <c r="BP13" s="27">
        <v>6874000</v>
      </c>
      <c r="BQ13" s="28">
        <v>7097000</v>
      </c>
      <c r="BR13" s="27">
        <v>6856000</v>
      </c>
      <c r="BS13" s="28">
        <v>7079000</v>
      </c>
      <c r="BT13" s="27">
        <v>6850000</v>
      </c>
      <c r="BU13" s="28">
        <v>7073000</v>
      </c>
      <c r="BV13" s="27">
        <v>6850000</v>
      </c>
      <c r="BW13" s="28">
        <v>7073000</v>
      </c>
      <c r="BX13" s="27">
        <v>6850000</v>
      </c>
      <c r="BY13" s="28">
        <v>7073000</v>
      </c>
      <c r="BZ13" s="27">
        <v>6841000</v>
      </c>
      <c r="CA13" s="28">
        <v>7064000</v>
      </c>
      <c r="CB13" s="27">
        <v>6812000</v>
      </c>
      <c r="CC13" s="28">
        <v>7035000</v>
      </c>
      <c r="CD13" s="27">
        <v>6812000</v>
      </c>
      <c r="CE13" s="28">
        <v>7035000</v>
      </c>
      <c r="CF13" s="27">
        <v>6841000</v>
      </c>
      <c r="CG13" s="28">
        <v>7064000</v>
      </c>
      <c r="CH13" s="27">
        <v>7017000</v>
      </c>
      <c r="CI13" s="28">
        <v>7240000</v>
      </c>
    </row>
    <row r="14" spans="1:87">
      <c r="A14" s="24"/>
      <c r="B14" s="25" t="s">
        <v>180</v>
      </c>
      <c r="C14" s="26">
        <v>380</v>
      </c>
      <c r="D14" s="26">
        <v>563</v>
      </c>
      <c r="E14" s="26">
        <v>600</v>
      </c>
      <c r="F14" s="27">
        <v>8562000</v>
      </c>
      <c r="G14" s="28">
        <v>8859000</v>
      </c>
      <c r="H14" s="27">
        <v>7850000</v>
      </c>
      <c r="I14" s="28">
        <v>8147000</v>
      </c>
      <c r="J14" s="27">
        <v>9270000</v>
      </c>
      <c r="K14" s="28">
        <v>9567000</v>
      </c>
      <c r="L14" s="27">
        <v>8627000</v>
      </c>
      <c r="M14" s="28">
        <v>8924000</v>
      </c>
      <c r="N14" s="27">
        <v>10379000</v>
      </c>
      <c r="O14" s="28">
        <v>10676000</v>
      </c>
      <c r="P14" s="27">
        <v>7738000</v>
      </c>
      <c r="Q14" s="28">
        <v>8035000</v>
      </c>
      <c r="R14" s="27">
        <v>8972000</v>
      </c>
      <c r="S14" s="28">
        <v>9269000</v>
      </c>
      <c r="T14" s="29"/>
      <c r="U14" s="30"/>
      <c r="V14" s="27">
        <v>7169000</v>
      </c>
      <c r="W14" s="28">
        <v>7466000</v>
      </c>
      <c r="X14" s="27">
        <v>7038000</v>
      </c>
      <c r="Y14" s="28">
        <v>7335000</v>
      </c>
      <c r="Z14" s="27">
        <v>7328000</v>
      </c>
      <c r="AA14" s="28">
        <v>7625000</v>
      </c>
      <c r="AB14" s="27">
        <v>7392000</v>
      </c>
      <c r="AC14" s="28">
        <v>7689000</v>
      </c>
      <c r="AD14" s="27">
        <v>7414000</v>
      </c>
      <c r="AE14" s="28">
        <v>7711000</v>
      </c>
      <c r="AF14" s="27">
        <v>7530000</v>
      </c>
      <c r="AG14" s="28">
        <v>7827000</v>
      </c>
      <c r="AH14" s="27">
        <v>7530000</v>
      </c>
      <c r="AI14" s="28">
        <v>7827000</v>
      </c>
      <c r="AJ14" s="27">
        <v>7388000</v>
      </c>
      <c r="AK14" s="28">
        <v>7685000</v>
      </c>
      <c r="AL14" s="27">
        <v>7612000</v>
      </c>
      <c r="AM14" s="28">
        <v>7909000</v>
      </c>
      <c r="AN14" s="27">
        <v>7178000</v>
      </c>
      <c r="AO14" s="28">
        <v>7475000</v>
      </c>
      <c r="AP14" s="27">
        <v>7531000</v>
      </c>
      <c r="AQ14" s="28">
        <v>7828000</v>
      </c>
      <c r="AR14" s="27">
        <v>7621000</v>
      </c>
      <c r="AS14" s="28">
        <v>7918000</v>
      </c>
      <c r="AT14" s="27">
        <v>7531000</v>
      </c>
      <c r="AU14" s="28">
        <v>7828000</v>
      </c>
      <c r="AV14" s="27">
        <v>7561000</v>
      </c>
      <c r="AW14" s="28">
        <v>7858000</v>
      </c>
      <c r="AX14" s="27">
        <v>7538000</v>
      </c>
      <c r="AY14" s="28">
        <v>7835000</v>
      </c>
      <c r="AZ14" s="27">
        <v>7590000</v>
      </c>
      <c r="BA14" s="28">
        <v>7887000</v>
      </c>
      <c r="BB14" s="27">
        <v>7263000</v>
      </c>
      <c r="BC14" s="28">
        <v>7560000</v>
      </c>
      <c r="BD14" s="27">
        <v>7263000</v>
      </c>
      <c r="BE14" s="28">
        <v>7560000</v>
      </c>
      <c r="BF14" s="27">
        <v>7263000</v>
      </c>
      <c r="BG14" s="28">
        <v>7560000</v>
      </c>
      <c r="BH14" s="27">
        <v>7263000</v>
      </c>
      <c r="BI14" s="28">
        <v>7560000</v>
      </c>
      <c r="BJ14" s="27">
        <v>7256000</v>
      </c>
      <c r="BK14" s="28">
        <v>7553000</v>
      </c>
      <c r="BL14" s="27">
        <v>7295000</v>
      </c>
      <c r="BM14" s="28">
        <v>7592000</v>
      </c>
      <c r="BN14" s="27">
        <v>7295000</v>
      </c>
      <c r="BO14" s="28">
        <v>7592000</v>
      </c>
      <c r="BP14" s="27">
        <v>7287000</v>
      </c>
      <c r="BQ14" s="28">
        <v>7584000</v>
      </c>
      <c r="BR14" s="27">
        <v>7263000</v>
      </c>
      <c r="BS14" s="28">
        <v>7560000</v>
      </c>
      <c r="BT14" s="27">
        <v>7254000</v>
      </c>
      <c r="BU14" s="28">
        <v>7551000</v>
      </c>
      <c r="BV14" s="27">
        <v>7254000</v>
      </c>
      <c r="BW14" s="28">
        <v>7551000</v>
      </c>
      <c r="BX14" s="27">
        <v>7254000</v>
      </c>
      <c r="BY14" s="28">
        <v>7551000</v>
      </c>
      <c r="BZ14" s="27">
        <v>7228000</v>
      </c>
      <c r="CA14" s="28">
        <v>7525000</v>
      </c>
      <c r="CB14" s="27">
        <v>7188000</v>
      </c>
      <c r="CC14" s="28">
        <v>7485000</v>
      </c>
      <c r="CD14" s="27">
        <v>7188000</v>
      </c>
      <c r="CE14" s="28">
        <v>7485000</v>
      </c>
      <c r="CF14" s="27">
        <v>7228000</v>
      </c>
      <c r="CG14" s="28">
        <v>7525000</v>
      </c>
      <c r="CH14" s="27">
        <v>7466000</v>
      </c>
      <c r="CI14" s="28">
        <v>7763000</v>
      </c>
    </row>
    <row r="15" spans="1:87">
      <c r="A15" s="24"/>
      <c r="B15" s="25" t="s">
        <v>181</v>
      </c>
      <c r="C15" s="26">
        <v>380</v>
      </c>
      <c r="D15" s="26">
        <v>563</v>
      </c>
      <c r="E15" s="26">
        <v>900</v>
      </c>
      <c r="F15" s="27">
        <v>10012000</v>
      </c>
      <c r="G15" s="28">
        <v>10459000</v>
      </c>
      <c r="H15" s="27">
        <v>8944000</v>
      </c>
      <c r="I15" s="28">
        <v>9391000</v>
      </c>
      <c r="J15" s="27">
        <v>11074000</v>
      </c>
      <c r="K15" s="28">
        <v>11521000</v>
      </c>
      <c r="L15" s="27">
        <v>10110000</v>
      </c>
      <c r="M15" s="28">
        <v>10557000</v>
      </c>
      <c r="N15" s="27">
        <v>12738000</v>
      </c>
      <c r="O15" s="28">
        <v>13185000</v>
      </c>
      <c r="P15" s="27">
        <v>8684000</v>
      </c>
      <c r="Q15" s="28">
        <v>9131000</v>
      </c>
      <c r="R15" s="27">
        <v>10742000</v>
      </c>
      <c r="S15" s="28">
        <v>11189000</v>
      </c>
      <c r="T15" s="29"/>
      <c r="U15" s="30"/>
      <c r="V15" s="27">
        <v>7915000</v>
      </c>
      <c r="W15" s="28">
        <v>8362000</v>
      </c>
      <c r="X15" s="27">
        <v>7719000</v>
      </c>
      <c r="Y15" s="28">
        <v>8166000</v>
      </c>
      <c r="Z15" s="27">
        <v>8144000</v>
      </c>
      <c r="AA15" s="28">
        <v>8591000</v>
      </c>
      <c r="AB15" s="27">
        <v>8235000</v>
      </c>
      <c r="AC15" s="28">
        <v>8682000</v>
      </c>
      <c r="AD15" s="27">
        <v>8262000</v>
      </c>
      <c r="AE15" s="28">
        <v>8709000</v>
      </c>
      <c r="AF15" s="27">
        <v>8430000</v>
      </c>
      <c r="AG15" s="28">
        <v>8877000</v>
      </c>
      <c r="AH15" s="27">
        <v>8430000</v>
      </c>
      <c r="AI15" s="28">
        <v>8877000</v>
      </c>
      <c r="AJ15" s="27">
        <v>8233000</v>
      </c>
      <c r="AK15" s="28">
        <v>8680000</v>
      </c>
      <c r="AL15" s="27">
        <v>8567000</v>
      </c>
      <c r="AM15" s="28">
        <v>9014000</v>
      </c>
      <c r="AN15" s="27">
        <v>7920000</v>
      </c>
      <c r="AO15" s="28">
        <v>8367000</v>
      </c>
      <c r="AP15" s="27">
        <v>8443000</v>
      </c>
      <c r="AQ15" s="28">
        <v>8890000</v>
      </c>
      <c r="AR15" s="27">
        <v>8578000</v>
      </c>
      <c r="AS15" s="28">
        <v>9025000</v>
      </c>
      <c r="AT15" s="27">
        <v>8443000</v>
      </c>
      <c r="AU15" s="28">
        <v>8890000</v>
      </c>
      <c r="AV15" s="27">
        <v>8490000</v>
      </c>
      <c r="AW15" s="28">
        <v>8937000</v>
      </c>
      <c r="AX15" s="27">
        <v>8456000</v>
      </c>
      <c r="AY15" s="28">
        <v>8903000</v>
      </c>
      <c r="AZ15" s="27">
        <v>8533000</v>
      </c>
      <c r="BA15" s="28">
        <v>8980000</v>
      </c>
      <c r="BB15" s="27">
        <v>8055000</v>
      </c>
      <c r="BC15" s="28">
        <v>8502000</v>
      </c>
      <c r="BD15" s="27">
        <v>8055000</v>
      </c>
      <c r="BE15" s="28">
        <v>8502000</v>
      </c>
      <c r="BF15" s="27">
        <v>8055000</v>
      </c>
      <c r="BG15" s="28">
        <v>8502000</v>
      </c>
      <c r="BH15" s="27">
        <v>8055000</v>
      </c>
      <c r="BI15" s="28">
        <v>8502000</v>
      </c>
      <c r="BJ15" s="27">
        <v>8045000</v>
      </c>
      <c r="BK15" s="28">
        <v>8492000</v>
      </c>
      <c r="BL15" s="27">
        <v>8104000</v>
      </c>
      <c r="BM15" s="28">
        <v>8551000</v>
      </c>
      <c r="BN15" s="27">
        <v>8104000</v>
      </c>
      <c r="BO15" s="28">
        <v>8551000</v>
      </c>
      <c r="BP15" s="27">
        <v>8091000</v>
      </c>
      <c r="BQ15" s="28">
        <v>8538000</v>
      </c>
      <c r="BR15" s="27">
        <v>8055000</v>
      </c>
      <c r="BS15" s="28">
        <v>8502000</v>
      </c>
      <c r="BT15" s="27">
        <v>8042000</v>
      </c>
      <c r="BU15" s="28">
        <v>8489000</v>
      </c>
      <c r="BV15" s="27">
        <v>8042000</v>
      </c>
      <c r="BW15" s="28">
        <v>8489000</v>
      </c>
      <c r="BX15" s="27">
        <v>8042000</v>
      </c>
      <c r="BY15" s="28">
        <v>8489000</v>
      </c>
      <c r="BZ15" s="27">
        <v>7980000</v>
      </c>
      <c r="CA15" s="28">
        <v>8427000</v>
      </c>
      <c r="CB15" s="27">
        <v>7921000</v>
      </c>
      <c r="CC15" s="28">
        <v>8368000</v>
      </c>
      <c r="CD15" s="27">
        <v>7921000</v>
      </c>
      <c r="CE15" s="28">
        <v>8368000</v>
      </c>
      <c r="CF15" s="27">
        <v>7980000</v>
      </c>
      <c r="CG15" s="28">
        <v>8427000</v>
      </c>
      <c r="CH15" s="27">
        <v>8344000</v>
      </c>
      <c r="CI15" s="28">
        <v>8791000</v>
      </c>
    </row>
    <row r="16" spans="1:87">
      <c r="A16" s="24"/>
      <c r="B16" s="25" t="s">
        <v>182</v>
      </c>
      <c r="C16" s="26">
        <v>380</v>
      </c>
      <c r="D16" s="26">
        <v>360</v>
      </c>
      <c r="E16" s="26">
        <v>450</v>
      </c>
      <c r="F16" s="27">
        <v>12964000</v>
      </c>
      <c r="G16" s="30"/>
      <c r="H16" s="27">
        <v>12623000</v>
      </c>
      <c r="I16" s="30"/>
      <c r="J16" s="27">
        <v>13304000</v>
      </c>
      <c r="K16" s="30"/>
      <c r="L16" s="27">
        <v>12996000</v>
      </c>
      <c r="M16" s="30"/>
      <c r="N16" s="27">
        <v>13836000</v>
      </c>
      <c r="O16" s="30"/>
      <c r="P16" s="27">
        <v>12690000</v>
      </c>
      <c r="Q16" s="30"/>
      <c r="R16" s="27">
        <v>13109000</v>
      </c>
      <c r="S16" s="30"/>
      <c r="T16" s="29"/>
      <c r="U16" s="30"/>
      <c r="V16" s="27">
        <v>12304000</v>
      </c>
      <c r="W16" s="30"/>
      <c r="X16" s="27">
        <v>12241000</v>
      </c>
      <c r="Y16" s="30"/>
      <c r="Z16" s="27">
        <v>12388000</v>
      </c>
      <c r="AA16" s="30"/>
      <c r="AB16" s="27">
        <v>12423000</v>
      </c>
      <c r="AC16" s="30"/>
      <c r="AD16" s="27">
        <v>12439000</v>
      </c>
      <c r="AE16" s="30"/>
      <c r="AF16" s="27">
        <v>12500000</v>
      </c>
      <c r="AG16" s="30"/>
      <c r="AH16" s="27">
        <v>12500000</v>
      </c>
      <c r="AI16" s="30"/>
      <c r="AJ16" s="27">
        <v>12418000</v>
      </c>
      <c r="AK16" s="30"/>
      <c r="AL16" s="27">
        <v>12527000</v>
      </c>
      <c r="AM16" s="30"/>
      <c r="AN16" s="27">
        <v>12316000</v>
      </c>
      <c r="AO16" s="30"/>
      <c r="AP16" s="27">
        <v>12490000</v>
      </c>
      <c r="AQ16" s="30"/>
      <c r="AR16" s="27">
        <v>12533000</v>
      </c>
      <c r="AS16" s="30"/>
      <c r="AT16" s="27">
        <v>12490000</v>
      </c>
      <c r="AU16" s="30"/>
      <c r="AV16" s="27">
        <v>12503000</v>
      </c>
      <c r="AW16" s="30"/>
      <c r="AX16" s="27">
        <v>12492000</v>
      </c>
      <c r="AY16" s="30"/>
      <c r="AZ16" s="27">
        <v>12517000</v>
      </c>
      <c r="BA16" s="30"/>
      <c r="BB16" s="27">
        <v>12349000</v>
      </c>
      <c r="BC16" s="30"/>
      <c r="BD16" s="27">
        <v>12349000</v>
      </c>
      <c r="BE16" s="30"/>
      <c r="BF16" s="27">
        <v>12349000</v>
      </c>
      <c r="BG16" s="30"/>
      <c r="BH16" s="27">
        <v>12349000</v>
      </c>
      <c r="BI16" s="30"/>
      <c r="BJ16" s="27">
        <v>12346000</v>
      </c>
      <c r="BK16" s="30"/>
      <c r="BL16" s="27">
        <v>12365000</v>
      </c>
      <c r="BM16" s="30"/>
      <c r="BN16" s="27">
        <v>12365000</v>
      </c>
      <c r="BO16" s="30"/>
      <c r="BP16" s="27">
        <v>12361000</v>
      </c>
      <c r="BQ16" s="30"/>
      <c r="BR16" s="27">
        <v>12349000</v>
      </c>
      <c r="BS16" s="30"/>
      <c r="BT16" s="27">
        <v>12345000</v>
      </c>
      <c r="BU16" s="30"/>
      <c r="BV16" s="27">
        <v>12345000</v>
      </c>
      <c r="BW16" s="30"/>
      <c r="BX16" s="27">
        <v>12345000</v>
      </c>
      <c r="BY16" s="30"/>
      <c r="BZ16" s="27">
        <v>12352000</v>
      </c>
      <c r="CA16" s="30"/>
      <c r="CB16" s="27">
        <v>12333000</v>
      </c>
      <c r="CC16" s="30"/>
      <c r="CD16" s="27">
        <v>12333000</v>
      </c>
      <c r="CE16" s="30"/>
      <c r="CF16" s="27">
        <v>12352000</v>
      </c>
      <c r="CG16" s="30"/>
      <c r="CH16" s="27">
        <v>12461000</v>
      </c>
      <c r="CI16" s="30"/>
    </row>
    <row r="17" spans="1:87">
      <c r="A17" s="24"/>
      <c r="B17" s="25" t="s">
        <v>183</v>
      </c>
      <c r="C17" s="26">
        <v>380</v>
      </c>
      <c r="D17" s="26">
        <v>360</v>
      </c>
      <c r="E17" s="26">
        <v>600</v>
      </c>
      <c r="F17" s="27">
        <v>13448000</v>
      </c>
      <c r="G17" s="30"/>
      <c r="H17" s="27">
        <v>12993000</v>
      </c>
      <c r="I17" s="30"/>
      <c r="J17" s="27">
        <v>13901000</v>
      </c>
      <c r="K17" s="30"/>
      <c r="L17" s="27">
        <v>13490000</v>
      </c>
      <c r="M17" s="30"/>
      <c r="N17" s="27">
        <v>14610000</v>
      </c>
      <c r="O17" s="30"/>
      <c r="P17" s="27">
        <v>13040000</v>
      </c>
      <c r="Q17" s="30"/>
      <c r="R17" s="27">
        <v>13668000</v>
      </c>
      <c r="S17" s="30"/>
      <c r="T17" s="29"/>
      <c r="U17" s="30"/>
      <c r="V17" s="27">
        <v>12564000</v>
      </c>
      <c r="W17" s="30"/>
      <c r="X17" s="27">
        <v>12480000</v>
      </c>
      <c r="Y17" s="30"/>
      <c r="Z17" s="27">
        <v>12673000</v>
      </c>
      <c r="AA17" s="30"/>
      <c r="AB17" s="27">
        <v>12717000</v>
      </c>
      <c r="AC17" s="30"/>
      <c r="AD17" s="27">
        <v>12736000</v>
      </c>
      <c r="AE17" s="30"/>
      <c r="AF17" s="27">
        <v>12814000</v>
      </c>
      <c r="AG17" s="30"/>
      <c r="AH17" s="27">
        <v>12814000</v>
      </c>
      <c r="AI17" s="30"/>
      <c r="AJ17" s="27">
        <v>12712000</v>
      </c>
      <c r="AK17" s="30"/>
      <c r="AL17" s="27">
        <v>12857000</v>
      </c>
      <c r="AM17" s="30"/>
      <c r="AN17" s="27">
        <v>12577000</v>
      </c>
      <c r="AO17" s="30"/>
      <c r="AP17" s="27">
        <v>12806000</v>
      </c>
      <c r="AQ17" s="30"/>
      <c r="AR17" s="27">
        <v>12864000</v>
      </c>
      <c r="AS17" s="30"/>
      <c r="AT17" s="27">
        <v>12806000</v>
      </c>
      <c r="AU17" s="30"/>
      <c r="AV17" s="27">
        <v>12825000</v>
      </c>
      <c r="AW17" s="30"/>
      <c r="AX17" s="27">
        <v>12810000</v>
      </c>
      <c r="AY17" s="30"/>
      <c r="AZ17" s="27">
        <v>12843000</v>
      </c>
      <c r="BA17" s="30"/>
      <c r="BB17" s="27">
        <v>12624000</v>
      </c>
      <c r="BC17" s="30"/>
      <c r="BD17" s="27">
        <v>12624000</v>
      </c>
      <c r="BE17" s="30"/>
      <c r="BF17" s="27">
        <v>12624000</v>
      </c>
      <c r="BG17" s="30"/>
      <c r="BH17" s="27">
        <v>12624000</v>
      </c>
      <c r="BI17" s="30"/>
      <c r="BJ17" s="27">
        <v>12620000</v>
      </c>
      <c r="BK17" s="30"/>
      <c r="BL17" s="27">
        <v>12645000</v>
      </c>
      <c r="BM17" s="30"/>
      <c r="BN17" s="27">
        <v>12645000</v>
      </c>
      <c r="BO17" s="30"/>
      <c r="BP17" s="27">
        <v>12640000</v>
      </c>
      <c r="BQ17" s="30"/>
      <c r="BR17" s="27">
        <v>12624000</v>
      </c>
      <c r="BS17" s="30"/>
      <c r="BT17" s="27">
        <v>12619000</v>
      </c>
      <c r="BU17" s="30"/>
      <c r="BV17" s="27">
        <v>12619000</v>
      </c>
      <c r="BW17" s="30"/>
      <c r="BX17" s="27">
        <v>12619000</v>
      </c>
      <c r="BY17" s="30"/>
      <c r="BZ17" s="27">
        <v>12619000</v>
      </c>
      <c r="CA17" s="30"/>
      <c r="CB17" s="27">
        <v>12594000</v>
      </c>
      <c r="CC17" s="30"/>
      <c r="CD17" s="27">
        <v>12594000</v>
      </c>
      <c r="CE17" s="30"/>
      <c r="CF17" s="27">
        <v>12619000</v>
      </c>
      <c r="CG17" s="30"/>
      <c r="CH17" s="27">
        <v>12767000</v>
      </c>
      <c r="CI17" s="30"/>
    </row>
    <row r="18" spans="1:87">
      <c r="A18" s="24"/>
      <c r="B18" s="25" t="s">
        <v>184</v>
      </c>
      <c r="C18" s="26">
        <v>380</v>
      </c>
      <c r="D18" s="26">
        <v>360</v>
      </c>
      <c r="E18" s="26">
        <v>900</v>
      </c>
      <c r="F18" s="27">
        <v>14397000</v>
      </c>
      <c r="G18" s="30"/>
      <c r="H18" s="27">
        <v>13714000</v>
      </c>
      <c r="I18" s="30"/>
      <c r="J18" s="27">
        <v>15077000</v>
      </c>
      <c r="K18" s="30"/>
      <c r="L18" s="27">
        <v>14460000</v>
      </c>
      <c r="M18" s="30"/>
      <c r="N18" s="27">
        <v>16140000</v>
      </c>
      <c r="O18" s="30"/>
      <c r="P18" s="27">
        <v>13722000</v>
      </c>
      <c r="Q18" s="30"/>
      <c r="R18" s="27">
        <v>14768000</v>
      </c>
      <c r="S18" s="30"/>
      <c r="T18" s="29"/>
      <c r="U18" s="30"/>
      <c r="V18" s="27">
        <v>13066000</v>
      </c>
      <c r="W18" s="30"/>
      <c r="X18" s="27">
        <v>12940000</v>
      </c>
      <c r="Y18" s="30"/>
      <c r="Z18" s="27">
        <v>13223000</v>
      </c>
      <c r="AA18" s="30"/>
      <c r="AB18" s="27">
        <v>13286000</v>
      </c>
      <c r="AC18" s="30"/>
      <c r="AD18" s="27">
        <v>13311000</v>
      </c>
      <c r="AE18" s="30"/>
      <c r="AF18" s="27">
        <v>13425000</v>
      </c>
      <c r="AG18" s="30"/>
      <c r="AH18" s="27">
        <v>13425000</v>
      </c>
      <c r="AI18" s="30"/>
      <c r="AJ18" s="27">
        <v>13281000</v>
      </c>
      <c r="AK18" s="30"/>
      <c r="AL18" s="27">
        <v>13497000</v>
      </c>
      <c r="AM18" s="30"/>
      <c r="AN18" s="27">
        <v>13079000</v>
      </c>
      <c r="AO18" s="30"/>
      <c r="AP18" s="27">
        <v>13420000</v>
      </c>
      <c r="AQ18" s="30"/>
      <c r="AR18" s="27">
        <v>13506000</v>
      </c>
      <c r="AS18" s="30"/>
      <c r="AT18" s="27">
        <v>13420000</v>
      </c>
      <c r="AU18" s="30"/>
      <c r="AV18" s="27">
        <v>13448000</v>
      </c>
      <c r="AW18" s="30"/>
      <c r="AX18" s="27">
        <v>13426000</v>
      </c>
      <c r="AY18" s="30"/>
      <c r="AZ18" s="27">
        <v>13476000</v>
      </c>
      <c r="BA18" s="30"/>
      <c r="BB18" s="27">
        <v>13155000</v>
      </c>
      <c r="BC18" s="30"/>
      <c r="BD18" s="27">
        <v>13155000</v>
      </c>
      <c r="BE18" s="30"/>
      <c r="BF18" s="27">
        <v>13155000</v>
      </c>
      <c r="BG18" s="30"/>
      <c r="BH18" s="27">
        <v>13155000</v>
      </c>
      <c r="BI18" s="30"/>
      <c r="BJ18" s="27">
        <v>13150000</v>
      </c>
      <c r="BK18" s="30"/>
      <c r="BL18" s="27">
        <v>13187000</v>
      </c>
      <c r="BM18" s="30"/>
      <c r="BN18" s="27">
        <v>13187000</v>
      </c>
      <c r="BO18" s="30"/>
      <c r="BP18" s="27">
        <v>13179000</v>
      </c>
      <c r="BQ18" s="30"/>
      <c r="BR18" s="27">
        <v>13155000</v>
      </c>
      <c r="BS18" s="30"/>
      <c r="BT18" s="27">
        <v>13148000</v>
      </c>
      <c r="BU18" s="30"/>
      <c r="BV18" s="27">
        <v>13148000</v>
      </c>
      <c r="BW18" s="30"/>
      <c r="BX18" s="27">
        <v>13148000</v>
      </c>
      <c r="BY18" s="30"/>
      <c r="BZ18" s="27">
        <v>13133000</v>
      </c>
      <c r="CA18" s="30"/>
      <c r="CB18" s="27">
        <v>13096000</v>
      </c>
      <c r="CC18" s="30"/>
      <c r="CD18" s="27">
        <v>13096000</v>
      </c>
      <c r="CE18" s="30"/>
      <c r="CF18" s="27">
        <v>13133000</v>
      </c>
      <c r="CG18" s="30"/>
      <c r="CH18" s="27">
        <v>13359000</v>
      </c>
      <c r="CI18" s="30"/>
    </row>
    <row r="19" spans="1:87">
      <c r="A19" s="24"/>
      <c r="B19" s="25" t="s">
        <v>185</v>
      </c>
      <c r="C19" s="26">
        <v>380</v>
      </c>
      <c r="D19" s="26">
        <v>563</v>
      </c>
      <c r="E19" s="26">
        <v>450</v>
      </c>
      <c r="F19" s="27">
        <v>13926000</v>
      </c>
      <c r="G19" s="30"/>
      <c r="H19" s="27">
        <v>13392000</v>
      </c>
      <c r="I19" s="30"/>
      <c r="J19" s="27">
        <v>14457000</v>
      </c>
      <c r="K19" s="30"/>
      <c r="L19" s="27">
        <v>13975000</v>
      </c>
      <c r="M19" s="30"/>
      <c r="N19" s="27">
        <v>15289000</v>
      </c>
      <c r="O19" s="30"/>
      <c r="P19" s="27">
        <v>13354000</v>
      </c>
      <c r="Q19" s="30"/>
      <c r="R19" s="27">
        <v>14177000</v>
      </c>
      <c r="S19" s="30"/>
      <c r="T19" s="29"/>
      <c r="U19" s="30"/>
      <c r="V19" s="27">
        <v>12886000</v>
      </c>
      <c r="W19" s="30"/>
      <c r="X19" s="27">
        <v>12787000</v>
      </c>
      <c r="Y19" s="30"/>
      <c r="Z19" s="27">
        <v>13010000</v>
      </c>
      <c r="AA19" s="30"/>
      <c r="AB19" s="27">
        <v>13060000</v>
      </c>
      <c r="AC19" s="30"/>
      <c r="AD19" s="27">
        <v>13079000</v>
      </c>
      <c r="AE19" s="30"/>
      <c r="AF19" s="27">
        <v>13169000</v>
      </c>
      <c r="AG19" s="30"/>
      <c r="AH19" s="27">
        <v>13169000</v>
      </c>
      <c r="AI19" s="30"/>
      <c r="AJ19" s="27">
        <v>13055000</v>
      </c>
      <c r="AK19" s="30"/>
      <c r="AL19" s="27">
        <v>13224000</v>
      </c>
      <c r="AM19" s="30"/>
      <c r="AN19" s="27">
        <v>12897000</v>
      </c>
      <c r="AO19" s="30"/>
      <c r="AP19" s="27">
        <v>13164000</v>
      </c>
      <c r="AQ19" s="30"/>
      <c r="AR19" s="27">
        <v>13232000</v>
      </c>
      <c r="AS19" s="30"/>
      <c r="AT19" s="27">
        <v>13164000</v>
      </c>
      <c r="AU19" s="30"/>
      <c r="AV19" s="27">
        <v>13186000</v>
      </c>
      <c r="AW19" s="30"/>
      <c r="AX19" s="27">
        <v>13169000</v>
      </c>
      <c r="AY19" s="30"/>
      <c r="AZ19" s="27">
        <v>13208000</v>
      </c>
      <c r="BA19" s="30"/>
      <c r="BB19" s="27">
        <v>12956000</v>
      </c>
      <c r="BC19" s="30"/>
      <c r="BD19" s="27">
        <v>12956000</v>
      </c>
      <c r="BE19" s="30"/>
      <c r="BF19" s="27">
        <v>12956000</v>
      </c>
      <c r="BG19" s="30"/>
      <c r="BH19" s="27">
        <v>12956000</v>
      </c>
      <c r="BI19" s="30"/>
      <c r="BJ19" s="27">
        <v>12951000</v>
      </c>
      <c r="BK19" s="30"/>
      <c r="BL19" s="27">
        <v>12981000</v>
      </c>
      <c r="BM19" s="30"/>
      <c r="BN19" s="27">
        <v>12981000</v>
      </c>
      <c r="BO19" s="30"/>
      <c r="BP19" s="27">
        <v>12974000</v>
      </c>
      <c r="BQ19" s="30"/>
      <c r="BR19" s="27">
        <v>12956000</v>
      </c>
      <c r="BS19" s="30"/>
      <c r="BT19" s="27">
        <v>12950000</v>
      </c>
      <c r="BU19" s="30"/>
      <c r="BV19" s="27">
        <v>12950000</v>
      </c>
      <c r="BW19" s="30"/>
      <c r="BX19" s="27">
        <v>12950000</v>
      </c>
      <c r="BY19" s="30"/>
      <c r="BZ19" s="27">
        <v>12941000</v>
      </c>
      <c r="CA19" s="30"/>
      <c r="CB19" s="27">
        <v>12912000</v>
      </c>
      <c r="CC19" s="30"/>
      <c r="CD19" s="27">
        <v>12912000</v>
      </c>
      <c r="CE19" s="30"/>
      <c r="CF19" s="27">
        <v>12941000</v>
      </c>
      <c r="CG19" s="30"/>
      <c r="CH19" s="27">
        <v>13117000</v>
      </c>
      <c r="CI19" s="30"/>
    </row>
    <row r="20" spans="1:87">
      <c r="A20" s="24"/>
      <c r="B20" s="25" t="s">
        <v>186</v>
      </c>
      <c r="C20" s="26">
        <v>380</v>
      </c>
      <c r="D20" s="26">
        <v>563</v>
      </c>
      <c r="E20" s="26">
        <v>600</v>
      </c>
      <c r="F20" s="27">
        <v>14662000</v>
      </c>
      <c r="G20" s="30"/>
      <c r="H20" s="27">
        <v>13950000</v>
      </c>
      <c r="I20" s="30"/>
      <c r="J20" s="27">
        <v>15370000</v>
      </c>
      <c r="K20" s="30"/>
      <c r="L20" s="27">
        <v>14727000</v>
      </c>
      <c r="M20" s="30"/>
      <c r="N20" s="27">
        <v>16479000</v>
      </c>
      <c r="O20" s="30"/>
      <c r="P20" s="27">
        <v>13838000</v>
      </c>
      <c r="Q20" s="30"/>
      <c r="R20" s="27">
        <v>15072000</v>
      </c>
      <c r="S20" s="30"/>
      <c r="T20" s="29"/>
      <c r="U20" s="30"/>
      <c r="V20" s="27">
        <v>13269000</v>
      </c>
      <c r="W20" s="30"/>
      <c r="X20" s="27">
        <v>13138000</v>
      </c>
      <c r="Y20" s="30"/>
      <c r="Z20" s="27">
        <v>13428000</v>
      </c>
      <c r="AA20" s="30"/>
      <c r="AB20" s="27">
        <v>13492000</v>
      </c>
      <c r="AC20" s="30"/>
      <c r="AD20" s="27">
        <v>13514000</v>
      </c>
      <c r="AE20" s="30"/>
      <c r="AF20" s="27">
        <v>13630000</v>
      </c>
      <c r="AG20" s="30"/>
      <c r="AH20" s="27">
        <v>13630000</v>
      </c>
      <c r="AI20" s="30"/>
      <c r="AJ20" s="27">
        <v>13488000</v>
      </c>
      <c r="AK20" s="30"/>
      <c r="AL20" s="27">
        <v>13712000</v>
      </c>
      <c r="AM20" s="30"/>
      <c r="AN20" s="27">
        <v>13278000</v>
      </c>
      <c r="AO20" s="30"/>
      <c r="AP20" s="27">
        <v>13631000</v>
      </c>
      <c r="AQ20" s="30"/>
      <c r="AR20" s="27">
        <v>13721000</v>
      </c>
      <c r="AS20" s="30"/>
      <c r="AT20" s="27">
        <v>13631000</v>
      </c>
      <c r="AU20" s="30"/>
      <c r="AV20" s="27">
        <v>13661000</v>
      </c>
      <c r="AW20" s="30"/>
      <c r="AX20" s="27">
        <v>13638000</v>
      </c>
      <c r="AY20" s="30"/>
      <c r="AZ20" s="27">
        <v>13690000</v>
      </c>
      <c r="BA20" s="30"/>
      <c r="BB20" s="27">
        <v>13363000</v>
      </c>
      <c r="BC20" s="30"/>
      <c r="BD20" s="27">
        <v>13363000</v>
      </c>
      <c r="BE20" s="30"/>
      <c r="BF20" s="27">
        <v>13363000</v>
      </c>
      <c r="BG20" s="30"/>
      <c r="BH20" s="27">
        <v>13363000</v>
      </c>
      <c r="BI20" s="30"/>
      <c r="BJ20" s="27">
        <v>13356000</v>
      </c>
      <c r="BK20" s="30"/>
      <c r="BL20" s="27">
        <v>13395000</v>
      </c>
      <c r="BM20" s="30"/>
      <c r="BN20" s="27">
        <v>13395000</v>
      </c>
      <c r="BO20" s="30"/>
      <c r="BP20" s="27">
        <v>13387000</v>
      </c>
      <c r="BQ20" s="30"/>
      <c r="BR20" s="27">
        <v>13363000</v>
      </c>
      <c r="BS20" s="30"/>
      <c r="BT20" s="27">
        <v>13354000</v>
      </c>
      <c r="BU20" s="30"/>
      <c r="BV20" s="27">
        <v>13354000</v>
      </c>
      <c r="BW20" s="30"/>
      <c r="BX20" s="27">
        <v>13354000</v>
      </c>
      <c r="BY20" s="30"/>
      <c r="BZ20" s="27">
        <v>13328000</v>
      </c>
      <c r="CA20" s="30"/>
      <c r="CB20" s="27">
        <v>13288000</v>
      </c>
      <c r="CC20" s="30"/>
      <c r="CD20" s="27">
        <v>13288000</v>
      </c>
      <c r="CE20" s="30"/>
      <c r="CF20" s="27">
        <v>13328000</v>
      </c>
      <c r="CG20" s="30"/>
      <c r="CH20" s="27">
        <v>13566000</v>
      </c>
      <c r="CI20" s="30"/>
    </row>
    <row r="21" spans="1:87">
      <c r="A21" s="24"/>
      <c r="B21" s="25" t="s">
        <v>187</v>
      </c>
      <c r="C21" s="26">
        <v>380</v>
      </c>
      <c r="D21" s="26">
        <v>563</v>
      </c>
      <c r="E21" s="26">
        <v>900</v>
      </c>
      <c r="F21" s="27">
        <v>16112000</v>
      </c>
      <c r="G21" s="30"/>
      <c r="H21" s="27">
        <v>15044000</v>
      </c>
      <c r="I21" s="30"/>
      <c r="J21" s="27">
        <v>17174000</v>
      </c>
      <c r="K21" s="30"/>
      <c r="L21" s="27">
        <v>16210000</v>
      </c>
      <c r="M21" s="30"/>
      <c r="N21" s="27">
        <v>18838000</v>
      </c>
      <c r="O21" s="30"/>
      <c r="P21" s="27">
        <v>14784000</v>
      </c>
      <c r="Q21" s="30"/>
      <c r="R21" s="27">
        <v>16842000</v>
      </c>
      <c r="S21" s="30"/>
      <c r="T21" s="29"/>
      <c r="U21" s="30"/>
      <c r="V21" s="27">
        <v>14015000</v>
      </c>
      <c r="W21" s="30"/>
      <c r="X21" s="27">
        <v>13819000</v>
      </c>
      <c r="Y21" s="30"/>
      <c r="Z21" s="27">
        <v>14244000</v>
      </c>
      <c r="AA21" s="30"/>
      <c r="AB21" s="27">
        <v>14335000</v>
      </c>
      <c r="AC21" s="30"/>
      <c r="AD21" s="27">
        <v>14362000</v>
      </c>
      <c r="AE21" s="30"/>
      <c r="AF21" s="27">
        <v>14530000</v>
      </c>
      <c r="AG21" s="30"/>
      <c r="AH21" s="27">
        <v>14530000</v>
      </c>
      <c r="AI21" s="30"/>
      <c r="AJ21" s="27">
        <v>14333000</v>
      </c>
      <c r="AK21" s="30"/>
      <c r="AL21" s="27">
        <v>14667000</v>
      </c>
      <c r="AM21" s="30"/>
      <c r="AN21" s="27">
        <v>14020000</v>
      </c>
      <c r="AO21" s="30"/>
      <c r="AP21" s="27">
        <v>14543000</v>
      </c>
      <c r="AQ21" s="30"/>
      <c r="AR21" s="27">
        <v>14678000</v>
      </c>
      <c r="AS21" s="30"/>
      <c r="AT21" s="27">
        <v>14543000</v>
      </c>
      <c r="AU21" s="30"/>
      <c r="AV21" s="27">
        <v>14590000</v>
      </c>
      <c r="AW21" s="30"/>
      <c r="AX21" s="27">
        <v>14556000</v>
      </c>
      <c r="AY21" s="30"/>
      <c r="AZ21" s="27">
        <v>14633000</v>
      </c>
      <c r="BA21" s="30"/>
      <c r="BB21" s="27">
        <v>14155000</v>
      </c>
      <c r="BC21" s="30"/>
      <c r="BD21" s="27">
        <v>14155000</v>
      </c>
      <c r="BE21" s="30"/>
      <c r="BF21" s="27">
        <v>14155000</v>
      </c>
      <c r="BG21" s="30"/>
      <c r="BH21" s="27">
        <v>14155000</v>
      </c>
      <c r="BI21" s="30"/>
      <c r="BJ21" s="27">
        <v>14145000</v>
      </c>
      <c r="BK21" s="30"/>
      <c r="BL21" s="27">
        <v>14204000</v>
      </c>
      <c r="BM21" s="30"/>
      <c r="BN21" s="27">
        <v>14204000</v>
      </c>
      <c r="BO21" s="30"/>
      <c r="BP21" s="27">
        <v>14191000</v>
      </c>
      <c r="BQ21" s="30"/>
      <c r="BR21" s="27">
        <v>14155000</v>
      </c>
      <c r="BS21" s="30"/>
      <c r="BT21" s="27">
        <v>14142000</v>
      </c>
      <c r="BU21" s="30"/>
      <c r="BV21" s="27">
        <v>14142000</v>
      </c>
      <c r="BW21" s="30"/>
      <c r="BX21" s="27">
        <v>14142000</v>
      </c>
      <c r="BY21" s="30"/>
      <c r="BZ21" s="27">
        <v>14080000</v>
      </c>
      <c r="CA21" s="30"/>
      <c r="CB21" s="27">
        <v>14021000</v>
      </c>
      <c r="CC21" s="30"/>
      <c r="CD21" s="27">
        <v>14021000</v>
      </c>
      <c r="CE21" s="30"/>
      <c r="CF21" s="27">
        <v>14080000</v>
      </c>
      <c r="CG21" s="30"/>
      <c r="CH21" s="27">
        <v>14444000</v>
      </c>
      <c r="CI21" s="30"/>
    </row>
    <row r="22" spans="1:87" ht="63" customHeight="1">
      <c r="A22" s="16" t="e">
        <f ca="1">_xludf.image("https://lh3.google.com/u/0/d/1DE9kp6NyD0wMCJZkL5pnYtZgRBDF63cD",1)</f>
        <v>#NAME?</v>
      </c>
      <c r="B22" s="17" t="s">
        <v>188</v>
      </c>
      <c r="C22" s="147"/>
      <c r="D22" s="145"/>
      <c r="E22" s="146"/>
      <c r="F22" s="63"/>
      <c r="G22" s="64"/>
      <c r="H22" s="63"/>
      <c r="I22" s="64"/>
      <c r="J22" s="63"/>
      <c r="K22" s="64"/>
      <c r="L22" s="63"/>
      <c r="M22" s="64"/>
      <c r="N22" s="63"/>
      <c r="O22" s="64"/>
      <c r="P22" s="63"/>
      <c r="Q22" s="64"/>
      <c r="R22" s="63"/>
      <c r="S22" s="64"/>
      <c r="T22" s="63"/>
      <c r="U22" s="64"/>
      <c r="V22" s="63"/>
      <c r="W22" s="64"/>
      <c r="X22" s="63"/>
      <c r="Y22" s="64"/>
      <c r="Z22" s="63"/>
      <c r="AA22" s="64"/>
      <c r="AB22" s="63"/>
      <c r="AC22" s="64"/>
      <c r="AD22" s="63"/>
      <c r="AE22" s="64"/>
      <c r="AF22" s="63"/>
      <c r="AG22" s="64"/>
      <c r="AH22" s="63"/>
      <c r="AI22" s="64"/>
      <c r="AJ22" s="63"/>
      <c r="AK22" s="64"/>
      <c r="AL22" s="63"/>
      <c r="AM22" s="64"/>
      <c r="AN22" s="63"/>
      <c r="AO22" s="64"/>
      <c r="AP22" s="63"/>
      <c r="AQ22" s="64"/>
      <c r="AR22" s="63"/>
      <c r="AS22" s="64"/>
      <c r="AT22" s="63"/>
      <c r="AU22" s="64"/>
      <c r="AV22" s="63"/>
      <c r="AW22" s="64"/>
      <c r="AX22" s="63"/>
      <c r="AY22" s="64"/>
      <c r="AZ22" s="63"/>
      <c r="BA22" s="64"/>
      <c r="BB22" s="63"/>
      <c r="BC22" s="64"/>
      <c r="BD22" s="63"/>
      <c r="BE22" s="64"/>
      <c r="BF22" s="63"/>
      <c r="BG22" s="64"/>
      <c r="BH22" s="63"/>
      <c r="BI22" s="64"/>
      <c r="BJ22" s="63"/>
      <c r="BK22" s="64"/>
      <c r="BL22" s="63"/>
      <c r="BM22" s="64"/>
      <c r="BN22" s="63"/>
      <c r="BO22" s="64"/>
      <c r="BP22" s="63"/>
      <c r="BQ22" s="64"/>
      <c r="BR22" s="63"/>
      <c r="BS22" s="64"/>
      <c r="BT22" s="63"/>
      <c r="BU22" s="64"/>
      <c r="BV22" s="63"/>
      <c r="BW22" s="64"/>
      <c r="BX22" s="63"/>
      <c r="BY22" s="64"/>
      <c r="BZ22" s="63"/>
      <c r="CA22" s="64"/>
      <c r="CB22" s="63"/>
      <c r="CC22" s="64"/>
      <c r="CD22" s="63"/>
      <c r="CE22" s="64"/>
      <c r="CF22" s="63"/>
      <c r="CG22" s="64"/>
      <c r="CH22" s="63"/>
      <c r="CI22" s="64"/>
    </row>
    <row r="23" spans="1:87" ht="12.75">
      <c r="A23" s="20"/>
      <c r="B23" s="138" t="s">
        <v>189</v>
      </c>
      <c r="C23" s="136"/>
      <c r="D23" s="136"/>
      <c r="E23" s="137"/>
      <c r="F23" s="22"/>
      <c r="G23" s="23"/>
      <c r="H23" s="22"/>
      <c r="I23" s="23"/>
      <c r="J23" s="22"/>
      <c r="K23" s="23"/>
      <c r="L23" s="22"/>
      <c r="M23" s="23"/>
      <c r="N23" s="22"/>
      <c r="O23" s="23"/>
      <c r="P23" s="22"/>
      <c r="Q23" s="23"/>
      <c r="R23" s="22"/>
      <c r="S23" s="23"/>
      <c r="T23" s="22"/>
      <c r="U23" s="23"/>
      <c r="V23" s="22"/>
      <c r="W23" s="23"/>
      <c r="X23" s="22"/>
      <c r="Y23" s="23"/>
      <c r="Z23" s="22"/>
      <c r="AA23" s="23"/>
      <c r="AB23" s="22"/>
      <c r="AC23" s="23"/>
      <c r="AD23" s="22"/>
      <c r="AE23" s="23"/>
      <c r="AF23" s="22"/>
      <c r="AG23" s="23"/>
      <c r="AH23" s="22"/>
      <c r="AI23" s="23"/>
      <c r="AJ23" s="22"/>
      <c r="AK23" s="23"/>
      <c r="AL23" s="22"/>
      <c r="AM23" s="23"/>
      <c r="AN23" s="22"/>
      <c r="AO23" s="23"/>
      <c r="AP23" s="22"/>
      <c r="AQ23" s="23"/>
      <c r="AR23" s="22"/>
      <c r="AS23" s="23"/>
      <c r="AT23" s="22"/>
      <c r="AU23" s="23"/>
      <c r="AV23" s="22"/>
      <c r="AW23" s="23"/>
      <c r="AX23" s="22"/>
      <c r="AY23" s="23"/>
      <c r="AZ23" s="22"/>
      <c r="BA23" s="23"/>
      <c r="BB23" s="22"/>
      <c r="BC23" s="23"/>
      <c r="BD23" s="22"/>
      <c r="BE23" s="23"/>
      <c r="BF23" s="22"/>
      <c r="BG23" s="23"/>
      <c r="BH23" s="22"/>
      <c r="BI23" s="23"/>
      <c r="BJ23" s="22"/>
      <c r="BK23" s="23"/>
      <c r="BL23" s="22"/>
      <c r="BM23" s="23"/>
      <c r="BN23" s="22"/>
      <c r="BO23" s="23"/>
      <c r="BP23" s="22"/>
      <c r="BQ23" s="23"/>
      <c r="BR23" s="22"/>
      <c r="BS23" s="23"/>
      <c r="BT23" s="22"/>
      <c r="BU23" s="23"/>
      <c r="BV23" s="22"/>
      <c r="BW23" s="23"/>
      <c r="BX23" s="22"/>
      <c r="BY23" s="23"/>
      <c r="BZ23" s="22"/>
      <c r="CA23" s="23"/>
      <c r="CB23" s="22"/>
      <c r="CC23" s="23"/>
      <c r="CD23" s="22"/>
      <c r="CE23" s="23"/>
      <c r="CF23" s="22"/>
      <c r="CG23" s="23"/>
      <c r="CH23" s="22"/>
      <c r="CI23" s="23"/>
    </row>
    <row r="24" spans="1:87">
      <c r="A24" s="24"/>
      <c r="B24" s="25" t="s">
        <v>190</v>
      </c>
      <c r="C24" s="26">
        <v>380</v>
      </c>
      <c r="D24" s="26">
        <v>360</v>
      </c>
      <c r="E24" s="26">
        <v>450</v>
      </c>
      <c r="F24" s="27">
        <v>5764000</v>
      </c>
      <c r="G24" s="28">
        <v>5987000</v>
      </c>
      <c r="H24" s="27">
        <v>5423000</v>
      </c>
      <c r="I24" s="28">
        <v>5646000</v>
      </c>
      <c r="J24" s="27">
        <v>6104000</v>
      </c>
      <c r="K24" s="28">
        <v>6327000</v>
      </c>
      <c r="L24" s="27">
        <v>5796000</v>
      </c>
      <c r="M24" s="28">
        <v>6019000</v>
      </c>
      <c r="N24" s="27">
        <v>6636000</v>
      </c>
      <c r="O24" s="28">
        <v>6859000</v>
      </c>
      <c r="P24" s="27">
        <v>5490000</v>
      </c>
      <c r="Q24" s="28">
        <v>5713000</v>
      </c>
      <c r="R24" s="27">
        <v>5909000</v>
      </c>
      <c r="S24" s="28">
        <v>6132000</v>
      </c>
      <c r="T24" s="29"/>
      <c r="U24" s="30"/>
      <c r="V24" s="27">
        <v>5104000</v>
      </c>
      <c r="W24" s="28">
        <v>5327000</v>
      </c>
      <c r="X24" s="27">
        <v>5041000</v>
      </c>
      <c r="Y24" s="28">
        <v>5264000</v>
      </c>
      <c r="Z24" s="27">
        <v>5188000</v>
      </c>
      <c r="AA24" s="28">
        <v>5411000</v>
      </c>
      <c r="AB24" s="27">
        <v>5223000</v>
      </c>
      <c r="AC24" s="28">
        <v>5446000</v>
      </c>
      <c r="AD24" s="27">
        <v>5239000</v>
      </c>
      <c r="AE24" s="28">
        <v>5462000</v>
      </c>
      <c r="AF24" s="27">
        <v>5300000</v>
      </c>
      <c r="AG24" s="28">
        <v>5523000</v>
      </c>
      <c r="AH24" s="27">
        <v>5300000</v>
      </c>
      <c r="AI24" s="28">
        <v>5523000</v>
      </c>
      <c r="AJ24" s="27">
        <v>5218000</v>
      </c>
      <c r="AK24" s="28">
        <v>5441000</v>
      </c>
      <c r="AL24" s="27">
        <v>5327000</v>
      </c>
      <c r="AM24" s="28">
        <v>5550000</v>
      </c>
      <c r="AN24" s="27">
        <v>5116000</v>
      </c>
      <c r="AO24" s="28">
        <v>5339000</v>
      </c>
      <c r="AP24" s="27">
        <v>5290000</v>
      </c>
      <c r="AQ24" s="28">
        <v>5513000</v>
      </c>
      <c r="AR24" s="27">
        <v>5333000</v>
      </c>
      <c r="AS24" s="28">
        <v>5556000</v>
      </c>
      <c r="AT24" s="27">
        <v>5290000</v>
      </c>
      <c r="AU24" s="28">
        <v>5513000</v>
      </c>
      <c r="AV24" s="27">
        <v>5303000</v>
      </c>
      <c r="AW24" s="28">
        <v>5526000</v>
      </c>
      <c r="AX24" s="27">
        <v>5292000</v>
      </c>
      <c r="AY24" s="28">
        <v>5515000</v>
      </c>
      <c r="AZ24" s="27">
        <v>5317000</v>
      </c>
      <c r="BA24" s="28">
        <v>5540000</v>
      </c>
      <c r="BB24" s="27">
        <v>5149000</v>
      </c>
      <c r="BC24" s="28">
        <v>5372000</v>
      </c>
      <c r="BD24" s="27">
        <v>5149000</v>
      </c>
      <c r="BE24" s="28">
        <v>5372000</v>
      </c>
      <c r="BF24" s="27">
        <v>5149000</v>
      </c>
      <c r="BG24" s="28">
        <v>5372000</v>
      </c>
      <c r="BH24" s="27">
        <v>5149000</v>
      </c>
      <c r="BI24" s="28">
        <v>5372000</v>
      </c>
      <c r="BJ24" s="27">
        <v>5146000</v>
      </c>
      <c r="BK24" s="28">
        <v>5369000</v>
      </c>
      <c r="BL24" s="27">
        <v>5165000</v>
      </c>
      <c r="BM24" s="28">
        <v>5388000</v>
      </c>
      <c r="BN24" s="27">
        <v>5165000</v>
      </c>
      <c r="BO24" s="28">
        <v>5388000</v>
      </c>
      <c r="BP24" s="27">
        <v>5161000</v>
      </c>
      <c r="BQ24" s="28">
        <v>5384000</v>
      </c>
      <c r="BR24" s="27">
        <v>5149000</v>
      </c>
      <c r="BS24" s="28">
        <v>5372000</v>
      </c>
      <c r="BT24" s="27">
        <v>5145000</v>
      </c>
      <c r="BU24" s="28">
        <v>5368000</v>
      </c>
      <c r="BV24" s="27">
        <v>5145000</v>
      </c>
      <c r="BW24" s="28">
        <v>5368000</v>
      </c>
      <c r="BX24" s="27">
        <v>5145000</v>
      </c>
      <c r="BY24" s="28">
        <v>5368000</v>
      </c>
      <c r="BZ24" s="27">
        <v>5152000</v>
      </c>
      <c r="CA24" s="28">
        <v>5375000</v>
      </c>
      <c r="CB24" s="27">
        <v>5133000</v>
      </c>
      <c r="CC24" s="28">
        <v>5356000</v>
      </c>
      <c r="CD24" s="27">
        <v>5133000</v>
      </c>
      <c r="CE24" s="28">
        <v>5356000</v>
      </c>
      <c r="CF24" s="27">
        <v>5152000</v>
      </c>
      <c r="CG24" s="28">
        <v>5375000</v>
      </c>
      <c r="CH24" s="27">
        <v>5261000</v>
      </c>
      <c r="CI24" s="28">
        <v>5484000</v>
      </c>
    </row>
    <row r="25" spans="1:87">
      <c r="A25" s="24"/>
      <c r="B25" s="25" t="s">
        <v>191</v>
      </c>
      <c r="C25" s="26">
        <v>380</v>
      </c>
      <c r="D25" s="26">
        <v>360</v>
      </c>
      <c r="E25" s="26">
        <v>600</v>
      </c>
      <c r="F25" s="27">
        <v>6248000</v>
      </c>
      <c r="G25" s="28">
        <v>6546000</v>
      </c>
      <c r="H25" s="27">
        <v>5793000</v>
      </c>
      <c r="I25" s="28">
        <v>6091000</v>
      </c>
      <c r="J25" s="27">
        <v>6701000</v>
      </c>
      <c r="K25" s="28">
        <v>6999000</v>
      </c>
      <c r="L25" s="27">
        <v>6290000</v>
      </c>
      <c r="M25" s="28">
        <v>6588000</v>
      </c>
      <c r="N25" s="27">
        <v>7410000</v>
      </c>
      <c r="O25" s="28">
        <v>7708000</v>
      </c>
      <c r="P25" s="27">
        <v>5840000</v>
      </c>
      <c r="Q25" s="28">
        <v>6138000</v>
      </c>
      <c r="R25" s="27">
        <v>6468000</v>
      </c>
      <c r="S25" s="28">
        <v>6766000</v>
      </c>
      <c r="T25" s="29"/>
      <c r="U25" s="30"/>
      <c r="V25" s="27">
        <v>5364000</v>
      </c>
      <c r="W25" s="28">
        <v>5662000</v>
      </c>
      <c r="X25" s="27">
        <v>5280000</v>
      </c>
      <c r="Y25" s="28">
        <v>5578000</v>
      </c>
      <c r="Z25" s="27">
        <v>5473000</v>
      </c>
      <c r="AA25" s="28">
        <v>5771000</v>
      </c>
      <c r="AB25" s="27">
        <v>5517000</v>
      </c>
      <c r="AC25" s="28">
        <v>5815000</v>
      </c>
      <c r="AD25" s="27">
        <v>5536000</v>
      </c>
      <c r="AE25" s="28">
        <v>5834000</v>
      </c>
      <c r="AF25" s="27">
        <v>5614000</v>
      </c>
      <c r="AG25" s="28">
        <v>5912000</v>
      </c>
      <c r="AH25" s="27">
        <v>5614000</v>
      </c>
      <c r="AI25" s="28">
        <v>5912000</v>
      </c>
      <c r="AJ25" s="27">
        <v>5512000</v>
      </c>
      <c r="AK25" s="28">
        <v>5810000</v>
      </c>
      <c r="AL25" s="27">
        <v>5657000</v>
      </c>
      <c r="AM25" s="28">
        <v>5955000</v>
      </c>
      <c r="AN25" s="27">
        <v>5377000</v>
      </c>
      <c r="AO25" s="28">
        <v>5675000</v>
      </c>
      <c r="AP25" s="27">
        <v>5606000</v>
      </c>
      <c r="AQ25" s="28">
        <v>5904000</v>
      </c>
      <c r="AR25" s="27">
        <v>5664000</v>
      </c>
      <c r="AS25" s="28">
        <v>5962000</v>
      </c>
      <c r="AT25" s="27">
        <v>5606000</v>
      </c>
      <c r="AU25" s="28">
        <v>5904000</v>
      </c>
      <c r="AV25" s="27">
        <v>5625000</v>
      </c>
      <c r="AW25" s="28">
        <v>5923000</v>
      </c>
      <c r="AX25" s="27">
        <v>5610000</v>
      </c>
      <c r="AY25" s="28">
        <v>5908000</v>
      </c>
      <c r="AZ25" s="27">
        <v>5643000</v>
      </c>
      <c r="BA25" s="28">
        <v>5941000</v>
      </c>
      <c r="BB25" s="27">
        <v>5424000</v>
      </c>
      <c r="BC25" s="28">
        <v>5722000</v>
      </c>
      <c r="BD25" s="27">
        <v>5424000</v>
      </c>
      <c r="BE25" s="28">
        <v>5722000</v>
      </c>
      <c r="BF25" s="27">
        <v>5424000</v>
      </c>
      <c r="BG25" s="28">
        <v>5722000</v>
      </c>
      <c r="BH25" s="27">
        <v>5424000</v>
      </c>
      <c r="BI25" s="28">
        <v>5722000</v>
      </c>
      <c r="BJ25" s="27">
        <v>5420000</v>
      </c>
      <c r="BK25" s="28">
        <v>5718000</v>
      </c>
      <c r="BL25" s="27">
        <v>5445000</v>
      </c>
      <c r="BM25" s="28">
        <v>5743000</v>
      </c>
      <c r="BN25" s="27">
        <v>5445000</v>
      </c>
      <c r="BO25" s="28">
        <v>5743000</v>
      </c>
      <c r="BP25" s="27">
        <v>5440000</v>
      </c>
      <c r="BQ25" s="28">
        <v>5738000</v>
      </c>
      <c r="BR25" s="27">
        <v>5424000</v>
      </c>
      <c r="BS25" s="28">
        <v>5722000</v>
      </c>
      <c r="BT25" s="27">
        <v>5419000</v>
      </c>
      <c r="BU25" s="28">
        <v>5717000</v>
      </c>
      <c r="BV25" s="27">
        <v>5419000</v>
      </c>
      <c r="BW25" s="28">
        <v>5717000</v>
      </c>
      <c r="BX25" s="27">
        <v>5419000</v>
      </c>
      <c r="BY25" s="28">
        <v>5717000</v>
      </c>
      <c r="BZ25" s="27">
        <v>5419000</v>
      </c>
      <c r="CA25" s="28">
        <v>5717000</v>
      </c>
      <c r="CB25" s="27">
        <v>5394000</v>
      </c>
      <c r="CC25" s="28">
        <v>5692000</v>
      </c>
      <c r="CD25" s="27">
        <v>5394000</v>
      </c>
      <c r="CE25" s="28">
        <v>5692000</v>
      </c>
      <c r="CF25" s="27">
        <v>5419000</v>
      </c>
      <c r="CG25" s="28">
        <v>5717000</v>
      </c>
      <c r="CH25" s="27">
        <v>5567000</v>
      </c>
      <c r="CI25" s="28">
        <v>5865000</v>
      </c>
    </row>
    <row r="26" spans="1:87">
      <c r="A26" s="24"/>
      <c r="B26" s="25" t="s">
        <v>192</v>
      </c>
      <c r="C26" s="26">
        <v>380</v>
      </c>
      <c r="D26" s="26">
        <v>360</v>
      </c>
      <c r="E26" s="26">
        <v>900</v>
      </c>
      <c r="F26" s="27">
        <v>7197000</v>
      </c>
      <c r="G26" s="28">
        <v>7643000</v>
      </c>
      <c r="H26" s="27">
        <v>6514000</v>
      </c>
      <c r="I26" s="28">
        <v>6960000</v>
      </c>
      <c r="J26" s="27">
        <v>7877000</v>
      </c>
      <c r="K26" s="28">
        <v>8323000</v>
      </c>
      <c r="L26" s="27">
        <v>7260000</v>
      </c>
      <c r="M26" s="28">
        <v>7706000</v>
      </c>
      <c r="N26" s="27">
        <v>8940000</v>
      </c>
      <c r="O26" s="28">
        <v>9386000</v>
      </c>
      <c r="P26" s="27">
        <v>6522000</v>
      </c>
      <c r="Q26" s="28">
        <v>6968000</v>
      </c>
      <c r="R26" s="27">
        <v>7568000</v>
      </c>
      <c r="S26" s="28">
        <v>8014000</v>
      </c>
      <c r="T26" s="29"/>
      <c r="U26" s="30"/>
      <c r="V26" s="27">
        <v>5866000</v>
      </c>
      <c r="W26" s="28">
        <v>6312000</v>
      </c>
      <c r="X26" s="27">
        <v>5740000</v>
      </c>
      <c r="Y26" s="28">
        <v>6186000</v>
      </c>
      <c r="Z26" s="27">
        <v>6023000</v>
      </c>
      <c r="AA26" s="28">
        <v>6469000</v>
      </c>
      <c r="AB26" s="27">
        <v>6086000</v>
      </c>
      <c r="AC26" s="28">
        <v>6532000</v>
      </c>
      <c r="AD26" s="27">
        <v>6111000</v>
      </c>
      <c r="AE26" s="28">
        <v>6557000</v>
      </c>
      <c r="AF26" s="27">
        <v>6225000</v>
      </c>
      <c r="AG26" s="28">
        <v>6671000</v>
      </c>
      <c r="AH26" s="27">
        <v>6225000</v>
      </c>
      <c r="AI26" s="28">
        <v>6671000</v>
      </c>
      <c r="AJ26" s="27">
        <v>6081000</v>
      </c>
      <c r="AK26" s="28">
        <v>6527000</v>
      </c>
      <c r="AL26" s="27">
        <v>6297000</v>
      </c>
      <c r="AM26" s="28">
        <v>6743000</v>
      </c>
      <c r="AN26" s="27">
        <v>5879000</v>
      </c>
      <c r="AO26" s="28">
        <v>6325000</v>
      </c>
      <c r="AP26" s="27">
        <v>6220000</v>
      </c>
      <c r="AQ26" s="28">
        <v>6666000</v>
      </c>
      <c r="AR26" s="27">
        <v>6306000</v>
      </c>
      <c r="AS26" s="28">
        <v>6752000</v>
      </c>
      <c r="AT26" s="27">
        <v>6220000</v>
      </c>
      <c r="AU26" s="28">
        <v>6666000</v>
      </c>
      <c r="AV26" s="27">
        <v>6248000</v>
      </c>
      <c r="AW26" s="28">
        <v>6694000</v>
      </c>
      <c r="AX26" s="27">
        <v>6226000</v>
      </c>
      <c r="AY26" s="28">
        <v>6672000</v>
      </c>
      <c r="AZ26" s="27">
        <v>6276000</v>
      </c>
      <c r="BA26" s="28">
        <v>6722000</v>
      </c>
      <c r="BB26" s="27">
        <v>5955000</v>
      </c>
      <c r="BC26" s="28">
        <v>6401000</v>
      </c>
      <c r="BD26" s="27">
        <v>5955000</v>
      </c>
      <c r="BE26" s="28">
        <v>6401000</v>
      </c>
      <c r="BF26" s="27">
        <v>5955000</v>
      </c>
      <c r="BG26" s="28">
        <v>6401000</v>
      </c>
      <c r="BH26" s="27">
        <v>5955000</v>
      </c>
      <c r="BI26" s="28">
        <v>6401000</v>
      </c>
      <c r="BJ26" s="27">
        <v>5950000</v>
      </c>
      <c r="BK26" s="28">
        <v>6396000</v>
      </c>
      <c r="BL26" s="27">
        <v>5987000</v>
      </c>
      <c r="BM26" s="28">
        <v>6433000</v>
      </c>
      <c r="BN26" s="27">
        <v>5987000</v>
      </c>
      <c r="BO26" s="28">
        <v>6433000</v>
      </c>
      <c r="BP26" s="27">
        <v>5979000</v>
      </c>
      <c r="BQ26" s="28">
        <v>6425000</v>
      </c>
      <c r="BR26" s="27">
        <v>5955000</v>
      </c>
      <c r="BS26" s="28">
        <v>6401000</v>
      </c>
      <c r="BT26" s="27">
        <v>5948000</v>
      </c>
      <c r="BU26" s="28">
        <v>6394000</v>
      </c>
      <c r="BV26" s="27">
        <v>5948000</v>
      </c>
      <c r="BW26" s="28">
        <v>6394000</v>
      </c>
      <c r="BX26" s="27">
        <v>5948000</v>
      </c>
      <c r="BY26" s="28">
        <v>6394000</v>
      </c>
      <c r="BZ26" s="27">
        <v>5933000</v>
      </c>
      <c r="CA26" s="28">
        <v>6379000</v>
      </c>
      <c r="CB26" s="27">
        <v>5896000</v>
      </c>
      <c r="CC26" s="28">
        <v>6342000</v>
      </c>
      <c r="CD26" s="27">
        <v>5896000</v>
      </c>
      <c r="CE26" s="28">
        <v>6342000</v>
      </c>
      <c r="CF26" s="27">
        <v>5933000</v>
      </c>
      <c r="CG26" s="28">
        <v>6379000</v>
      </c>
      <c r="CH26" s="27">
        <v>6159000</v>
      </c>
      <c r="CI26" s="28">
        <v>6605000</v>
      </c>
    </row>
    <row r="27" spans="1:87">
      <c r="A27" s="24"/>
      <c r="B27" s="25" t="s">
        <v>193</v>
      </c>
      <c r="C27" s="26">
        <v>380</v>
      </c>
      <c r="D27" s="26">
        <v>600</v>
      </c>
      <c r="E27" s="26">
        <v>450</v>
      </c>
      <c r="F27" s="27">
        <v>6847000</v>
      </c>
      <c r="G27" s="28">
        <v>7070000</v>
      </c>
      <c r="H27" s="27">
        <v>6278000</v>
      </c>
      <c r="I27" s="28">
        <v>6501000</v>
      </c>
      <c r="J27" s="27">
        <v>7413000</v>
      </c>
      <c r="K27" s="28">
        <v>7636000</v>
      </c>
      <c r="L27" s="27">
        <v>6899000</v>
      </c>
      <c r="M27" s="28">
        <v>7122000</v>
      </c>
      <c r="N27" s="27">
        <v>8300000</v>
      </c>
      <c r="O27" s="28">
        <v>8523000</v>
      </c>
      <c r="P27" s="27">
        <v>6220000</v>
      </c>
      <c r="Q27" s="28">
        <v>6443000</v>
      </c>
      <c r="R27" s="27">
        <v>7117000</v>
      </c>
      <c r="S27" s="28">
        <v>7340000</v>
      </c>
      <c r="T27" s="29"/>
      <c r="U27" s="30"/>
      <c r="V27" s="27">
        <v>5738000</v>
      </c>
      <c r="W27" s="28">
        <v>5961000</v>
      </c>
      <c r="X27" s="27">
        <v>5633000</v>
      </c>
      <c r="Y27" s="28">
        <v>5856000</v>
      </c>
      <c r="Z27" s="27">
        <v>5869000</v>
      </c>
      <c r="AA27" s="28">
        <v>6092000</v>
      </c>
      <c r="AB27" s="27">
        <v>5922000</v>
      </c>
      <c r="AC27" s="28">
        <v>6145000</v>
      </c>
      <c r="AD27" s="27">
        <v>5942000</v>
      </c>
      <c r="AE27" s="28">
        <v>6165000</v>
      </c>
      <c r="AF27" s="27">
        <v>6037000</v>
      </c>
      <c r="AG27" s="28">
        <v>6260000</v>
      </c>
      <c r="AH27" s="27">
        <v>6037000</v>
      </c>
      <c r="AI27" s="28">
        <v>6260000</v>
      </c>
      <c r="AJ27" s="27">
        <v>5917000</v>
      </c>
      <c r="AK27" s="28">
        <v>6140000</v>
      </c>
      <c r="AL27" s="27">
        <v>6097000</v>
      </c>
      <c r="AM27" s="28">
        <v>6320000</v>
      </c>
      <c r="AN27" s="27">
        <v>5749000</v>
      </c>
      <c r="AO27" s="28">
        <v>5972000</v>
      </c>
      <c r="AP27" s="27">
        <v>6033000</v>
      </c>
      <c r="AQ27" s="28">
        <v>6256000</v>
      </c>
      <c r="AR27" s="27">
        <v>6105000</v>
      </c>
      <c r="AS27" s="28">
        <v>6328000</v>
      </c>
      <c r="AT27" s="27">
        <v>6033000</v>
      </c>
      <c r="AU27" s="28">
        <v>6256000</v>
      </c>
      <c r="AV27" s="27">
        <v>6056000</v>
      </c>
      <c r="AW27" s="28">
        <v>6279000</v>
      </c>
      <c r="AX27" s="27">
        <v>6038000</v>
      </c>
      <c r="AY27" s="28">
        <v>6261000</v>
      </c>
      <c r="AZ27" s="27">
        <v>6079000</v>
      </c>
      <c r="BA27" s="28">
        <v>6302000</v>
      </c>
      <c r="BB27" s="27">
        <v>5812000</v>
      </c>
      <c r="BC27" s="28">
        <v>6035000</v>
      </c>
      <c r="BD27" s="27">
        <v>5812000</v>
      </c>
      <c r="BE27" s="28">
        <v>6035000</v>
      </c>
      <c r="BF27" s="27">
        <v>5812000</v>
      </c>
      <c r="BG27" s="28">
        <v>6035000</v>
      </c>
      <c r="BH27" s="27">
        <v>5812000</v>
      </c>
      <c r="BI27" s="28">
        <v>6035000</v>
      </c>
      <c r="BJ27" s="27">
        <v>5808000</v>
      </c>
      <c r="BK27" s="28">
        <v>6031000</v>
      </c>
      <c r="BL27" s="27">
        <v>5839000</v>
      </c>
      <c r="BM27" s="28">
        <v>6062000</v>
      </c>
      <c r="BN27" s="27">
        <v>5839000</v>
      </c>
      <c r="BO27" s="28">
        <v>6062000</v>
      </c>
      <c r="BP27" s="27">
        <v>5832000</v>
      </c>
      <c r="BQ27" s="28">
        <v>6055000</v>
      </c>
      <c r="BR27" s="27">
        <v>5812000</v>
      </c>
      <c r="BS27" s="28">
        <v>6035000</v>
      </c>
      <c r="BT27" s="27">
        <v>5806000</v>
      </c>
      <c r="BU27" s="28">
        <v>6029000</v>
      </c>
      <c r="BV27" s="27">
        <v>5806000</v>
      </c>
      <c r="BW27" s="28">
        <v>6029000</v>
      </c>
      <c r="BX27" s="27">
        <v>5806000</v>
      </c>
      <c r="BY27" s="28">
        <v>6029000</v>
      </c>
      <c r="BZ27" s="27">
        <v>5794000</v>
      </c>
      <c r="CA27" s="28">
        <v>6017000</v>
      </c>
      <c r="CB27" s="27">
        <v>5763000</v>
      </c>
      <c r="CC27" s="28">
        <v>5986000</v>
      </c>
      <c r="CD27" s="27">
        <v>5763000</v>
      </c>
      <c r="CE27" s="28">
        <v>5986000</v>
      </c>
      <c r="CF27" s="27">
        <v>5794000</v>
      </c>
      <c r="CG27" s="28">
        <v>6017000</v>
      </c>
      <c r="CH27" s="27">
        <v>5982000</v>
      </c>
      <c r="CI27" s="28">
        <v>6205000</v>
      </c>
    </row>
    <row r="28" spans="1:87">
      <c r="A28" s="24"/>
      <c r="B28" s="25" t="s">
        <v>194</v>
      </c>
      <c r="C28" s="26">
        <v>380</v>
      </c>
      <c r="D28" s="26">
        <v>600</v>
      </c>
      <c r="E28" s="26">
        <v>600</v>
      </c>
      <c r="F28" s="27">
        <v>7613000</v>
      </c>
      <c r="G28" s="28">
        <v>7910000</v>
      </c>
      <c r="H28" s="27">
        <v>6855000</v>
      </c>
      <c r="I28" s="28">
        <v>7152000</v>
      </c>
      <c r="J28" s="27">
        <v>8368000</v>
      </c>
      <c r="K28" s="28">
        <v>8665000</v>
      </c>
      <c r="L28" s="27">
        <v>7683000</v>
      </c>
      <c r="M28" s="28">
        <v>7980000</v>
      </c>
      <c r="N28" s="27">
        <v>9550000</v>
      </c>
      <c r="O28" s="28">
        <v>9847000</v>
      </c>
      <c r="P28" s="27">
        <v>6713000</v>
      </c>
      <c r="Q28" s="28">
        <v>7010000</v>
      </c>
      <c r="R28" s="27">
        <v>8058000</v>
      </c>
      <c r="S28" s="28">
        <v>8355000</v>
      </c>
      <c r="T28" s="29"/>
      <c r="U28" s="30"/>
      <c r="V28" s="27">
        <v>6128000</v>
      </c>
      <c r="W28" s="28">
        <v>6425000</v>
      </c>
      <c r="X28" s="27">
        <v>5988000</v>
      </c>
      <c r="Y28" s="28">
        <v>6285000</v>
      </c>
      <c r="Z28" s="27">
        <v>6296000</v>
      </c>
      <c r="AA28" s="28">
        <v>6593000</v>
      </c>
      <c r="AB28" s="27">
        <v>6364000</v>
      </c>
      <c r="AC28" s="28">
        <v>6661000</v>
      </c>
      <c r="AD28" s="27">
        <v>6386000</v>
      </c>
      <c r="AE28" s="28">
        <v>6683000</v>
      </c>
      <c r="AF28" s="27">
        <v>6509000</v>
      </c>
      <c r="AG28" s="28">
        <v>6806000</v>
      </c>
      <c r="AH28" s="27">
        <v>6509000</v>
      </c>
      <c r="AI28" s="28">
        <v>6806000</v>
      </c>
      <c r="AJ28" s="27">
        <v>6360000</v>
      </c>
      <c r="AK28" s="28">
        <v>6657000</v>
      </c>
      <c r="AL28" s="27">
        <v>6598000</v>
      </c>
      <c r="AM28" s="28">
        <v>6895000</v>
      </c>
      <c r="AN28" s="27">
        <v>6137000</v>
      </c>
      <c r="AO28" s="28">
        <v>6434000</v>
      </c>
      <c r="AP28" s="27">
        <v>6511000</v>
      </c>
      <c r="AQ28" s="28">
        <v>6808000</v>
      </c>
      <c r="AR28" s="27">
        <v>6607000</v>
      </c>
      <c r="AS28" s="28">
        <v>6904000</v>
      </c>
      <c r="AT28" s="27">
        <v>6511000</v>
      </c>
      <c r="AU28" s="28">
        <v>6808000</v>
      </c>
      <c r="AV28" s="27">
        <v>6544000</v>
      </c>
      <c r="AW28" s="28">
        <v>6841000</v>
      </c>
      <c r="AX28" s="27">
        <v>6520000</v>
      </c>
      <c r="AY28" s="28">
        <v>6817000</v>
      </c>
      <c r="AZ28" s="27">
        <v>6574000</v>
      </c>
      <c r="BA28" s="28">
        <v>6871000</v>
      </c>
      <c r="BB28" s="27">
        <v>6227000</v>
      </c>
      <c r="BC28" s="28">
        <v>6524000</v>
      </c>
      <c r="BD28" s="27">
        <v>6227000</v>
      </c>
      <c r="BE28" s="28">
        <v>6524000</v>
      </c>
      <c r="BF28" s="27">
        <v>6227000</v>
      </c>
      <c r="BG28" s="28">
        <v>6524000</v>
      </c>
      <c r="BH28" s="27">
        <v>6227000</v>
      </c>
      <c r="BI28" s="28">
        <v>6524000</v>
      </c>
      <c r="BJ28" s="27">
        <v>6221000</v>
      </c>
      <c r="BK28" s="28">
        <v>6518000</v>
      </c>
      <c r="BL28" s="27">
        <v>6262000</v>
      </c>
      <c r="BM28" s="28">
        <v>6559000</v>
      </c>
      <c r="BN28" s="27">
        <v>6262000</v>
      </c>
      <c r="BO28" s="28">
        <v>6559000</v>
      </c>
      <c r="BP28" s="27">
        <v>6253000</v>
      </c>
      <c r="BQ28" s="28">
        <v>6550000</v>
      </c>
      <c r="BR28" s="27">
        <v>6227000</v>
      </c>
      <c r="BS28" s="28">
        <v>6524000</v>
      </c>
      <c r="BT28" s="27">
        <v>6219000</v>
      </c>
      <c r="BU28" s="28">
        <v>6516000</v>
      </c>
      <c r="BV28" s="27">
        <v>6219000</v>
      </c>
      <c r="BW28" s="28">
        <v>6516000</v>
      </c>
      <c r="BX28" s="27">
        <v>6219000</v>
      </c>
      <c r="BY28" s="28">
        <v>6516000</v>
      </c>
      <c r="BZ28" s="27">
        <v>6187000</v>
      </c>
      <c r="CA28" s="28">
        <v>6484000</v>
      </c>
      <c r="CB28" s="27">
        <v>6145000</v>
      </c>
      <c r="CC28" s="28">
        <v>6442000</v>
      </c>
      <c r="CD28" s="27">
        <v>6145000</v>
      </c>
      <c r="CE28" s="28">
        <v>6442000</v>
      </c>
      <c r="CF28" s="27">
        <v>6187000</v>
      </c>
      <c r="CG28" s="28">
        <v>6484000</v>
      </c>
      <c r="CH28" s="27">
        <v>6442000</v>
      </c>
      <c r="CI28" s="28">
        <v>6739000</v>
      </c>
    </row>
    <row r="29" spans="1:87">
      <c r="A29" s="24"/>
      <c r="B29" s="25" t="s">
        <v>195</v>
      </c>
      <c r="C29" s="26">
        <v>380</v>
      </c>
      <c r="D29" s="26">
        <v>600</v>
      </c>
      <c r="E29" s="26">
        <v>900</v>
      </c>
      <c r="F29" s="27">
        <v>9124000</v>
      </c>
      <c r="G29" s="28">
        <v>9571000</v>
      </c>
      <c r="H29" s="27">
        <v>7986000</v>
      </c>
      <c r="I29" s="28">
        <v>8433000</v>
      </c>
      <c r="J29" s="27">
        <v>10256000</v>
      </c>
      <c r="K29" s="28">
        <v>10703000</v>
      </c>
      <c r="L29" s="27">
        <v>9228000</v>
      </c>
      <c r="M29" s="28">
        <v>9675000</v>
      </c>
      <c r="N29" s="27">
        <v>12029000</v>
      </c>
      <c r="O29" s="28">
        <v>12476000</v>
      </c>
      <c r="P29" s="27">
        <v>7678000</v>
      </c>
      <c r="Q29" s="28">
        <v>8125000</v>
      </c>
      <c r="R29" s="27">
        <v>9920000</v>
      </c>
      <c r="S29" s="28">
        <v>10367000</v>
      </c>
      <c r="T29" s="29"/>
      <c r="U29" s="30"/>
      <c r="V29" s="27">
        <v>6888000</v>
      </c>
      <c r="W29" s="28">
        <v>7335000</v>
      </c>
      <c r="X29" s="27">
        <v>6678000</v>
      </c>
      <c r="Y29" s="28">
        <v>7125000</v>
      </c>
      <c r="Z29" s="27">
        <v>7130000</v>
      </c>
      <c r="AA29" s="28">
        <v>7577000</v>
      </c>
      <c r="AB29" s="27">
        <v>7226000</v>
      </c>
      <c r="AC29" s="28">
        <v>7673000</v>
      </c>
      <c r="AD29" s="27">
        <v>7253000</v>
      </c>
      <c r="AE29" s="28">
        <v>7700000</v>
      </c>
      <c r="AF29" s="27">
        <v>7431000</v>
      </c>
      <c r="AG29" s="28">
        <v>7878000</v>
      </c>
      <c r="AH29" s="27">
        <v>7431000</v>
      </c>
      <c r="AI29" s="28">
        <v>7878000</v>
      </c>
      <c r="AJ29" s="27">
        <v>7224000</v>
      </c>
      <c r="AK29" s="28">
        <v>7671000</v>
      </c>
      <c r="AL29" s="27">
        <v>7580000</v>
      </c>
      <c r="AM29" s="28">
        <v>8027000</v>
      </c>
      <c r="AN29" s="27">
        <v>6891000</v>
      </c>
      <c r="AO29" s="28">
        <v>7338000</v>
      </c>
      <c r="AP29" s="27">
        <v>7447000</v>
      </c>
      <c r="AQ29" s="28">
        <v>7894000</v>
      </c>
      <c r="AR29" s="27">
        <v>7591000</v>
      </c>
      <c r="AS29" s="28">
        <v>8038000</v>
      </c>
      <c r="AT29" s="27">
        <v>7447000</v>
      </c>
      <c r="AU29" s="28">
        <v>7894000</v>
      </c>
      <c r="AV29" s="27">
        <v>7498000</v>
      </c>
      <c r="AW29" s="28">
        <v>7945000</v>
      </c>
      <c r="AX29" s="27">
        <v>7461000</v>
      </c>
      <c r="AY29" s="28">
        <v>7908000</v>
      </c>
      <c r="AZ29" s="27">
        <v>7544000</v>
      </c>
      <c r="BA29" s="28">
        <v>7991000</v>
      </c>
      <c r="BB29" s="27">
        <v>7036000</v>
      </c>
      <c r="BC29" s="28">
        <v>7483000</v>
      </c>
      <c r="BD29" s="27">
        <v>7036000</v>
      </c>
      <c r="BE29" s="28">
        <v>7483000</v>
      </c>
      <c r="BF29" s="27">
        <v>7036000</v>
      </c>
      <c r="BG29" s="28">
        <v>7483000</v>
      </c>
      <c r="BH29" s="27">
        <v>7036000</v>
      </c>
      <c r="BI29" s="28">
        <v>7483000</v>
      </c>
      <c r="BJ29" s="27">
        <v>7026000</v>
      </c>
      <c r="BK29" s="28">
        <v>7473000</v>
      </c>
      <c r="BL29" s="27">
        <v>7088000</v>
      </c>
      <c r="BM29" s="28">
        <v>7535000</v>
      </c>
      <c r="BN29" s="27">
        <v>7088000</v>
      </c>
      <c r="BO29" s="28">
        <v>7535000</v>
      </c>
      <c r="BP29" s="27">
        <v>7075000</v>
      </c>
      <c r="BQ29" s="28">
        <v>7522000</v>
      </c>
      <c r="BR29" s="27">
        <v>7036000</v>
      </c>
      <c r="BS29" s="28">
        <v>7483000</v>
      </c>
      <c r="BT29" s="27">
        <v>7023000</v>
      </c>
      <c r="BU29" s="28">
        <v>7470000</v>
      </c>
      <c r="BV29" s="27">
        <v>7023000</v>
      </c>
      <c r="BW29" s="28">
        <v>7470000</v>
      </c>
      <c r="BX29" s="27">
        <v>7023000</v>
      </c>
      <c r="BY29" s="28">
        <v>7470000</v>
      </c>
      <c r="BZ29" s="27">
        <v>6953000</v>
      </c>
      <c r="CA29" s="28">
        <v>7400000</v>
      </c>
      <c r="CB29" s="27">
        <v>6890000</v>
      </c>
      <c r="CC29" s="28">
        <v>7337000</v>
      </c>
      <c r="CD29" s="27">
        <v>6890000</v>
      </c>
      <c r="CE29" s="28">
        <v>7337000</v>
      </c>
      <c r="CF29" s="27">
        <v>6953000</v>
      </c>
      <c r="CG29" s="28">
        <v>7400000</v>
      </c>
      <c r="CH29" s="27">
        <v>7341000</v>
      </c>
      <c r="CI29" s="28">
        <v>7788000</v>
      </c>
    </row>
    <row r="30" spans="1:87">
      <c r="A30" s="24"/>
      <c r="B30" s="25" t="s">
        <v>196</v>
      </c>
      <c r="C30" s="26">
        <v>380</v>
      </c>
      <c r="D30" s="26">
        <v>360</v>
      </c>
      <c r="E30" s="26">
        <v>450</v>
      </c>
      <c r="F30" s="27">
        <v>16364000</v>
      </c>
      <c r="G30" s="30"/>
      <c r="H30" s="27">
        <v>16023000</v>
      </c>
      <c r="I30" s="30"/>
      <c r="J30" s="27">
        <v>16704000</v>
      </c>
      <c r="K30" s="30"/>
      <c r="L30" s="27">
        <v>16396000</v>
      </c>
      <c r="M30" s="30"/>
      <c r="N30" s="27">
        <v>17236000</v>
      </c>
      <c r="O30" s="30"/>
      <c r="P30" s="27">
        <v>16090000</v>
      </c>
      <c r="Q30" s="30"/>
      <c r="R30" s="27">
        <v>16509000</v>
      </c>
      <c r="S30" s="30"/>
      <c r="T30" s="29"/>
      <c r="U30" s="30"/>
      <c r="V30" s="27">
        <v>15704000</v>
      </c>
      <c r="W30" s="30"/>
      <c r="X30" s="27">
        <v>15641000</v>
      </c>
      <c r="Y30" s="30"/>
      <c r="Z30" s="27">
        <v>15788000</v>
      </c>
      <c r="AA30" s="30"/>
      <c r="AB30" s="27">
        <v>15823000</v>
      </c>
      <c r="AC30" s="30"/>
      <c r="AD30" s="27">
        <v>15839000</v>
      </c>
      <c r="AE30" s="30"/>
      <c r="AF30" s="27">
        <v>15900000</v>
      </c>
      <c r="AG30" s="30"/>
      <c r="AH30" s="27">
        <v>15900000</v>
      </c>
      <c r="AI30" s="30"/>
      <c r="AJ30" s="27">
        <v>15818000</v>
      </c>
      <c r="AK30" s="30"/>
      <c r="AL30" s="27">
        <v>15927000</v>
      </c>
      <c r="AM30" s="30"/>
      <c r="AN30" s="27">
        <v>15716000</v>
      </c>
      <c r="AO30" s="30"/>
      <c r="AP30" s="27">
        <v>15890000</v>
      </c>
      <c r="AQ30" s="30"/>
      <c r="AR30" s="27">
        <v>15933000</v>
      </c>
      <c r="AS30" s="30"/>
      <c r="AT30" s="27">
        <v>15890000</v>
      </c>
      <c r="AU30" s="30"/>
      <c r="AV30" s="27">
        <v>15903000</v>
      </c>
      <c r="AW30" s="30"/>
      <c r="AX30" s="27">
        <v>15892000</v>
      </c>
      <c r="AY30" s="30"/>
      <c r="AZ30" s="27">
        <v>15917000</v>
      </c>
      <c r="BA30" s="30"/>
      <c r="BB30" s="27">
        <v>15749000</v>
      </c>
      <c r="BC30" s="30"/>
      <c r="BD30" s="27">
        <v>15749000</v>
      </c>
      <c r="BE30" s="30"/>
      <c r="BF30" s="27">
        <v>15749000</v>
      </c>
      <c r="BG30" s="30"/>
      <c r="BH30" s="27">
        <v>15749000</v>
      </c>
      <c r="BI30" s="30"/>
      <c r="BJ30" s="27">
        <v>15746000</v>
      </c>
      <c r="BK30" s="30"/>
      <c r="BL30" s="27">
        <v>15765000</v>
      </c>
      <c r="BM30" s="30"/>
      <c r="BN30" s="27">
        <v>15765000</v>
      </c>
      <c r="BO30" s="30"/>
      <c r="BP30" s="27">
        <v>15761000</v>
      </c>
      <c r="BQ30" s="30"/>
      <c r="BR30" s="27">
        <v>15749000</v>
      </c>
      <c r="BS30" s="30"/>
      <c r="BT30" s="27">
        <v>15745000</v>
      </c>
      <c r="BU30" s="30"/>
      <c r="BV30" s="27">
        <v>15745000</v>
      </c>
      <c r="BW30" s="30"/>
      <c r="BX30" s="27">
        <v>15745000</v>
      </c>
      <c r="BY30" s="30"/>
      <c r="BZ30" s="27">
        <v>15752000</v>
      </c>
      <c r="CA30" s="30"/>
      <c r="CB30" s="27">
        <v>15733000</v>
      </c>
      <c r="CC30" s="30"/>
      <c r="CD30" s="27">
        <v>15733000</v>
      </c>
      <c r="CE30" s="30"/>
      <c r="CF30" s="27">
        <v>15752000</v>
      </c>
      <c r="CG30" s="30"/>
      <c r="CH30" s="27">
        <v>15861000</v>
      </c>
      <c r="CI30" s="30"/>
    </row>
    <row r="31" spans="1:87">
      <c r="A31" s="24"/>
      <c r="B31" s="25" t="s">
        <v>197</v>
      </c>
      <c r="C31" s="26">
        <v>380</v>
      </c>
      <c r="D31" s="26">
        <v>360</v>
      </c>
      <c r="E31" s="26">
        <v>600</v>
      </c>
      <c r="F31" s="27">
        <v>16848000</v>
      </c>
      <c r="G31" s="30"/>
      <c r="H31" s="27">
        <v>16393000</v>
      </c>
      <c r="I31" s="30"/>
      <c r="J31" s="27">
        <v>17301000</v>
      </c>
      <c r="K31" s="30"/>
      <c r="L31" s="27">
        <v>16890000</v>
      </c>
      <c r="M31" s="30"/>
      <c r="N31" s="27">
        <v>18010000</v>
      </c>
      <c r="O31" s="30"/>
      <c r="P31" s="27">
        <v>16440000</v>
      </c>
      <c r="Q31" s="30"/>
      <c r="R31" s="27">
        <v>17068000</v>
      </c>
      <c r="S31" s="30"/>
      <c r="T31" s="29"/>
      <c r="U31" s="30"/>
      <c r="V31" s="27">
        <v>15964000</v>
      </c>
      <c r="W31" s="30"/>
      <c r="X31" s="27">
        <v>15880000</v>
      </c>
      <c r="Y31" s="30"/>
      <c r="Z31" s="27">
        <v>16073000</v>
      </c>
      <c r="AA31" s="30"/>
      <c r="AB31" s="27">
        <v>16117000</v>
      </c>
      <c r="AC31" s="30"/>
      <c r="AD31" s="27">
        <v>16136000</v>
      </c>
      <c r="AE31" s="30"/>
      <c r="AF31" s="27">
        <v>16214000</v>
      </c>
      <c r="AG31" s="30"/>
      <c r="AH31" s="27">
        <v>16214000</v>
      </c>
      <c r="AI31" s="30"/>
      <c r="AJ31" s="27">
        <v>16112000</v>
      </c>
      <c r="AK31" s="30"/>
      <c r="AL31" s="27">
        <v>16257000</v>
      </c>
      <c r="AM31" s="30"/>
      <c r="AN31" s="27">
        <v>15977000</v>
      </c>
      <c r="AO31" s="30"/>
      <c r="AP31" s="27">
        <v>16206000</v>
      </c>
      <c r="AQ31" s="30"/>
      <c r="AR31" s="27">
        <v>16264000</v>
      </c>
      <c r="AS31" s="30"/>
      <c r="AT31" s="27">
        <v>16206000</v>
      </c>
      <c r="AU31" s="30"/>
      <c r="AV31" s="27">
        <v>16225000</v>
      </c>
      <c r="AW31" s="30"/>
      <c r="AX31" s="27">
        <v>16210000</v>
      </c>
      <c r="AY31" s="30"/>
      <c r="AZ31" s="27">
        <v>16243000</v>
      </c>
      <c r="BA31" s="30"/>
      <c r="BB31" s="27">
        <v>16024000</v>
      </c>
      <c r="BC31" s="30"/>
      <c r="BD31" s="27">
        <v>16024000</v>
      </c>
      <c r="BE31" s="30"/>
      <c r="BF31" s="27">
        <v>16024000</v>
      </c>
      <c r="BG31" s="30"/>
      <c r="BH31" s="27">
        <v>16024000</v>
      </c>
      <c r="BI31" s="30"/>
      <c r="BJ31" s="27">
        <v>16020000</v>
      </c>
      <c r="BK31" s="30"/>
      <c r="BL31" s="27">
        <v>16045000</v>
      </c>
      <c r="BM31" s="30"/>
      <c r="BN31" s="27">
        <v>16045000</v>
      </c>
      <c r="BO31" s="30"/>
      <c r="BP31" s="27">
        <v>16040000</v>
      </c>
      <c r="BQ31" s="30"/>
      <c r="BR31" s="27">
        <v>16024000</v>
      </c>
      <c r="BS31" s="30"/>
      <c r="BT31" s="27">
        <v>16019000</v>
      </c>
      <c r="BU31" s="30"/>
      <c r="BV31" s="27">
        <v>16019000</v>
      </c>
      <c r="BW31" s="30"/>
      <c r="BX31" s="27">
        <v>16019000</v>
      </c>
      <c r="BY31" s="30"/>
      <c r="BZ31" s="27">
        <v>16019000</v>
      </c>
      <c r="CA31" s="30"/>
      <c r="CB31" s="27">
        <v>15994000</v>
      </c>
      <c r="CC31" s="30"/>
      <c r="CD31" s="27">
        <v>15994000</v>
      </c>
      <c r="CE31" s="30"/>
      <c r="CF31" s="27">
        <v>16019000</v>
      </c>
      <c r="CG31" s="30"/>
      <c r="CH31" s="27">
        <v>16167000</v>
      </c>
      <c r="CI31" s="30"/>
    </row>
    <row r="32" spans="1:87">
      <c r="A32" s="24"/>
      <c r="B32" s="25" t="s">
        <v>198</v>
      </c>
      <c r="C32" s="26">
        <v>380</v>
      </c>
      <c r="D32" s="26">
        <v>360</v>
      </c>
      <c r="E32" s="26">
        <v>900</v>
      </c>
      <c r="F32" s="27">
        <v>17797000</v>
      </c>
      <c r="G32" s="30"/>
      <c r="H32" s="27">
        <v>17114000</v>
      </c>
      <c r="I32" s="30"/>
      <c r="J32" s="27">
        <v>18477000</v>
      </c>
      <c r="K32" s="30"/>
      <c r="L32" s="27">
        <v>17860000</v>
      </c>
      <c r="M32" s="30"/>
      <c r="N32" s="27">
        <v>19540000</v>
      </c>
      <c r="O32" s="30"/>
      <c r="P32" s="27">
        <v>17122000</v>
      </c>
      <c r="Q32" s="30"/>
      <c r="R32" s="27">
        <v>18168000</v>
      </c>
      <c r="S32" s="30"/>
      <c r="T32" s="29"/>
      <c r="U32" s="30"/>
      <c r="V32" s="27">
        <v>16466000</v>
      </c>
      <c r="W32" s="30"/>
      <c r="X32" s="27">
        <v>16340000</v>
      </c>
      <c r="Y32" s="30"/>
      <c r="Z32" s="27">
        <v>16623000</v>
      </c>
      <c r="AA32" s="30"/>
      <c r="AB32" s="27">
        <v>16686000</v>
      </c>
      <c r="AC32" s="30"/>
      <c r="AD32" s="27">
        <v>16711000</v>
      </c>
      <c r="AE32" s="30"/>
      <c r="AF32" s="27">
        <v>16825000</v>
      </c>
      <c r="AG32" s="30"/>
      <c r="AH32" s="27">
        <v>16825000</v>
      </c>
      <c r="AI32" s="30"/>
      <c r="AJ32" s="27">
        <v>16681000</v>
      </c>
      <c r="AK32" s="30"/>
      <c r="AL32" s="27">
        <v>16897000</v>
      </c>
      <c r="AM32" s="30"/>
      <c r="AN32" s="27">
        <v>16479000</v>
      </c>
      <c r="AO32" s="30"/>
      <c r="AP32" s="27">
        <v>16820000</v>
      </c>
      <c r="AQ32" s="30"/>
      <c r="AR32" s="27">
        <v>16906000</v>
      </c>
      <c r="AS32" s="30"/>
      <c r="AT32" s="27">
        <v>16820000</v>
      </c>
      <c r="AU32" s="30"/>
      <c r="AV32" s="27">
        <v>16848000</v>
      </c>
      <c r="AW32" s="30"/>
      <c r="AX32" s="27">
        <v>16826000</v>
      </c>
      <c r="AY32" s="30"/>
      <c r="AZ32" s="27">
        <v>16876000</v>
      </c>
      <c r="BA32" s="30"/>
      <c r="BB32" s="27">
        <v>16555000</v>
      </c>
      <c r="BC32" s="30"/>
      <c r="BD32" s="27">
        <v>16555000</v>
      </c>
      <c r="BE32" s="30"/>
      <c r="BF32" s="27">
        <v>16555000</v>
      </c>
      <c r="BG32" s="30"/>
      <c r="BH32" s="27">
        <v>16555000</v>
      </c>
      <c r="BI32" s="30"/>
      <c r="BJ32" s="27">
        <v>16550000</v>
      </c>
      <c r="BK32" s="30"/>
      <c r="BL32" s="27">
        <v>16587000</v>
      </c>
      <c r="BM32" s="30"/>
      <c r="BN32" s="27">
        <v>16587000</v>
      </c>
      <c r="BO32" s="30"/>
      <c r="BP32" s="27">
        <v>16579000</v>
      </c>
      <c r="BQ32" s="30"/>
      <c r="BR32" s="27">
        <v>16555000</v>
      </c>
      <c r="BS32" s="30"/>
      <c r="BT32" s="27">
        <v>16548000</v>
      </c>
      <c r="BU32" s="30"/>
      <c r="BV32" s="27">
        <v>16548000</v>
      </c>
      <c r="BW32" s="30"/>
      <c r="BX32" s="27">
        <v>16548000</v>
      </c>
      <c r="BY32" s="30"/>
      <c r="BZ32" s="27">
        <v>16533000</v>
      </c>
      <c r="CA32" s="30"/>
      <c r="CB32" s="27">
        <v>16496000</v>
      </c>
      <c r="CC32" s="30"/>
      <c r="CD32" s="27">
        <v>16496000</v>
      </c>
      <c r="CE32" s="30"/>
      <c r="CF32" s="27">
        <v>16533000</v>
      </c>
      <c r="CG32" s="30"/>
      <c r="CH32" s="27">
        <v>16759000</v>
      </c>
      <c r="CI32" s="30"/>
    </row>
    <row r="33" spans="1:87">
      <c r="A33" s="24"/>
      <c r="B33" s="25" t="s">
        <v>199</v>
      </c>
      <c r="C33" s="26">
        <v>380</v>
      </c>
      <c r="D33" s="26">
        <v>600</v>
      </c>
      <c r="E33" s="26">
        <v>450</v>
      </c>
      <c r="F33" s="27">
        <v>17447000</v>
      </c>
      <c r="G33" s="30"/>
      <c r="H33" s="27">
        <v>16878000</v>
      </c>
      <c r="I33" s="30"/>
      <c r="J33" s="27">
        <v>18013000</v>
      </c>
      <c r="K33" s="30"/>
      <c r="L33" s="27">
        <v>17499000</v>
      </c>
      <c r="M33" s="30"/>
      <c r="N33" s="27">
        <v>18900000</v>
      </c>
      <c r="O33" s="30"/>
      <c r="P33" s="27">
        <v>16820000</v>
      </c>
      <c r="Q33" s="30"/>
      <c r="R33" s="27">
        <v>17717000</v>
      </c>
      <c r="S33" s="30"/>
      <c r="T33" s="29"/>
      <c r="U33" s="30"/>
      <c r="V33" s="27">
        <v>16338000</v>
      </c>
      <c r="W33" s="30"/>
      <c r="X33" s="27">
        <v>16233000</v>
      </c>
      <c r="Y33" s="30"/>
      <c r="Z33" s="27">
        <v>16469000</v>
      </c>
      <c r="AA33" s="30"/>
      <c r="AB33" s="27">
        <v>16522000</v>
      </c>
      <c r="AC33" s="30"/>
      <c r="AD33" s="27">
        <v>16542000</v>
      </c>
      <c r="AE33" s="30"/>
      <c r="AF33" s="27">
        <v>16637000</v>
      </c>
      <c r="AG33" s="30"/>
      <c r="AH33" s="27">
        <v>16637000</v>
      </c>
      <c r="AI33" s="30"/>
      <c r="AJ33" s="27">
        <v>16517000</v>
      </c>
      <c r="AK33" s="30"/>
      <c r="AL33" s="27">
        <v>16697000</v>
      </c>
      <c r="AM33" s="30"/>
      <c r="AN33" s="27">
        <v>16349000</v>
      </c>
      <c r="AO33" s="30"/>
      <c r="AP33" s="27">
        <v>16633000</v>
      </c>
      <c r="AQ33" s="30"/>
      <c r="AR33" s="27">
        <v>16705000</v>
      </c>
      <c r="AS33" s="30"/>
      <c r="AT33" s="27">
        <v>16633000</v>
      </c>
      <c r="AU33" s="30"/>
      <c r="AV33" s="27">
        <v>16656000</v>
      </c>
      <c r="AW33" s="30"/>
      <c r="AX33" s="27">
        <v>16638000</v>
      </c>
      <c r="AY33" s="30"/>
      <c r="AZ33" s="27">
        <v>16679000</v>
      </c>
      <c r="BA33" s="30"/>
      <c r="BB33" s="27">
        <v>16412000</v>
      </c>
      <c r="BC33" s="30"/>
      <c r="BD33" s="27">
        <v>16412000</v>
      </c>
      <c r="BE33" s="30"/>
      <c r="BF33" s="27">
        <v>16412000</v>
      </c>
      <c r="BG33" s="30"/>
      <c r="BH33" s="27">
        <v>16412000</v>
      </c>
      <c r="BI33" s="30"/>
      <c r="BJ33" s="27">
        <v>16408000</v>
      </c>
      <c r="BK33" s="30"/>
      <c r="BL33" s="27">
        <v>16439000</v>
      </c>
      <c r="BM33" s="30"/>
      <c r="BN33" s="27">
        <v>16439000</v>
      </c>
      <c r="BO33" s="30"/>
      <c r="BP33" s="27">
        <v>16432000</v>
      </c>
      <c r="BQ33" s="30"/>
      <c r="BR33" s="27">
        <v>16412000</v>
      </c>
      <c r="BS33" s="30"/>
      <c r="BT33" s="27">
        <v>16406000</v>
      </c>
      <c r="BU33" s="30"/>
      <c r="BV33" s="27">
        <v>16406000</v>
      </c>
      <c r="BW33" s="30"/>
      <c r="BX33" s="27">
        <v>16406000</v>
      </c>
      <c r="BY33" s="30"/>
      <c r="BZ33" s="27">
        <v>16394000</v>
      </c>
      <c r="CA33" s="30"/>
      <c r="CB33" s="27">
        <v>16363000</v>
      </c>
      <c r="CC33" s="30"/>
      <c r="CD33" s="27">
        <v>16363000</v>
      </c>
      <c r="CE33" s="30"/>
      <c r="CF33" s="27">
        <v>16394000</v>
      </c>
      <c r="CG33" s="30"/>
      <c r="CH33" s="27">
        <v>16582000</v>
      </c>
      <c r="CI33" s="30"/>
    </row>
    <row r="34" spans="1:87">
      <c r="A34" s="24"/>
      <c r="B34" s="25" t="s">
        <v>200</v>
      </c>
      <c r="C34" s="26">
        <v>380</v>
      </c>
      <c r="D34" s="26">
        <v>600</v>
      </c>
      <c r="E34" s="26">
        <v>600</v>
      </c>
      <c r="F34" s="27">
        <v>18213000</v>
      </c>
      <c r="G34" s="30"/>
      <c r="H34" s="27">
        <v>17455000</v>
      </c>
      <c r="I34" s="30"/>
      <c r="J34" s="27">
        <v>18968000</v>
      </c>
      <c r="K34" s="30"/>
      <c r="L34" s="27">
        <v>18283000</v>
      </c>
      <c r="M34" s="30"/>
      <c r="N34" s="27">
        <v>20150000</v>
      </c>
      <c r="O34" s="30"/>
      <c r="P34" s="27">
        <v>17313000</v>
      </c>
      <c r="Q34" s="30"/>
      <c r="R34" s="27">
        <v>18658000</v>
      </c>
      <c r="S34" s="30"/>
      <c r="T34" s="29"/>
      <c r="U34" s="30"/>
      <c r="V34" s="27">
        <v>16728000</v>
      </c>
      <c r="W34" s="30"/>
      <c r="X34" s="27">
        <v>16588000</v>
      </c>
      <c r="Y34" s="30"/>
      <c r="Z34" s="27">
        <v>16896000</v>
      </c>
      <c r="AA34" s="30"/>
      <c r="AB34" s="27">
        <v>16964000</v>
      </c>
      <c r="AC34" s="30"/>
      <c r="AD34" s="27">
        <v>16986000</v>
      </c>
      <c r="AE34" s="30"/>
      <c r="AF34" s="27">
        <v>17109000</v>
      </c>
      <c r="AG34" s="30"/>
      <c r="AH34" s="27">
        <v>17109000</v>
      </c>
      <c r="AI34" s="30"/>
      <c r="AJ34" s="27">
        <v>16960000</v>
      </c>
      <c r="AK34" s="30"/>
      <c r="AL34" s="27">
        <v>17198000</v>
      </c>
      <c r="AM34" s="30"/>
      <c r="AN34" s="27">
        <v>16737000</v>
      </c>
      <c r="AO34" s="30"/>
      <c r="AP34" s="27">
        <v>17111000</v>
      </c>
      <c r="AQ34" s="30"/>
      <c r="AR34" s="27">
        <v>17207000</v>
      </c>
      <c r="AS34" s="30"/>
      <c r="AT34" s="27">
        <v>17111000</v>
      </c>
      <c r="AU34" s="30"/>
      <c r="AV34" s="27">
        <v>17144000</v>
      </c>
      <c r="AW34" s="30"/>
      <c r="AX34" s="27">
        <v>17120000</v>
      </c>
      <c r="AY34" s="30"/>
      <c r="AZ34" s="27">
        <v>17174000</v>
      </c>
      <c r="BA34" s="30"/>
      <c r="BB34" s="27">
        <v>16827000</v>
      </c>
      <c r="BC34" s="30"/>
      <c r="BD34" s="27">
        <v>16827000</v>
      </c>
      <c r="BE34" s="30"/>
      <c r="BF34" s="27">
        <v>16827000</v>
      </c>
      <c r="BG34" s="30"/>
      <c r="BH34" s="27">
        <v>16827000</v>
      </c>
      <c r="BI34" s="30"/>
      <c r="BJ34" s="27">
        <v>16821000</v>
      </c>
      <c r="BK34" s="30"/>
      <c r="BL34" s="27">
        <v>16862000</v>
      </c>
      <c r="BM34" s="30"/>
      <c r="BN34" s="27">
        <v>16862000</v>
      </c>
      <c r="BO34" s="30"/>
      <c r="BP34" s="27">
        <v>16853000</v>
      </c>
      <c r="BQ34" s="30"/>
      <c r="BR34" s="27">
        <v>16827000</v>
      </c>
      <c r="BS34" s="30"/>
      <c r="BT34" s="27">
        <v>16819000</v>
      </c>
      <c r="BU34" s="30"/>
      <c r="BV34" s="27">
        <v>16819000</v>
      </c>
      <c r="BW34" s="30"/>
      <c r="BX34" s="27">
        <v>16819000</v>
      </c>
      <c r="BY34" s="30"/>
      <c r="BZ34" s="27">
        <v>16787000</v>
      </c>
      <c r="CA34" s="30"/>
      <c r="CB34" s="27">
        <v>16745000</v>
      </c>
      <c r="CC34" s="30"/>
      <c r="CD34" s="27">
        <v>16745000</v>
      </c>
      <c r="CE34" s="30"/>
      <c r="CF34" s="27">
        <v>16787000</v>
      </c>
      <c r="CG34" s="30"/>
      <c r="CH34" s="27">
        <v>17042000</v>
      </c>
      <c r="CI34" s="30"/>
    </row>
    <row r="35" spans="1:87">
      <c r="A35" s="24"/>
      <c r="B35" s="25" t="s">
        <v>201</v>
      </c>
      <c r="C35" s="26">
        <v>380</v>
      </c>
      <c r="D35" s="26">
        <v>600</v>
      </c>
      <c r="E35" s="26">
        <v>900</v>
      </c>
      <c r="F35" s="27">
        <v>19724000</v>
      </c>
      <c r="G35" s="30"/>
      <c r="H35" s="27">
        <v>18586000</v>
      </c>
      <c r="I35" s="30"/>
      <c r="J35" s="27">
        <v>20856000</v>
      </c>
      <c r="K35" s="30"/>
      <c r="L35" s="27">
        <v>19828000</v>
      </c>
      <c r="M35" s="30"/>
      <c r="N35" s="27">
        <v>22629000</v>
      </c>
      <c r="O35" s="30"/>
      <c r="P35" s="27">
        <v>18278000</v>
      </c>
      <c r="Q35" s="30"/>
      <c r="R35" s="27">
        <v>20520000</v>
      </c>
      <c r="S35" s="30"/>
      <c r="T35" s="29"/>
      <c r="U35" s="30"/>
      <c r="V35" s="27">
        <v>17488000</v>
      </c>
      <c r="W35" s="30"/>
      <c r="X35" s="27">
        <v>17278000</v>
      </c>
      <c r="Y35" s="30"/>
      <c r="Z35" s="27">
        <v>17730000</v>
      </c>
      <c r="AA35" s="30"/>
      <c r="AB35" s="27">
        <v>17826000</v>
      </c>
      <c r="AC35" s="30"/>
      <c r="AD35" s="27">
        <v>17853000</v>
      </c>
      <c r="AE35" s="30"/>
      <c r="AF35" s="27">
        <v>18031000</v>
      </c>
      <c r="AG35" s="30"/>
      <c r="AH35" s="27">
        <v>18031000</v>
      </c>
      <c r="AI35" s="30"/>
      <c r="AJ35" s="27">
        <v>17824000</v>
      </c>
      <c r="AK35" s="30"/>
      <c r="AL35" s="27">
        <v>18180000</v>
      </c>
      <c r="AM35" s="30"/>
      <c r="AN35" s="27">
        <v>17491000</v>
      </c>
      <c r="AO35" s="30"/>
      <c r="AP35" s="27">
        <v>18047000</v>
      </c>
      <c r="AQ35" s="30"/>
      <c r="AR35" s="27">
        <v>18191000</v>
      </c>
      <c r="AS35" s="30"/>
      <c r="AT35" s="27">
        <v>18047000</v>
      </c>
      <c r="AU35" s="30"/>
      <c r="AV35" s="27">
        <v>18098000</v>
      </c>
      <c r="AW35" s="30"/>
      <c r="AX35" s="27">
        <v>18061000</v>
      </c>
      <c r="AY35" s="30"/>
      <c r="AZ35" s="27">
        <v>18144000</v>
      </c>
      <c r="BA35" s="30"/>
      <c r="BB35" s="27">
        <v>17636000</v>
      </c>
      <c r="BC35" s="30"/>
      <c r="BD35" s="27">
        <v>17636000</v>
      </c>
      <c r="BE35" s="30"/>
      <c r="BF35" s="27">
        <v>17636000</v>
      </c>
      <c r="BG35" s="30"/>
      <c r="BH35" s="27">
        <v>17636000</v>
      </c>
      <c r="BI35" s="30"/>
      <c r="BJ35" s="27">
        <v>17626000</v>
      </c>
      <c r="BK35" s="30"/>
      <c r="BL35" s="27">
        <v>17688000</v>
      </c>
      <c r="BM35" s="30"/>
      <c r="BN35" s="27">
        <v>17688000</v>
      </c>
      <c r="BO35" s="30"/>
      <c r="BP35" s="27">
        <v>17675000</v>
      </c>
      <c r="BQ35" s="30"/>
      <c r="BR35" s="27">
        <v>17636000</v>
      </c>
      <c r="BS35" s="30"/>
      <c r="BT35" s="27">
        <v>17623000</v>
      </c>
      <c r="BU35" s="30"/>
      <c r="BV35" s="27">
        <v>17623000</v>
      </c>
      <c r="BW35" s="30"/>
      <c r="BX35" s="27">
        <v>17623000</v>
      </c>
      <c r="BY35" s="30"/>
      <c r="BZ35" s="27">
        <v>17553000</v>
      </c>
      <c r="CA35" s="30"/>
      <c r="CB35" s="27">
        <v>17490000</v>
      </c>
      <c r="CC35" s="30"/>
      <c r="CD35" s="27">
        <v>17490000</v>
      </c>
      <c r="CE35" s="30"/>
      <c r="CF35" s="27">
        <v>17553000</v>
      </c>
      <c r="CG35" s="30"/>
      <c r="CH35" s="27">
        <v>17941000</v>
      </c>
      <c r="CI35" s="30"/>
    </row>
    <row r="36" spans="1:87" ht="63" customHeight="1">
      <c r="A36" s="16" t="e">
        <f ca="1">_xludf.image("https://lh3.google.com/u/0/d/1nIlvE4hSr9q7YJRMHlr6h6MLKyRuHQsX",1)</f>
        <v>#NAME?</v>
      </c>
      <c r="B36" s="17" t="s">
        <v>202</v>
      </c>
      <c r="C36" s="147"/>
      <c r="D36" s="145"/>
      <c r="E36" s="146"/>
      <c r="F36" s="63"/>
      <c r="G36" s="64"/>
      <c r="H36" s="63"/>
      <c r="I36" s="64"/>
      <c r="J36" s="63"/>
      <c r="K36" s="64"/>
      <c r="L36" s="63"/>
      <c r="M36" s="64"/>
      <c r="N36" s="63"/>
      <c r="O36" s="64"/>
      <c r="P36" s="63"/>
      <c r="Q36" s="64"/>
      <c r="R36" s="63"/>
      <c r="S36" s="64"/>
      <c r="T36" s="63"/>
      <c r="U36" s="64"/>
      <c r="V36" s="63"/>
      <c r="W36" s="64"/>
      <c r="X36" s="63"/>
      <c r="Y36" s="64"/>
      <c r="Z36" s="63"/>
      <c r="AA36" s="64"/>
      <c r="AB36" s="63"/>
      <c r="AC36" s="64"/>
      <c r="AD36" s="63"/>
      <c r="AE36" s="64"/>
      <c r="AF36" s="63"/>
      <c r="AG36" s="64"/>
      <c r="AH36" s="63"/>
      <c r="AI36" s="64"/>
      <c r="AJ36" s="63"/>
      <c r="AK36" s="64"/>
      <c r="AL36" s="63"/>
      <c r="AM36" s="64"/>
      <c r="AN36" s="63"/>
      <c r="AO36" s="64"/>
      <c r="AP36" s="63"/>
      <c r="AQ36" s="64"/>
      <c r="AR36" s="63"/>
      <c r="AS36" s="64"/>
      <c r="AT36" s="63"/>
      <c r="AU36" s="64"/>
      <c r="AV36" s="63"/>
      <c r="AW36" s="64"/>
      <c r="AX36" s="63"/>
      <c r="AY36" s="64"/>
      <c r="AZ36" s="63"/>
      <c r="BA36" s="64"/>
      <c r="BB36" s="63"/>
      <c r="BC36" s="64"/>
      <c r="BD36" s="63"/>
      <c r="BE36" s="64"/>
      <c r="BF36" s="63"/>
      <c r="BG36" s="64"/>
      <c r="BH36" s="63"/>
      <c r="BI36" s="64"/>
      <c r="BJ36" s="63"/>
      <c r="BK36" s="64"/>
      <c r="BL36" s="63"/>
      <c r="BM36" s="64"/>
      <c r="BN36" s="63"/>
      <c r="BO36" s="64"/>
      <c r="BP36" s="63"/>
      <c r="BQ36" s="64"/>
      <c r="BR36" s="63"/>
      <c r="BS36" s="64"/>
      <c r="BT36" s="63"/>
      <c r="BU36" s="64"/>
      <c r="BV36" s="63"/>
      <c r="BW36" s="64"/>
      <c r="BX36" s="63"/>
      <c r="BY36" s="64"/>
      <c r="BZ36" s="63"/>
      <c r="CA36" s="64"/>
      <c r="CB36" s="63"/>
      <c r="CC36" s="64"/>
      <c r="CD36" s="63"/>
      <c r="CE36" s="64"/>
      <c r="CF36" s="63"/>
      <c r="CG36" s="64"/>
      <c r="CH36" s="63"/>
      <c r="CI36" s="64"/>
    </row>
    <row r="37" spans="1:87" ht="12.75">
      <c r="A37" s="20"/>
      <c r="B37" s="138" t="s">
        <v>203</v>
      </c>
      <c r="C37" s="136"/>
      <c r="D37" s="136"/>
      <c r="E37" s="137"/>
      <c r="F37" s="22"/>
      <c r="G37" s="23"/>
      <c r="H37" s="22"/>
      <c r="I37" s="23"/>
      <c r="J37" s="22"/>
      <c r="K37" s="23"/>
      <c r="L37" s="22"/>
      <c r="M37" s="23"/>
      <c r="N37" s="22"/>
      <c r="O37" s="23"/>
      <c r="P37" s="22"/>
      <c r="Q37" s="23"/>
      <c r="R37" s="22"/>
      <c r="S37" s="23"/>
      <c r="T37" s="22"/>
      <c r="U37" s="23"/>
      <c r="V37" s="22"/>
      <c r="W37" s="23"/>
      <c r="X37" s="22"/>
      <c r="Y37" s="23"/>
      <c r="Z37" s="22"/>
      <c r="AA37" s="23"/>
      <c r="AB37" s="22"/>
      <c r="AC37" s="23"/>
      <c r="AD37" s="22"/>
      <c r="AE37" s="23"/>
      <c r="AF37" s="22"/>
      <c r="AG37" s="23"/>
      <c r="AH37" s="22"/>
      <c r="AI37" s="23"/>
      <c r="AJ37" s="22"/>
      <c r="AK37" s="23"/>
      <c r="AL37" s="22"/>
      <c r="AM37" s="23"/>
      <c r="AN37" s="22"/>
      <c r="AO37" s="23"/>
      <c r="AP37" s="22"/>
      <c r="AQ37" s="23"/>
      <c r="AR37" s="22"/>
      <c r="AS37" s="23"/>
      <c r="AT37" s="22"/>
      <c r="AU37" s="23"/>
      <c r="AV37" s="22"/>
      <c r="AW37" s="23"/>
      <c r="AX37" s="22"/>
      <c r="AY37" s="23"/>
      <c r="AZ37" s="22"/>
      <c r="BA37" s="23"/>
      <c r="BB37" s="22"/>
      <c r="BC37" s="23"/>
      <c r="BD37" s="22"/>
      <c r="BE37" s="23"/>
      <c r="BF37" s="22"/>
      <c r="BG37" s="23"/>
      <c r="BH37" s="22"/>
      <c r="BI37" s="23"/>
      <c r="BJ37" s="22"/>
      <c r="BK37" s="23"/>
      <c r="BL37" s="22"/>
      <c r="BM37" s="23"/>
      <c r="BN37" s="22"/>
      <c r="BO37" s="23"/>
      <c r="BP37" s="22"/>
      <c r="BQ37" s="23"/>
      <c r="BR37" s="22"/>
      <c r="BS37" s="23"/>
      <c r="BT37" s="22"/>
      <c r="BU37" s="23"/>
      <c r="BV37" s="22"/>
      <c r="BW37" s="23"/>
      <c r="BX37" s="22"/>
      <c r="BY37" s="23"/>
      <c r="BZ37" s="22"/>
      <c r="CA37" s="23"/>
      <c r="CB37" s="22"/>
      <c r="CC37" s="23"/>
      <c r="CD37" s="22"/>
      <c r="CE37" s="23"/>
      <c r="CF37" s="22"/>
      <c r="CG37" s="23"/>
      <c r="CH37" s="22"/>
      <c r="CI37" s="23"/>
    </row>
    <row r="38" spans="1:87">
      <c r="A38" s="24"/>
      <c r="B38" s="25" t="s">
        <v>204</v>
      </c>
      <c r="C38" s="26">
        <v>380</v>
      </c>
      <c r="D38" s="26">
        <v>360</v>
      </c>
      <c r="E38" s="26">
        <v>450</v>
      </c>
      <c r="F38" s="27">
        <v>8664000</v>
      </c>
      <c r="G38" s="28">
        <v>8887000</v>
      </c>
      <c r="H38" s="27">
        <v>8323000</v>
      </c>
      <c r="I38" s="28">
        <v>8546000</v>
      </c>
      <c r="J38" s="27">
        <v>9004000</v>
      </c>
      <c r="K38" s="28">
        <v>9227000</v>
      </c>
      <c r="L38" s="27">
        <v>8696000</v>
      </c>
      <c r="M38" s="28">
        <v>8919000</v>
      </c>
      <c r="N38" s="27">
        <v>9536000</v>
      </c>
      <c r="O38" s="28">
        <v>9759000</v>
      </c>
      <c r="P38" s="27">
        <v>8390000</v>
      </c>
      <c r="Q38" s="28">
        <v>8613000</v>
      </c>
      <c r="R38" s="27">
        <v>8809000</v>
      </c>
      <c r="S38" s="28">
        <v>9032000</v>
      </c>
      <c r="T38" s="29"/>
      <c r="U38" s="30"/>
      <c r="V38" s="27">
        <v>8004000</v>
      </c>
      <c r="W38" s="28">
        <v>8227000</v>
      </c>
      <c r="X38" s="27">
        <v>7941000</v>
      </c>
      <c r="Y38" s="28">
        <v>8164000</v>
      </c>
      <c r="Z38" s="27">
        <v>8088000</v>
      </c>
      <c r="AA38" s="28">
        <v>8311000</v>
      </c>
      <c r="AB38" s="27">
        <v>8123000</v>
      </c>
      <c r="AC38" s="28">
        <v>8346000</v>
      </c>
      <c r="AD38" s="27">
        <v>8139000</v>
      </c>
      <c r="AE38" s="28">
        <v>8362000</v>
      </c>
      <c r="AF38" s="27">
        <v>8200000</v>
      </c>
      <c r="AG38" s="28">
        <v>8423000</v>
      </c>
      <c r="AH38" s="27">
        <v>8200000</v>
      </c>
      <c r="AI38" s="28">
        <v>8423000</v>
      </c>
      <c r="AJ38" s="27">
        <v>8118000</v>
      </c>
      <c r="AK38" s="28">
        <v>8341000</v>
      </c>
      <c r="AL38" s="27">
        <v>8227000</v>
      </c>
      <c r="AM38" s="28">
        <v>8450000</v>
      </c>
      <c r="AN38" s="27">
        <v>8016000</v>
      </c>
      <c r="AO38" s="28">
        <v>8239000</v>
      </c>
      <c r="AP38" s="27">
        <v>8190000</v>
      </c>
      <c r="AQ38" s="28">
        <v>8413000</v>
      </c>
      <c r="AR38" s="27">
        <v>8233000</v>
      </c>
      <c r="AS38" s="28">
        <v>8456000</v>
      </c>
      <c r="AT38" s="27">
        <v>8190000</v>
      </c>
      <c r="AU38" s="28">
        <v>8413000</v>
      </c>
      <c r="AV38" s="27">
        <v>8203000</v>
      </c>
      <c r="AW38" s="28">
        <v>8426000</v>
      </c>
      <c r="AX38" s="27">
        <v>8192000</v>
      </c>
      <c r="AY38" s="28">
        <v>8415000</v>
      </c>
      <c r="AZ38" s="27">
        <v>8217000</v>
      </c>
      <c r="BA38" s="28">
        <v>8440000</v>
      </c>
      <c r="BB38" s="27">
        <v>8049000</v>
      </c>
      <c r="BC38" s="28">
        <v>8272000</v>
      </c>
      <c r="BD38" s="27">
        <v>8049000</v>
      </c>
      <c r="BE38" s="28">
        <v>8272000</v>
      </c>
      <c r="BF38" s="27">
        <v>8049000</v>
      </c>
      <c r="BG38" s="28">
        <v>8272000</v>
      </c>
      <c r="BH38" s="27">
        <v>8049000</v>
      </c>
      <c r="BI38" s="28">
        <v>8272000</v>
      </c>
      <c r="BJ38" s="27">
        <v>8046000</v>
      </c>
      <c r="BK38" s="28">
        <v>8269000</v>
      </c>
      <c r="BL38" s="27">
        <v>8065000</v>
      </c>
      <c r="BM38" s="28">
        <v>8288000</v>
      </c>
      <c r="BN38" s="27">
        <v>8065000</v>
      </c>
      <c r="BO38" s="28">
        <v>8288000</v>
      </c>
      <c r="BP38" s="27">
        <v>8061000</v>
      </c>
      <c r="BQ38" s="28">
        <v>8284000</v>
      </c>
      <c r="BR38" s="27">
        <v>8049000</v>
      </c>
      <c r="BS38" s="28">
        <v>8272000</v>
      </c>
      <c r="BT38" s="27">
        <v>8045000</v>
      </c>
      <c r="BU38" s="28">
        <v>8268000</v>
      </c>
      <c r="BV38" s="27">
        <v>8045000</v>
      </c>
      <c r="BW38" s="28">
        <v>8268000</v>
      </c>
      <c r="BX38" s="27">
        <v>8045000</v>
      </c>
      <c r="BY38" s="28">
        <v>8268000</v>
      </c>
      <c r="BZ38" s="27">
        <v>8052000</v>
      </c>
      <c r="CA38" s="28">
        <v>8275000</v>
      </c>
      <c r="CB38" s="27">
        <v>8033000</v>
      </c>
      <c r="CC38" s="28">
        <v>8256000</v>
      </c>
      <c r="CD38" s="27">
        <v>8033000</v>
      </c>
      <c r="CE38" s="28">
        <v>8256000</v>
      </c>
      <c r="CF38" s="27">
        <v>8052000</v>
      </c>
      <c r="CG38" s="28">
        <v>8275000</v>
      </c>
      <c r="CH38" s="27">
        <v>8161000</v>
      </c>
      <c r="CI38" s="28">
        <v>8384000</v>
      </c>
    </row>
    <row r="39" spans="1:87">
      <c r="A39" s="24"/>
      <c r="B39" s="25" t="s">
        <v>205</v>
      </c>
      <c r="C39" s="26">
        <v>380</v>
      </c>
      <c r="D39" s="26">
        <v>360</v>
      </c>
      <c r="E39" s="26">
        <v>600</v>
      </c>
      <c r="F39" s="27">
        <v>9148000</v>
      </c>
      <c r="G39" s="28">
        <v>9446000</v>
      </c>
      <c r="H39" s="27">
        <v>8693000</v>
      </c>
      <c r="I39" s="28">
        <v>8991000</v>
      </c>
      <c r="J39" s="27">
        <v>9601000</v>
      </c>
      <c r="K39" s="28">
        <v>9899000</v>
      </c>
      <c r="L39" s="27">
        <v>9190000</v>
      </c>
      <c r="M39" s="28">
        <v>9488000</v>
      </c>
      <c r="N39" s="27">
        <v>10310000</v>
      </c>
      <c r="O39" s="28">
        <v>10608000</v>
      </c>
      <c r="P39" s="27">
        <v>8740000</v>
      </c>
      <c r="Q39" s="28">
        <v>9038000</v>
      </c>
      <c r="R39" s="27">
        <v>9368000</v>
      </c>
      <c r="S39" s="28">
        <v>9666000</v>
      </c>
      <c r="T39" s="29"/>
      <c r="U39" s="30"/>
      <c r="V39" s="27">
        <v>8264000</v>
      </c>
      <c r="W39" s="28">
        <v>8562000</v>
      </c>
      <c r="X39" s="27">
        <v>8180000</v>
      </c>
      <c r="Y39" s="28">
        <v>8478000</v>
      </c>
      <c r="Z39" s="27">
        <v>8373000</v>
      </c>
      <c r="AA39" s="28">
        <v>8671000</v>
      </c>
      <c r="AB39" s="27">
        <v>8417000</v>
      </c>
      <c r="AC39" s="28">
        <v>8715000</v>
      </c>
      <c r="AD39" s="27">
        <v>8436000</v>
      </c>
      <c r="AE39" s="28">
        <v>8734000</v>
      </c>
      <c r="AF39" s="27">
        <v>8514000</v>
      </c>
      <c r="AG39" s="28">
        <v>8812000</v>
      </c>
      <c r="AH39" s="27">
        <v>8514000</v>
      </c>
      <c r="AI39" s="28">
        <v>8812000</v>
      </c>
      <c r="AJ39" s="27">
        <v>8412000</v>
      </c>
      <c r="AK39" s="28">
        <v>8710000</v>
      </c>
      <c r="AL39" s="27">
        <v>8557000</v>
      </c>
      <c r="AM39" s="28">
        <v>8855000</v>
      </c>
      <c r="AN39" s="27">
        <v>8277000</v>
      </c>
      <c r="AO39" s="28">
        <v>8575000</v>
      </c>
      <c r="AP39" s="27">
        <v>8506000</v>
      </c>
      <c r="AQ39" s="28">
        <v>8804000</v>
      </c>
      <c r="AR39" s="27">
        <v>8564000</v>
      </c>
      <c r="AS39" s="28">
        <v>8862000</v>
      </c>
      <c r="AT39" s="27">
        <v>8506000</v>
      </c>
      <c r="AU39" s="28">
        <v>8804000</v>
      </c>
      <c r="AV39" s="27">
        <v>8525000</v>
      </c>
      <c r="AW39" s="28">
        <v>8823000</v>
      </c>
      <c r="AX39" s="27">
        <v>8510000</v>
      </c>
      <c r="AY39" s="28">
        <v>8808000</v>
      </c>
      <c r="AZ39" s="27">
        <v>8543000</v>
      </c>
      <c r="BA39" s="28">
        <v>8841000</v>
      </c>
      <c r="BB39" s="27">
        <v>8324000</v>
      </c>
      <c r="BC39" s="28">
        <v>8622000</v>
      </c>
      <c r="BD39" s="27">
        <v>8324000</v>
      </c>
      <c r="BE39" s="28">
        <v>8622000</v>
      </c>
      <c r="BF39" s="27">
        <v>8324000</v>
      </c>
      <c r="BG39" s="28">
        <v>8622000</v>
      </c>
      <c r="BH39" s="27">
        <v>8324000</v>
      </c>
      <c r="BI39" s="28">
        <v>8622000</v>
      </c>
      <c r="BJ39" s="27">
        <v>8320000</v>
      </c>
      <c r="BK39" s="28">
        <v>8618000</v>
      </c>
      <c r="BL39" s="27">
        <v>8345000</v>
      </c>
      <c r="BM39" s="28">
        <v>8643000</v>
      </c>
      <c r="BN39" s="27">
        <v>8345000</v>
      </c>
      <c r="BO39" s="28">
        <v>8643000</v>
      </c>
      <c r="BP39" s="27">
        <v>8340000</v>
      </c>
      <c r="BQ39" s="28">
        <v>8638000</v>
      </c>
      <c r="BR39" s="27">
        <v>8324000</v>
      </c>
      <c r="BS39" s="28">
        <v>8622000</v>
      </c>
      <c r="BT39" s="27">
        <v>8319000</v>
      </c>
      <c r="BU39" s="28">
        <v>8617000</v>
      </c>
      <c r="BV39" s="27">
        <v>8319000</v>
      </c>
      <c r="BW39" s="28">
        <v>8617000</v>
      </c>
      <c r="BX39" s="27">
        <v>8319000</v>
      </c>
      <c r="BY39" s="28">
        <v>8617000</v>
      </c>
      <c r="BZ39" s="27">
        <v>8319000</v>
      </c>
      <c r="CA39" s="28">
        <v>8617000</v>
      </c>
      <c r="CB39" s="27">
        <v>8294000</v>
      </c>
      <c r="CC39" s="28">
        <v>8592000</v>
      </c>
      <c r="CD39" s="27">
        <v>8294000</v>
      </c>
      <c r="CE39" s="28">
        <v>8592000</v>
      </c>
      <c r="CF39" s="27">
        <v>8319000</v>
      </c>
      <c r="CG39" s="28">
        <v>8617000</v>
      </c>
      <c r="CH39" s="27">
        <v>8467000</v>
      </c>
      <c r="CI39" s="28">
        <v>8765000</v>
      </c>
    </row>
    <row r="40" spans="1:87">
      <c r="A40" s="24"/>
      <c r="B40" s="25" t="s">
        <v>206</v>
      </c>
      <c r="C40" s="26">
        <v>380</v>
      </c>
      <c r="D40" s="26">
        <v>360</v>
      </c>
      <c r="E40" s="26">
        <v>900</v>
      </c>
      <c r="F40" s="27">
        <v>10097000</v>
      </c>
      <c r="G40" s="28">
        <v>10543000</v>
      </c>
      <c r="H40" s="27">
        <v>9414000</v>
      </c>
      <c r="I40" s="28">
        <v>9860000</v>
      </c>
      <c r="J40" s="27">
        <v>10777000</v>
      </c>
      <c r="K40" s="28">
        <v>11223000</v>
      </c>
      <c r="L40" s="27">
        <v>10160000</v>
      </c>
      <c r="M40" s="28">
        <v>10606000</v>
      </c>
      <c r="N40" s="27">
        <v>11840000</v>
      </c>
      <c r="O40" s="28">
        <v>12286000</v>
      </c>
      <c r="P40" s="27">
        <v>9422000</v>
      </c>
      <c r="Q40" s="28">
        <v>9868000</v>
      </c>
      <c r="R40" s="27">
        <v>10468000</v>
      </c>
      <c r="S40" s="28">
        <v>10914000</v>
      </c>
      <c r="T40" s="29"/>
      <c r="U40" s="30"/>
      <c r="V40" s="27">
        <v>8766000</v>
      </c>
      <c r="W40" s="28">
        <v>9212000</v>
      </c>
      <c r="X40" s="27">
        <v>8640000</v>
      </c>
      <c r="Y40" s="28">
        <v>9086000</v>
      </c>
      <c r="Z40" s="27">
        <v>8923000</v>
      </c>
      <c r="AA40" s="28">
        <v>9369000</v>
      </c>
      <c r="AB40" s="27">
        <v>8986000</v>
      </c>
      <c r="AC40" s="28">
        <v>9432000</v>
      </c>
      <c r="AD40" s="27">
        <v>9011000</v>
      </c>
      <c r="AE40" s="28">
        <v>9457000</v>
      </c>
      <c r="AF40" s="27">
        <v>9125000</v>
      </c>
      <c r="AG40" s="28">
        <v>9571000</v>
      </c>
      <c r="AH40" s="27">
        <v>9125000</v>
      </c>
      <c r="AI40" s="28">
        <v>9571000</v>
      </c>
      <c r="AJ40" s="27">
        <v>8981000</v>
      </c>
      <c r="AK40" s="28">
        <v>9427000</v>
      </c>
      <c r="AL40" s="27">
        <v>9197000</v>
      </c>
      <c r="AM40" s="28">
        <v>9643000</v>
      </c>
      <c r="AN40" s="27">
        <v>8779000</v>
      </c>
      <c r="AO40" s="28">
        <v>9225000</v>
      </c>
      <c r="AP40" s="27">
        <v>9120000</v>
      </c>
      <c r="AQ40" s="28">
        <v>9566000</v>
      </c>
      <c r="AR40" s="27">
        <v>9206000</v>
      </c>
      <c r="AS40" s="28">
        <v>9652000</v>
      </c>
      <c r="AT40" s="27">
        <v>9120000</v>
      </c>
      <c r="AU40" s="28">
        <v>9566000</v>
      </c>
      <c r="AV40" s="27">
        <v>9148000</v>
      </c>
      <c r="AW40" s="28">
        <v>9594000</v>
      </c>
      <c r="AX40" s="27">
        <v>9126000</v>
      </c>
      <c r="AY40" s="28">
        <v>9572000</v>
      </c>
      <c r="AZ40" s="27">
        <v>9176000</v>
      </c>
      <c r="BA40" s="28">
        <v>9622000</v>
      </c>
      <c r="BB40" s="27">
        <v>8855000</v>
      </c>
      <c r="BC40" s="28">
        <v>9301000</v>
      </c>
      <c r="BD40" s="27">
        <v>8855000</v>
      </c>
      <c r="BE40" s="28">
        <v>9301000</v>
      </c>
      <c r="BF40" s="27">
        <v>8855000</v>
      </c>
      <c r="BG40" s="28">
        <v>9301000</v>
      </c>
      <c r="BH40" s="27">
        <v>8855000</v>
      </c>
      <c r="BI40" s="28">
        <v>9301000</v>
      </c>
      <c r="BJ40" s="27">
        <v>8850000</v>
      </c>
      <c r="BK40" s="28">
        <v>9296000</v>
      </c>
      <c r="BL40" s="27">
        <v>8887000</v>
      </c>
      <c r="BM40" s="28">
        <v>9333000</v>
      </c>
      <c r="BN40" s="27">
        <v>8887000</v>
      </c>
      <c r="BO40" s="28">
        <v>9333000</v>
      </c>
      <c r="BP40" s="27">
        <v>8879000</v>
      </c>
      <c r="BQ40" s="28">
        <v>9325000</v>
      </c>
      <c r="BR40" s="27">
        <v>8855000</v>
      </c>
      <c r="BS40" s="28">
        <v>9301000</v>
      </c>
      <c r="BT40" s="27">
        <v>8848000</v>
      </c>
      <c r="BU40" s="28">
        <v>9294000</v>
      </c>
      <c r="BV40" s="27">
        <v>8848000</v>
      </c>
      <c r="BW40" s="28">
        <v>9294000</v>
      </c>
      <c r="BX40" s="27">
        <v>8848000</v>
      </c>
      <c r="BY40" s="28">
        <v>9294000</v>
      </c>
      <c r="BZ40" s="27">
        <v>8833000</v>
      </c>
      <c r="CA40" s="28">
        <v>9279000</v>
      </c>
      <c r="CB40" s="27">
        <v>8796000</v>
      </c>
      <c r="CC40" s="28">
        <v>9242000</v>
      </c>
      <c r="CD40" s="27">
        <v>8796000</v>
      </c>
      <c r="CE40" s="28">
        <v>9242000</v>
      </c>
      <c r="CF40" s="27">
        <v>8833000</v>
      </c>
      <c r="CG40" s="28">
        <v>9279000</v>
      </c>
      <c r="CH40" s="27">
        <v>9059000</v>
      </c>
      <c r="CI40" s="28">
        <v>9505000</v>
      </c>
    </row>
    <row r="41" spans="1:87">
      <c r="A41" s="24"/>
      <c r="B41" s="25" t="s">
        <v>207</v>
      </c>
      <c r="C41" s="26">
        <v>380</v>
      </c>
      <c r="D41" s="26">
        <v>600</v>
      </c>
      <c r="E41" s="26">
        <v>450</v>
      </c>
      <c r="F41" s="27">
        <v>9747000</v>
      </c>
      <c r="G41" s="28">
        <v>9970000</v>
      </c>
      <c r="H41" s="27">
        <v>9178000</v>
      </c>
      <c r="I41" s="28">
        <v>9401000</v>
      </c>
      <c r="J41" s="27">
        <v>10313000</v>
      </c>
      <c r="K41" s="28">
        <v>10536000</v>
      </c>
      <c r="L41" s="27">
        <v>9799000</v>
      </c>
      <c r="M41" s="28">
        <v>10022000</v>
      </c>
      <c r="N41" s="27">
        <v>11200000</v>
      </c>
      <c r="O41" s="28">
        <v>11423000</v>
      </c>
      <c r="P41" s="27">
        <v>9120000</v>
      </c>
      <c r="Q41" s="28">
        <v>9343000</v>
      </c>
      <c r="R41" s="27">
        <v>10017000</v>
      </c>
      <c r="S41" s="28">
        <v>10240000</v>
      </c>
      <c r="T41" s="29"/>
      <c r="U41" s="30"/>
      <c r="V41" s="27">
        <v>8638000</v>
      </c>
      <c r="W41" s="28">
        <v>8861000</v>
      </c>
      <c r="X41" s="27">
        <v>8533000</v>
      </c>
      <c r="Y41" s="28">
        <v>8756000</v>
      </c>
      <c r="Z41" s="27">
        <v>8769000</v>
      </c>
      <c r="AA41" s="28">
        <v>8992000</v>
      </c>
      <c r="AB41" s="27">
        <v>8822000</v>
      </c>
      <c r="AC41" s="28">
        <v>9045000</v>
      </c>
      <c r="AD41" s="27">
        <v>8842000</v>
      </c>
      <c r="AE41" s="28">
        <v>9065000</v>
      </c>
      <c r="AF41" s="27">
        <v>8937000</v>
      </c>
      <c r="AG41" s="28">
        <v>9160000</v>
      </c>
      <c r="AH41" s="27">
        <v>8937000</v>
      </c>
      <c r="AI41" s="28">
        <v>9160000</v>
      </c>
      <c r="AJ41" s="27">
        <v>8817000</v>
      </c>
      <c r="AK41" s="28">
        <v>9040000</v>
      </c>
      <c r="AL41" s="27">
        <v>8997000</v>
      </c>
      <c r="AM41" s="28">
        <v>9220000</v>
      </c>
      <c r="AN41" s="27">
        <v>8649000</v>
      </c>
      <c r="AO41" s="28">
        <v>8872000</v>
      </c>
      <c r="AP41" s="27">
        <v>8933000</v>
      </c>
      <c r="AQ41" s="28">
        <v>9156000</v>
      </c>
      <c r="AR41" s="27">
        <v>9005000</v>
      </c>
      <c r="AS41" s="28">
        <v>9228000</v>
      </c>
      <c r="AT41" s="27">
        <v>8933000</v>
      </c>
      <c r="AU41" s="28">
        <v>9156000</v>
      </c>
      <c r="AV41" s="27">
        <v>8956000</v>
      </c>
      <c r="AW41" s="28">
        <v>9179000</v>
      </c>
      <c r="AX41" s="27">
        <v>8938000</v>
      </c>
      <c r="AY41" s="28">
        <v>9161000</v>
      </c>
      <c r="AZ41" s="27">
        <v>8979000</v>
      </c>
      <c r="BA41" s="28">
        <v>9202000</v>
      </c>
      <c r="BB41" s="27">
        <v>8712000</v>
      </c>
      <c r="BC41" s="28">
        <v>8935000</v>
      </c>
      <c r="BD41" s="27">
        <v>8712000</v>
      </c>
      <c r="BE41" s="28">
        <v>8935000</v>
      </c>
      <c r="BF41" s="27">
        <v>8712000</v>
      </c>
      <c r="BG41" s="28">
        <v>8935000</v>
      </c>
      <c r="BH41" s="27">
        <v>8712000</v>
      </c>
      <c r="BI41" s="28">
        <v>8935000</v>
      </c>
      <c r="BJ41" s="27">
        <v>8708000</v>
      </c>
      <c r="BK41" s="28">
        <v>8931000</v>
      </c>
      <c r="BL41" s="27">
        <v>8739000</v>
      </c>
      <c r="BM41" s="28">
        <v>8962000</v>
      </c>
      <c r="BN41" s="27">
        <v>8739000</v>
      </c>
      <c r="BO41" s="28">
        <v>8962000</v>
      </c>
      <c r="BP41" s="27">
        <v>8732000</v>
      </c>
      <c r="BQ41" s="28">
        <v>8955000</v>
      </c>
      <c r="BR41" s="27">
        <v>8712000</v>
      </c>
      <c r="BS41" s="28">
        <v>8935000</v>
      </c>
      <c r="BT41" s="27">
        <v>8706000</v>
      </c>
      <c r="BU41" s="28">
        <v>8929000</v>
      </c>
      <c r="BV41" s="27">
        <v>8706000</v>
      </c>
      <c r="BW41" s="28">
        <v>8929000</v>
      </c>
      <c r="BX41" s="27">
        <v>8706000</v>
      </c>
      <c r="BY41" s="28">
        <v>8929000</v>
      </c>
      <c r="BZ41" s="27">
        <v>8694000</v>
      </c>
      <c r="CA41" s="28">
        <v>8917000</v>
      </c>
      <c r="CB41" s="27">
        <v>8663000</v>
      </c>
      <c r="CC41" s="28">
        <v>8886000</v>
      </c>
      <c r="CD41" s="27">
        <v>8663000</v>
      </c>
      <c r="CE41" s="28">
        <v>8886000</v>
      </c>
      <c r="CF41" s="27">
        <v>8694000</v>
      </c>
      <c r="CG41" s="28">
        <v>8917000</v>
      </c>
      <c r="CH41" s="27">
        <v>8882000</v>
      </c>
      <c r="CI41" s="28">
        <v>9105000</v>
      </c>
    </row>
    <row r="42" spans="1:87">
      <c r="A42" s="24"/>
      <c r="B42" s="25" t="s">
        <v>208</v>
      </c>
      <c r="C42" s="26">
        <v>380</v>
      </c>
      <c r="D42" s="26">
        <v>600</v>
      </c>
      <c r="E42" s="26">
        <v>600</v>
      </c>
      <c r="F42" s="27">
        <v>10513000</v>
      </c>
      <c r="G42" s="28">
        <v>10810000</v>
      </c>
      <c r="H42" s="27">
        <v>9755000</v>
      </c>
      <c r="I42" s="28">
        <v>10052000</v>
      </c>
      <c r="J42" s="27">
        <v>11268000</v>
      </c>
      <c r="K42" s="28">
        <v>11565000</v>
      </c>
      <c r="L42" s="27">
        <v>10583000</v>
      </c>
      <c r="M42" s="28">
        <v>10880000</v>
      </c>
      <c r="N42" s="27">
        <v>12450000</v>
      </c>
      <c r="O42" s="28">
        <v>12747000</v>
      </c>
      <c r="P42" s="27">
        <v>9613000</v>
      </c>
      <c r="Q42" s="28">
        <v>9910000</v>
      </c>
      <c r="R42" s="27">
        <v>10958000</v>
      </c>
      <c r="S42" s="28">
        <v>11255000</v>
      </c>
      <c r="T42" s="29"/>
      <c r="U42" s="30"/>
      <c r="V42" s="27">
        <v>9028000</v>
      </c>
      <c r="W42" s="28">
        <v>9325000</v>
      </c>
      <c r="X42" s="27">
        <v>8888000</v>
      </c>
      <c r="Y42" s="28">
        <v>9185000</v>
      </c>
      <c r="Z42" s="27">
        <v>9196000</v>
      </c>
      <c r="AA42" s="28">
        <v>9493000</v>
      </c>
      <c r="AB42" s="27">
        <v>9264000</v>
      </c>
      <c r="AC42" s="28">
        <v>9561000</v>
      </c>
      <c r="AD42" s="27">
        <v>9286000</v>
      </c>
      <c r="AE42" s="28">
        <v>9583000</v>
      </c>
      <c r="AF42" s="27">
        <v>9409000</v>
      </c>
      <c r="AG42" s="28">
        <v>9706000</v>
      </c>
      <c r="AH42" s="27">
        <v>9409000</v>
      </c>
      <c r="AI42" s="28">
        <v>9706000</v>
      </c>
      <c r="AJ42" s="27">
        <v>9260000</v>
      </c>
      <c r="AK42" s="28">
        <v>9557000</v>
      </c>
      <c r="AL42" s="27">
        <v>9498000</v>
      </c>
      <c r="AM42" s="28">
        <v>9795000</v>
      </c>
      <c r="AN42" s="27">
        <v>9037000</v>
      </c>
      <c r="AO42" s="28">
        <v>9334000</v>
      </c>
      <c r="AP42" s="27">
        <v>9411000</v>
      </c>
      <c r="AQ42" s="28">
        <v>9708000</v>
      </c>
      <c r="AR42" s="27">
        <v>9507000</v>
      </c>
      <c r="AS42" s="28">
        <v>9804000</v>
      </c>
      <c r="AT42" s="27">
        <v>9411000</v>
      </c>
      <c r="AU42" s="28">
        <v>9708000</v>
      </c>
      <c r="AV42" s="27">
        <v>9444000</v>
      </c>
      <c r="AW42" s="28">
        <v>9741000</v>
      </c>
      <c r="AX42" s="27">
        <v>9420000</v>
      </c>
      <c r="AY42" s="28">
        <v>9717000</v>
      </c>
      <c r="AZ42" s="27">
        <v>9474000</v>
      </c>
      <c r="BA42" s="28">
        <v>9771000</v>
      </c>
      <c r="BB42" s="27">
        <v>9127000</v>
      </c>
      <c r="BC42" s="28">
        <v>9424000</v>
      </c>
      <c r="BD42" s="27">
        <v>9127000</v>
      </c>
      <c r="BE42" s="28">
        <v>9424000</v>
      </c>
      <c r="BF42" s="27">
        <v>9127000</v>
      </c>
      <c r="BG42" s="28">
        <v>9424000</v>
      </c>
      <c r="BH42" s="27">
        <v>9127000</v>
      </c>
      <c r="BI42" s="28">
        <v>9424000</v>
      </c>
      <c r="BJ42" s="27">
        <v>9121000</v>
      </c>
      <c r="BK42" s="28">
        <v>9418000</v>
      </c>
      <c r="BL42" s="27">
        <v>9162000</v>
      </c>
      <c r="BM42" s="28">
        <v>9459000</v>
      </c>
      <c r="BN42" s="27">
        <v>9162000</v>
      </c>
      <c r="BO42" s="28">
        <v>9459000</v>
      </c>
      <c r="BP42" s="27">
        <v>9153000</v>
      </c>
      <c r="BQ42" s="28">
        <v>9450000</v>
      </c>
      <c r="BR42" s="27">
        <v>9127000</v>
      </c>
      <c r="BS42" s="28">
        <v>9424000</v>
      </c>
      <c r="BT42" s="27">
        <v>9119000</v>
      </c>
      <c r="BU42" s="28">
        <v>9416000</v>
      </c>
      <c r="BV42" s="27">
        <v>9119000</v>
      </c>
      <c r="BW42" s="28">
        <v>9416000</v>
      </c>
      <c r="BX42" s="27">
        <v>9119000</v>
      </c>
      <c r="BY42" s="28">
        <v>9416000</v>
      </c>
      <c r="BZ42" s="27">
        <v>9087000</v>
      </c>
      <c r="CA42" s="28">
        <v>9384000</v>
      </c>
      <c r="CB42" s="27">
        <v>9045000</v>
      </c>
      <c r="CC42" s="28">
        <v>9342000</v>
      </c>
      <c r="CD42" s="27">
        <v>9045000</v>
      </c>
      <c r="CE42" s="28">
        <v>9342000</v>
      </c>
      <c r="CF42" s="27">
        <v>9087000</v>
      </c>
      <c r="CG42" s="28">
        <v>9384000</v>
      </c>
      <c r="CH42" s="27">
        <v>9342000</v>
      </c>
      <c r="CI42" s="28">
        <v>9639000</v>
      </c>
    </row>
    <row r="43" spans="1:87">
      <c r="A43" s="24"/>
      <c r="B43" s="25" t="s">
        <v>209</v>
      </c>
      <c r="C43" s="26">
        <v>380</v>
      </c>
      <c r="D43" s="26">
        <v>600</v>
      </c>
      <c r="E43" s="26">
        <v>900</v>
      </c>
      <c r="F43" s="27">
        <v>12024000</v>
      </c>
      <c r="G43" s="28">
        <v>12471000</v>
      </c>
      <c r="H43" s="27">
        <v>10886000</v>
      </c>
      <c r="I43" s="28">
        <v>11333000</v>
      </c>
      <c r="J43" s="27">
        <v>13156000</v>
      </c>
      <c r="K43" s="28">
        <v>13603000</v>
      </c>
      <c r="L43" s="27">
        <v>12128000</v>
      </c>
      <c r="M43" s="28">
        <v>12575000</v>
      </c>
      <c r="N43" s="27">
        <v>14929000</v>
      </c>
      <c r="O43" s="28">
        <v>15376000</v>
      </c>
      <c r="P43" s="27">
        <v>10578000</v>
      </c>
      <c r="Q43" s="28">
        <v>11025000</v>
      </c>
      <c r="R43" s="27">
        <v>12820000</v>
      </c>
      <c r="S43" s="28">
        <v>13267000</v>
      </c>
      <c r="T43" s="29"/>
      <c r="U43" s="30"/>
      <c r="V43" s="27">
        <v>9788000</v>
      </c>
      <c r="W43" s="28">
        <v>10235000</v>
      </c>
      <c r="X43" s="27">
        <v>9578000</v>
      </c>
      <c r="Y43" s="28">
        <v>10025000</v>
      </c>
      <c r="Z43" s="27">
        <v>10030000</v>
      </c>
      <c r="AA43" s="28">
        <v>10477000</v>
      </c>
      <c r="AB43" s="27">
        <v>10126000</v>
      </c>
      <c r="AC43" s="28">
        <v>10573000</v>
      </c>
      <c r="AD43" s="27">
        <v>10153000</v>
      </c>
      <c r="AE43" s="28">
        <v>10600000</v>
      </c>
      <c r="AF43" s="27">
        <v>10331000</v>
      </c>
      <c r="AG43" s="28">
        <v>10778000</v>
      </c>
      <c r="AH43" s="27">
        <v>10331000</v>
      </c>
      <c r="AI43" s="28">
        <v>10778000</v>
      </c>
      <c r="AJ43" s="27">
        <v>10124000</v>
      </c>
      <c r="AK43" s="28">
        <v>10571000</v>
      </c>
      <c r="AL43" s="27">
        <v>10480000</v>
      </c>
      <c r="AM43" s="28">
        <v>10927000</v>
      </c>
      <c r="AN43" s="27">
        <v>9791000</v>
      </c>
      <c r="AO43" s="28">
        <v>10238000</v>
      </c>
      <c r="AP43" s="27">
        <v>10347000</v>
      </c>
      <c r="AQ43" s="28">
        <v>10794000</v>
      </c>
      <c r="AR43" s="27">
        <v>10491000</v>
      </c>
      <c r="AS43" s="28">
        <v>10938000</v>
      </c>
      <c r="AT43" s="27">
        <v>10347000</v>
      </c>
      <c r="AU43" s="28">
        <v>10794000</v>
      </c>
      <c r="AV43" s="27">
        <v>10398000</v>
      </c>
      <c r="AW43" s="28">
        <v>10845000</v>
      </c>
      <c r="AX43" s="27">
        <v>10361000</v>
      </c>
      <c r="AY43" s="28">
        <v>10808000</v>
      </c>
      <c r="AZ43" s="27">
        <v>10444000</v>
      </c>
      <c r="BA43" s="28">
        <v>10891000</v>
      </c>
      <c r="BB43" s="27">
        <v>9936000</v>
      </c>
      <c r="BC43" s="28">
        <v>10383000</v>
      </c>
      <c r="BD43" s="27">
        <v>9936000</v>
      </c>
      <c r="BE43" s="28">
        <v>10383000</v>
      </c>
      <c r="BF43" s="27">
        <v>9936000</v>
      </c>
      <c r="BG43" s="28">
        <v>10383000</v>
      </c>
      <c r="BH43" s="27">
        <v>9936000</v>
      </c>
      <c r="BI43" s="28">
        <v>10383000</v>
      </c>
      <c r="BJ43" s="27">
        <v>9926000</v>
      </c>
      <c r="BK43" s="28">
        <v>10373000</v>
      </c>
      <c r="BL43" s="27">
        <v>9988000</v>
      </c>
      <c r="BM43" s="28">
        <v>10435000</v>
      </c>
      <c r="BN43" s="27">
        <v>9988000</v>
      </c>
      <c r="BO43" s="28">
        <v>10435000</v>
      </c>
      <c r="BP43" s="27">
        <v>9975000</v>
      </c>
      <c r="BQ43" s="28">
        <v>10422000</v>
      </c>
      <c r="BR43" s="27">
        <v>9936000</v>
      </c>
      <c r="BS43" s="28">
        <v>10383000</v>
      </c>
      <c r="BT43" s="27">
        <v>9923000</v>
      </c>
      <c r="BU43" s="28">
        <v>10370000</v>
      </c>
      <c r="BV43" s="27">
        <v>9923000</v>
      </c>
      <c r="BW43" s="28">
        <v>10370000</v>
      </c>
      <c r="BX43" s="27">
        <v>9923000</v>
      </c>
      <c r="BY43" s="28">
        <v>10370000</v>
      </c>
      <c r="BZ43" s="27">
        <v>9853000</v>
      </c>
      <c r="CA43" s="28">
        <v>10300000</v>
      </c>
      <c r="CB43" s="27">
        <v>9790000</v>
      </c>
      <c r="CC43" s="28">
        <v>10237000</v>
      </c>
      <c r="CD43" s="27">
        <v>9790000</v>
      </c>
      <c r="CE43" s="28">
        <v>10237000</v>
      </c>
      <c r="CF43" s="27">
        <v>9853000</v>
      </c>
      <c r="CG43" s="28">
        <v>10300000</v>
      </c>
      <c r="CH43" s="27">
        <v>10241000</v>
      </c>
      <c r="CI43" s="28">
        <v>10688000</v>
      </c>
    </row>
    <row r="44" spans="1:87">
      <c r="A44" s="24"/>
      <c r="B44" s="25" t="s">
        <v>210</v>
      </c>
      <c r="C44" s="26">
        <v>380</v>
      </c>
      <c r="D44" s="26">
        <v>360</v>
      </c>
      <c r="E44" s="26">
        <v>450</v>
      </c>
      <c r="F44" s="27">
        <v>19714000</v>
      </c>
      <c r="G44" s="30"/>
      <c r="H44" s="27">
        <v>19373000</v>
      </c>
      <c r="I44" s="30"/>
      <c r="J44" s="27">
        <v>20054000</v>
      </c>
      <c r="K44" s="30"/>
      <c r="L44" s="27">
        <v>19746000</v>
      </c>
      <c r="M44" s="30"/>
      <c r="N44" s="27">
        <v>20586000</v>
      </c>
      <c r="O44" s="30"/>
      <c r="P44" s="27">
        <v>19440000</v>
      </c>
      <c r="Q44" s="30"/>
      <c r="R44" s="27">
        <v>19859000</v>
      </c>
      <c r="S44" s="30"/>
      <c r="T44" s="29"/>
      <c r="U44" s="30"/>
      <c r="V44" s="27">
        <v>19054000</v>
      </c>
      <c r="W44" s="30"/>
      <c r="X44" s="27">
        <v>18991000</v>
      </c>
      <c r="Y44" s="30"/>
      <c r="Z44" s="27">
        <v>19138000</v>
      </c>
      <c r="AA44" s="30"/>
      <c r="AB44" s="27">
        <v>19173000</v>
      </c>
      <c r="AC44" s="30"/>
      <c r="AD44" s="27">
        <v>19189000</v>
      </c>
      <c r="AE44" s="30"/>
      <c r="AF44" s="27">
        <v>19250000</v>
      </c>
      <c r="AG44" s="30"/>
      <c r="AH44" s="27">
        <v>19250000</v>
      </c>
      <c r="AI44" s="30"/>
      <c r="AJ44" s="27">
        <v>19168000</v>
      </c>
      <c r="AK44" s="30"/>
      <c r="AL44" s="27">
        <v>19277000</v>
      </c>
      <c r="AM44" s="30"/>
      <c r="AN44" s="27">
        <v>19066000</v>
      </c>
      <c r="AO44" s="30"/>
      <c r="AP44" s="27">
        <v>19240000</v>
      </c>
      <c r="AQ44" s="30"/>
      <c r="AR44" s="27">
        <v>19283000</v>
      </c>
      <c r="AS44" s="30"/>
      <c r="AT44" s="27">
        <v>19240000</v>
      </c>
      <c r="AU44" s="30"/>
      <c r="AV44" s="27">
        <v>19253000</v>
      </c>
      <c r="AW44" s="30"/>
      <c r="AX44" s="27">
        <v>19242000</v>
      </c>
      <c r="AY44" s="30"/>
      <c r="AZ44" s="27">
        <v>19267000</v>
      </c>
      <c r="BA44" s="30"/>
      <c r="BB44" s="27">
        <v>19099000</v>
      </c>
      <c r="BC44" s="30"/>
      <c r="BD44" s="27">
        <v>19099000</v>
      </c>
      <c r="BE44" s="30"/>
      <c r="BF44" s="27">
        <v>19099000</v>
      </c>
      <c r="BG44" s="30"/>
      <c r="BH44" s="27">
        <v>19099000</v>
      </c>
      <c r="BI44" s="30"/>
      <c r="BJ44" s="27">
        <v>19096000</v>
      </c>
      <c r="BK44" s="30"/>
      <c r="BL44" s="27">
        <v>19115000</v>
      </c>
      <c r="BM44" s="30"/>
      <c r="BN44" s="27">
        <v>19115000</v>
      </c>
      <c r="BO44" s="30"/>
      <c r="BP44" s="27">
        <v>19111000</v>
      </c>
      <c r="BQ44" s="30"/>
      <c r="BR44" s="27">
        <v>19099000</v>
      </c>
      <c r="BS44" s="30"/>
      <c r="BT44" s="27">
        <v>19095000</v>
      </c>
      <c r="BU44" s="30"/>
      <c r="BV44" s="27">
        <v>19095000</v>
      </c>
      <c r="BW44" s="30"/>
      <c r="BX44" s="27">
        <v>19095000</v>
      </c>
      <c r="BY44" s="30"/>
      <c r="BZ44" s="27">
        <v>19102000</v>
      </c>
      <c r="CA44" s="30"/>
      <c r="CB44" s="27">
        <v>19083000</v>
      </c>
      <c r="CC44" s="30"/>
      <c r="CD44" s="27">
        <v>19083000</v>
      </c>
      <c r="CE44" s="30"/>
      <c r="CF44" s="27">
        <v>19102000</v>
      </c>
      <c r="CG44" s="30"/>
      <c r="CH44" s="27">
        <v>19211000</v>
      </c>
      <c r="CI44" s="30"/>
    </row>
    <row r="45" spans="1:87">
      <c r="A45" s="24"/>
      <c r="B45" s="25" t="s">
        <v>211</v>
      </c>
      <c r="C45" s="26">
        <v>380</v>
      </c>
      <c r="D45" s="26">
        <v>360</v>
      </c>
      <c r="E45" s="26">
        <v>600</v>
      </c>
      <c r="F45" s="27">
        <v>20198000</v>
      </c>
      <c r="G45" s="30"/>
      <c r="H45" s="27">
        <v>19743000</v>
      </c>
      <c r="I45" s="30"/>
      <c r="J45" s="27">
        <v>20651000</v>
      </c>
      <c r="K45" s="30"/>
      <c r="L45" s="27">
        <v>20240000</v>
      </c>
      <c r="M45" s="30"/>
      <c r="N45" s="27">
        <v>21360000</v>
      </c>
      <c r="O45" s="30"/>
      <c r="P45" s="27">
        <v>19790000</v>
      </c>
      <c r="Q45" s="30"/>
      <c r="R45" s="27">
        <v>20418000</v>
      </c>
      <c r="S45" s="30"/>
      <c r="T45" s="29"/>
      <c r="U45" s="30"/>
      <c r="V45" s="27">
        <v>19314000</v>
      </c>
      <c r="W45" s="30"/>
      <c r="X45" s="27">
        <v>19230000</v>
      </c>
      <c r="Y45" s="30"/>
      <c r="Z45" s="27">
        <v>19423000</v>
      </c>
      <c r="AA45" s="30"/>
      <c r="AB45" s="27">
        <v>19467000</v>
      </c>
      <c r="AC45" s="30"/>
      <c r="AD45" s="27">
        <v>19486000</v>
      </c>
      <c r="AE45" s="30"/>
      <c r="AF45" s="27">
        <v>19564000</v>
      </c>
      <c r="AG45" s="30"/>
      <c r="AH45" s="27">
        <v>19564000</v>
      </c>
      <c r="AI45" s="30"/>
      <c r="AJ45" s="27">
        <v>19462000</v>
      </c>
      <c r="AK45" s="30"/>
      <c r="AL45" s="27">
        <v>19607000</v>
      </c>
      <c r="AM45" s="30"/>
      <c r="AN45" s="27">
        <v>19327000</v>
      </c>
      <c r="AO45" s="30"/>
      <c r="AP45" s="27">
        <v>19556000</v>
      </c>
      <c r="AQ45" s="30"/>
      <c r="AR45" s="27">
        <v>19614000</v>
      </c>
      <c r="AS45" s="30"/>
      <c r="AT45" s="27">
        <v>19556000</v>
      </c>
      <c r="AU45" s="30"/>
      <c r="AV45" s="27">
        <v>19575000</v>
      </c>
      <c r="AW45" s="30"/>
      <c r="AX45" s="27">
        <v>19560000</v>
      </c>
      <c r="AY45" s="30"/>
      <c r="AZ45" s="27">
        <v>19593000</v>
      </c>
      <c r="BA45" s="30"/>
      <c r="BB45" s="27">
        <v>19374000</v>
      </c>
      <c r="BC45" s="30"/>
      <c r="BD45" s="27">
        <v>19374000</v>
      </c>
      <c r="BE45" s="30"/>
      <c r="BF45" s="27">
        <v>19374000</v>
      </c>
      <c r="BG45" s="30"/>
      <c r="BH45" s="27">
        <v>19374000</v>
      </c>
      <c r="BI45" s="30"/>
      <c r="BJ45" s="27">
        <v>19370000</v>
      </c>
      <c r="BK45" s="30"/>
      <c r="BL45" s="27">
        <v>19395000</v>
      </c>
      <c r="BM45" s="30"/>
      <c r="BN45" s="27">
        <v>19395000</v>
      </c>
      <c r="BO45" s="30"/>
      <c r="BP45" s="27">
        <v>19390000</v>
      </c>
      <c r="BQ45" s="30"/>
      <c r="BR45" s="27">
        <v>19374000</v>
      </c>
      <c r="BS45" s="30"/>
      <c r="BT45" s="27">
        <v>19369000</v>
      </c>
      <c r="BU45" s="30"/>
      <c r="BV45" s="27">
        <v>19369000</v>
      </c>
      <c r="BW45" s="30"/>
      <c r="BX45" s="27">
        <v>19369000</v>
      </c>
      <c r="BY45" s="30"/>
      <c r="BZ45" s="27">
        <v>19369000</v>
      </c>
      <c r="CA45" s="30"/>
      <c r="CB45" s="27">
        <v>19344000</v>
      </c>
      <c r="CC45" s="30"/>
      <c r="CD45" s="27">
        <v>19344000</v>
      </c>
      <c r="CE45" s="30"/>
      <c r="CF45" s="27">
        <v>19369000</v>
      </c>
      <c r="CG45" s="30"/>
      <c r="CH45" s="27">
        <v>19517000</v>
      </c>
      <c r="CI45" s="30"/>
    </row>
    <row r="46" spans="1:87">
      <c r="A46" s="24"/>
      <c r="B46" s="25" t="s">
        <v>212</v>
      </c>
      <c r="C46" s="26">
        <v>380</v>
      </c>
      <c r="D46" s="26">
        <v>360</v>
      </c>
      <c r="E46" s="26">
        <v>900</v>
      </c>
      <c r="F46" s="27">
        <v>21147000</v>
      </c>
      <c r="G46" s="30"/>
      <c r="H46" s="27">
        <v>20464000</v>
      </c>
      <c r="I46" s="30"/>
      <c r="J46" s="27">
        <v>21827000</v>
      </c>
      <c r="K46" s="30"/>
      <c r="L46" s="27">
        <v>21210000</v>
      </c>
      <c r="M46" s="30"/>
      <c r="N46" s="27">
        <v>22890000</v>
      </c>
      <c r="O46" s="30"/>
      <c r="P46" s="27">
        <v>20472000</v>
      </c>
      <c r="Q46" s="30"/>
      <c r="R46" s="27">
        <v>21518000</v>
      </c>
      <c r="S46" s="30"/>
      <c r="T46" s="29"/>
      <c r="U46" s="30"/>
      <c r="V46" s="27">
        <v>19816000</v>
      </c>
      <c r="W46" s="30"/>
      <c r="X46" s="27">
        <v>19690000</v>
      </c>
      <c r="Y46" s="30"/>
      <c r="Z46" s="27">
        <v>19973000</v>
      </c>
      <c r="AA46" s="30"/>
      <c r="AB46" s="27">
        <v>20036000</v>
      </c>
      <c r="AC46" s="30"/>
      <c r="AD46" s="27">
        <v>20061000</v>
      </c>
      <c r="AE46" s="30"/>
      <c r="AF46" s="27">
        <v>20175000</v>
      </c>
      <c r="AG46" s="30"/>
      <c r="AH46" s="27">
        <v>20175000</v>
      </c>
      <c r="AI46" s="30"/>
      <c r="AJ46" s="27">
        <v>20031000</v>
      </c>
      <c r="AK46" s="30"/>
      <c r="AL46" s="27">
        <v>20247000</v>
      </c>
      <c r="AM46" s="30"/>
      <c r="AN46" s="27">
        <v>19829000</v>
      </c>
      <c r="AO46" s="30"/>
      <c r="AP46" s="27">
        <v>20170000</v>
      </c>
      <c r="AQ46" s="30"/>
      <c r="AR46" s="27">
        <v>20256000</v>
      </c>
      <c r="AS46" s="30"/>
      <c r="AT46" s="27">
        <v>20170000</v>
      </c>
      <c r="AU46" s="30"/>
      <c r="AV46" s="27">
        <v>20198000</v>
      </c>
      <c r="AW46" s="30"/>
      <c r="AX46" s="27">
        <v>20176000</v>
      </c>
      <c r="AY46" s="30"/>
      <c r="AZ46" s="27">
        <v>20226000</v>
      </c>
      <c r="BA46" s="30"/>
      <c r="BB46" s="27">
        <v>19905000</v>
      </c>
      <c r="BC46" s="30"/>
      <c r="BD46" s="27">
        <v>19905000</v>
      </c>
      <c r="BE46" s="30"/>
      <c r="BF46" s="27">
        <v>19905000</v>
      </c>
      <c r="BG46" s="30"/>
      <c r="BH46" s="27">
        <v>19905000</v>
      </c>
      <c r="BI46" s="30"/>
      <c r="BJ46" s="27">
        <v>19900000</v>
      </c>
      <c r="BK46" s="30"/>
      <c r="BL46" s="27">
        <v>19937000</v>
      </c>
      <c r="BM46" s="30"/>
      <c r="BN46" s="27">
        <v>19937000</v>
      </c>
      <c r="BO46" s="30"/>
      <c r="BP46" s="27">
        <v>19929000</v>
      </c>
      <c r="BQ46" s="30"/>
      <c r="BR46" s="27">
        <v>19905000</v>
      </c>
      <c r="BS46" s="30"/>
      <c r="BT46" s="27">
        <v>19898000</v>
      </c>
      <c r="BU46" s="30"/>
      <c r="BV46" s="27">
        <v>19898000</v>
      </c>
      <c r="BW46" s="30"/>
      <c r="BX46" s="27">
        <v>19898000</v>
      </c>
      <c r="BY46" s="30"/>
      <c r="BZ46" s="27">
        <v>19883000</v>
      </c>
      <c r="CA46" s="30"/>
      <c r="CB46" s="27">
        <v>19846000</v>
      </c>
      <c r="CC46" s="30"/>
      <c r="CD46" s="27">
        <v>19846000</v>
      </c>
      <c r="CE46" s="30"/>
      <c r="CF46" s="27">
        <v>19883000</v>
      </c>
      <c r="CG46" s="30"/>
      <c r="CH46" s="27">
        <v>20109000</v>
      </c>
      <c r="CI46" s="30"/>
    </row>
    <row r="47" spans="1:87">
      <c r="A47" s="24"/>
      <c r="B47" s="25" t="s">
        <v>213</v>
      </c>
      <c r="C47" s="26">
        <v>380</v>
      </c>
      <c r="D47" s="26">
        <v>600</v>
      </c>
      <c r="E47" s="26">
        <v>450</v>
      </c>
      <c r="F47" s="27">
        <v>20797000</v>
      </c>
      <c r="G47" s="30"/>
      <c r="H47" s="27">
        <v>20228000</v>
      </c>
      <c r="I47" s="30"/>
      <c r="J47" s="27">
        <v>21363000</v>
      </c>
      <c r="K47" s="30"/>
      <c r="L47" s="27">
        <v>20849000</v>
      </c>
      <c r="M47" s="30"/>
      <c r="N47" s="27">
        <v>22250000</v>
      </c>
      <c r="O47" s="30"/>
      <c r="P47" s="27">
        <v>20170000</v>
      </c>
      <c r="Q47" s="30"/>
      <c r="R47" s="27">
        <v>21067000</v>
      </c>
      <c r="S47" s="30"/>
      <c r="T47" s="29"/>
      <c r="U47" s="30"/>
      <c r="V47" s="27">
        <v>19688000</v>
      </c>
      <c r="W47" s="30"/>
      <c r="X47" s="27">
        <v>19583000</v>
      </c>
      <c r="Y47" s="30"/>
      <c r="Z47" s="27">
        <v>19819000</v>
      </c>
      <c r="AA47" s="30"/>
      <c r="AB47" s="27">
        <v>19872000</v>
      </c>
      <c r="AC47" s="30"/>
      <c r="AD47" s="27">
        <v>19892000</v>
      </c>
      <c r="AE47" s="30"/>
      <c r="AF47" s="27">
        <v>19987000</v>
      </c>
      <c r="AG47" s="30"/>
      <c r="AH47" s="27">
        <v>19987000</v>
      </c>
      <c r="AI47" s="30"/>
      <c r="AJ47" s="27">
        <v>19867000</v>
      </c>
      <c r="AK47" s="30"/>
      <c r="AL47" s="27">
        <v>20047000</v>
      </c>
      <c r="AM47" s="30"/>
      <c r="AN47" s="27">
        <v>19699000</v>
      </c>
      <c r="AO47" s="30"/>
      <c r="AP47" s="27">
        <v>19983000</v>
      </c>
      <c r="AQ47" s="30"/>
      <c r="AR47" s="27">
        <v>20055000</v>
      </c>
      <c r="AS47" s="30"/>
      <c r="AT47" s="27">
        <v>19983000</v>
      </c>
      <c r="AU47" s="30"/>
      <c r="AV47" s="27">
        <v>20006000</v>
      </c>
      <c r="AW47" s="30"/>
      <c r="AX47" s="27">
        <v>19988000</v>
      </c>
      <c r="AY47" s="30"/>
      <c r="AZ47" s="27">
        <v>20029000</v>
      </c>
      <c r="BA47" s="30"/>
      <c r="BB47" s="27">
        <v>19762000</v>
      </c>
      <c r="BC47" s="30"/>
      <c r="BD47" s="27">
        <v>19762000</v>
      </c>
      <c r="BE47" s="30"/>
      <c r="BF47" s="27">
        <v>19762000</v>
      </c>
      <c r="BG47" s="30"/>
      <c r="BH47" s="27">
        <v>19762000</v>
      </c>
      <c r="BI47" s="30"/>
      <c r="BJ47" s="27">
        <v>19758000</v>
      </c>
      <c r="BK47" s="30"/>
      <c r="BL47" s="27">
        <v>19789000</v>
      </c>
      <c r="BM47" s="30"/>
      <c r="BN47" s="27">
        <v>19789000</v>
      </c>
      <c r="BO47" s="30"/>
      <c r="BP47" s="27">
        <v>19782000</v>
      </c>
      <c r="BQ47" s="30"/>
      <c r="BR47" s="27">
        <v>19762000</v>
      </c>
      <c r="BS47" s="30"/>
      <c r="BT47" s="27">
        <v>19756000</v>
      </c>
      <c r="BU47" s="30"/>
      <c r="BV47" s="27">
        <v>19756000</v>
      </c>
      <c r="BW47" s="30"/>
      <c r="BX47" s="27">
        <v>19756000</v>
      </c>
      <c r="BY47" s="30"/>
      <c r="BZ47" s="27">
        <v>19744000</v>
      </c>
      <c r="CA47" s="30"/>
      <c r="CB47" s="27">
        <v>19713000</v>
      </c>
      <c r="CC47" s="30"/>
      <c r="CD47" s="27">
        <v>19713000</v>
      </c>
      <c r="CE47" s="30"/>
      <c r="CF47" s="27">
        <v>19744000</v>
      </c>
      <c r="CG47" s="30"/>
      <c r="CH47" s="27">
        <v>19932000</v>
      </c>
      <c r="CI47" s="30"/>
    </row>
    <row r="48" spans="1:87">
      <c r="A48" s="24"/>
      <c r="B48" s="25" t="s">
        <v>214</v>
      </c>
      <c r="C48" s="26">
        <v>380</v>
      </c>
      <c r="D48" s="26">
        <v>600</v>
      </c>
      <c r="E48" s="26">
        <v>600</v>
      </c>
      <c r="F48" s="27">
        <v>21563000</v>
      </c>
      <c r="G48" s="30"/>
      <c r="H48" s="27">
        <v>20805000</v>
      </c>
      <c r="I48" s="30"/>
      <c r="J48" s="27">
        <v>22318000</v>
      </c>
      <c r="K48" s="30"/>
      <c r="L48" s="27">
        <v>21633000</v>
      </c>
      <c r="M48" s="30"/>
      <c r="N48" s="27">
        <v>23500000</v>
      </c>
      <c r="O48" s="30"/>
      <c r="P48" s="27">
        <v>20663000</v>
      </c>
      <c r="Q48" s="30"/>
      <c r="R48" s="27">
        <v>22008000</v>
      </c>
      <c r="S48" s="30"/>
      <c r="T48" s="29"/>
      <c r="U48" s="30"/>
      <c r="V48" s="27">
        <v>20078000</v>
      </c>
      <c r="W48" s="30"/>
      <c r="X48" s="27">
        <v>19938000</v>
      </c>
      <c r="Y48" s="30"/>
      <c r="Z48" s="27">
        <v>20246000</v>
      </c>
      <c r="AA48" s="30"/>
      <c r="AB48" s="27">
        <v>20314000</v>
      </c>
      <c r="AC48" s="30"/>
      <c r="AD48" s="27">
        <v>20336000</v>
      </c>
      <c r="AE48" s="30"/>
      <c r="AF48" s="27">
        <v>20459000</v>
      </c>
      <c r="AG48" s="30"/>
      <c r="AH48" s="27">
        <v>20459000</v>
      </c>
      <c r="AI48" s="30"/>
      <c r="AJ48" s="27">
        <v>20310000</v>
      </c>
      <c r="AK48" s="30"/>
      <c r="AL48" s="27">
        <v>20548000</v>
      </c>
      <c r="AM48" s="30"/>
      <c r="AN48" s="27">
        <v>20087000</v>
      </c>
      <c r="AO48" s="30"/>
      <c r="AP48" s="27">
        <v>20461000</v>
      </c>
      <c r="AQ48" s="30"/>
      <c r="AR48" s="27">
        <v>20557000</v>
      </c>
      <c r="AS48" s="30"/>
      <c r="AT48" s="27">
        <v>20461000</v>
      </c>
      <c r="AU48" s="30"/>
      <c r="AV48" s="27">
        <v>20494000</v>
      </c>
      <c r="AW48" s="30"/>
      <c r="AX48" s="27">
        <v>20470000</v>
      </c>
      <c r="AY48" s="30"/>
      <c r="AZ48" s="27">
        <v>20524000</v>
      </c>
      <c r="BA48" s="30"/>
      <c r="BB48" s="27">
        <v>20177000</v>
      </c>
      <c r="BC48" s="30"/>
      <c r="BD48" s="27">
        <v>20177000</v>
      </c>
      <c r="BE48" s="30"/>
      <c r="BF48" s="27">
        <v>20177000</v>
      </c>
      <c r="BG48" s="30"/>
      <c r="BH48" s="27">
        <v>20177000</v>
      </c>
      <c r="BI48" s="30"/>
      <c r="BJ48" s="27">
        <v>20171000</v>
      </c>
      <c r="BK48" s="30"/>
      <c r="BL48" s="27">
        <v>20212000</v>
      </c>
      <c r="BM48" s="30"/>
      <c r="BN48" s="27">
        <v>20212000</v>
      </c>
      <c r="BO48" s="30"/>
      <c r="BP48" s="27">
        <v>20203000</v>
      </c>
      <c r="BQ48" s="30"/>
      <c r="BR48" s="27">
        <v>20177000</v>
      </c>
      <c r="BS48" s="30"/>
      <c r="BT48" s="27">
        <v>20169000</v>
      </c>
      <c r="BU48" s="30"/>
      <c r="BV48" s="27">
        <v>20169000</v>
      </c>
      <c r="BW48" s="30"/>
      <c r="BX48" s="27">
        <v>20169000</v>
      </c>
      <c r="BY48" s="30"/>
      <c r="BZ48" s="27">
        <v>20137000</v>
      </c>
      <c r="CA48" s="30"/>
      <c r="CB48" s="27">
        <v>20095000</v>
      </c>
      <c r="CC48" s="30"/>
      <c r="CD48" s="27">
        <v>20095000</v>
      </c>
      <c r="CE48" s="30"/>
      <c r="CF48" s="27">
        <v>20137000</v>
      </c>
      <c r="CG48" s="30"/>
      <c r="CH48" s="27">
        <v>20392000</v>
      </c>
      <c r="CI48" s="30"/>
    </row>
    <row r="49" spans="1:87">
      <c r="A49" s="24"/>
      <c r="B49" s="25" t="s">
        <v>215</v>
      </c>
      <c r="C49" s="26">
        <v>380</v>
      </c>
      <c r="D49" s="26">
        <v>600</v>
      </c>
      <c r="E49" s="26">
        <v>900</v>
      </c>
      <c r="F49" s="27">
        <v>23074000</v>
      </c>
      <c r="G49" s="30"/>
      <c r="H49" s="27">
        <v>21936000</v>
      </c>
      <c r="I49" s="30"/>
      <c r="J49" s="27">
        <v>24206000</v>
      </c>
      <c r="K49" s="30"/>
      <c r="L49" s="27">
        <v>23178000</v>
      </c>
      <c r="M49" s="30"/>
      <c r="N49" s="27">
        <v>25979000</v>
      </c>
      <c r="O49" s="30"/>
      <c r="P49" s="27">
        <v>21628000</v>
      </c>
      <c r="Q49" s="30"/>
      <c r="R49" s="27">
        <v>23870000</v>
      </c>
      <c r="S49" s="30"/>
      <c r="T49" s="29"/>
      <c r="U49" s="30"/>
      <c r="V49" s="27">
        <v>20838000</v>
      </c>
      <c r="W49" s="30"/>
      <c r="X49" s="27">
        <v>20628000</v>
      </c>
      <c r="Y49" s="30"/>
      <c r="Z49" s="27">
        <v>21080000</v>
      </c>
      <c r="AA49" s="30"/>
      <c r="AB49" s="27">
        <v>21176000</v>
      </c>
      <c r="AC49" s="30"/>
      <c r="AD49" s="27">
        <v>21203000</v>
      </c>
      <c r="AE49" s="30"/>
      <c r="AF49" s="27">
        <v>21381000</v>
      </c>
      <c r="AG49" s="30"/>
      <c r="AH49" s="27">
        <v>21381000</v>
      </c>
      <c r="AI49" s="30"/>
      <c r="AJ49" s="27">
        <v>21174000</v>
      </c>
      <c r="AK49" s="30"/>
      <c r="AL49" s="27">
        <v>21530000</v>
      </c>
      <c r="AM49" s="30"/>
      <c r="AN49" s="27">
        <v>20841000</v>
      </c>
      <c r="AO49" s="30"/>
      <c r="AP49" s="27">
        <v>21397000</v>
      </c>
      <c r="AQ49" s="30"/>
      <c r="AR49" s="27">
        <v>21541000</v>
      </c>
      <c r="AS49" s="30"/>
      <c r="AT49" s="27">
        <v>21397000</v>
      </c>
      <c r="AU49" s="30"/>
      <c r="AV49" s="27">
        <v>21448000</v>
      </c>
      <c r="AW49" s="30"/>
      <c r="AX49" s="27">
        <v>21411000</v>
      </c>
      <c r="AY49" s="30"/>
      <c r="AZ49" s="27">
        <v>21494000</v>
      </c>
      <c r="BA49" s="30"/>
      <c r="BB49" s="27">
        <v>20986000</v>
      </c>
      <c r="BC49" s="30"/>
      <c r="BD49" s="27">
        <v>20986000</v>
      </c>
      <c r="BE49" s="30"/>
      <c r="BF49" s="27">
        <v>20986000</v>
      </c>
      <c r="BG49" s="30"/>
      <c r="BH49" s="27">
        <v>20986000</v>
      </c>
      <c r="BI49" s="30"/>
      <c r="BJ49" s="27">
        <v>20976000</v>
      </c>
      <c r="BK49" s="30"/>
      <c r="BL49" s="27">
        <v>21038000</v>
      </c>
      <c r="BM49" s="30"/>
      <c r="BN49" s="27">
        <v>21038000</v>
      </c>
      <c r="BO49" s="30"/>
      <c r="BP49" s="27">
        <v>21025000</v>
      </c>
      <c r="BQ49" s="30"/>
      <c r="BR49" s="27">
        <v>20986000</v>
      </c>
      <c r="BS49" s="30"/>
      <c r="BT49" s="27">
        <v>20973000</v>
      </c>
      <c r="BU49" s="30"/>
      <c r="BV49" s="27">
        <v>20973000</v>
      </c>
      <c r="BW49" s="30"/>
      <c r="BX49" s="27">
        <v>20973000</v>
      </c>
      <c r="BY49" s="30"/>
      <c r="BZ49" s="27">
        <v>20903000</v>
      </c>
      <c r="CA49" s="30"/>
      <c r="CB49" s="27">
        <v>20840000</v>
      </c>
      <c r="CC49" s="30"/>
      <c r="CD49" s="27">
        <v>20840000</v>
      </c>
      <c r="CE49" s="30"/>
      <c r="CF49" s="27">
        <v>20903000</v>
      </c>
      <c r="CG49" s="30"/>
      <c r="CH49" s="27">
        <v>21291000</v>
      </c>
      <c r="CI49" s="30"/>
    </row>
    <row r="50" spans="1:87" ht="63" customHeight="1">
      <c r="A50" s="16" t="e">
        <f ca="1">_xludf.image("https://lh3.google.com/u/0/d/1I0hL5Y8m1uvQoAGRraoPC29eLMKdPCX0",1)</f>
        <v>#NAME?</v>
      </c>
      <c r="B50" s="17" t="s">
        <v>216</v>
      </c>
      <c r="C50" s="147"/>
      <c r="D50" s="145"/>
      <c r="E50" s="146"/>
      <c r="F50" s="63"/>
      <c r="G50" s="64"/>
      <c r="H50" s="63"/>
      <c r="I50" s="64"/>
      <c r="J50" s="63"/>
      <c r="K50" s="64"/>
      <c r="L50" s="63"/>
      <c r="M50" s="64"/>
      <c r="N50" s="63"/>
      <c r="O50" s="64"/>
      <c r="P50" s="63"/>
      <c r="Q50" s="64"/>
      <c r="R50" s="63"/>
      <c r="S50" s="64"/>
      <c r="T50" s="63"/>
      <c r="U50" s="64"/>
      <c r="V50" s="63"/>
      <c r="W50" s="64"/>
      <c r="X50" s="63"/>
      <c r="Y50" s="64"/>
      <c r="Z50" s="63"/>
      <c r="AA50" s="64"/>
      <c r="AB50" s="63"/>
      <c r="AC50" s="64"/>
      <c r="AD50" s="63"/>
      <c r="AE50" s="64"/>
      <c r="AF50" s="63"/>
      <c r="AG50" s="64"/>
      <c r="AH50" s="63"/>
      <c r="AI50" s="64"/>
      <c r="AJ50" s="63"/>
      <c r="AK50" s="64"/>
      <c r="AL50" s="63"/>
      <c r="AM50" s="64"/>
      <c r="AN50" s="63"/>
      <c r="AO50" s="64"/>
      <c r="AP50" s="63"/>
      <c r="AQ50" s="64"/>
      <c r="AR50" s="63"/>
      <c r="AS50" s="64"/>
      <c r="AT50" s="63"/>
      <c r="AU50" s="64"/>
      <c r="AV50" s="63"/>
      <c r="AW50" s="64"/>
      <c r="AX50" s="63"/>
      <c r="AY50" s="64"/>
      <c r="AZ50" s="63"/>
      <c r="BA50" s="64"/>
      <c r="BB50" s="63"/>
      <c r="BC50" s="64"/>
      <c r="BD50" s="63"/>
      <c r="BE50" s="64"/>
      <c r="BF50" s="63"/>
      <c r="BG50" s="64"/>
      <c r="BH50" s="63"/>
      <c r="BI50" s="64"/>
      <c r="BJ50" s="63"/>
      <c r="BK50" s="64"/>
      <c r="BL50" s="63"/>
      <c r="BM50" s="64"/>
      <c r="BN50" s="63"/>
      <c r="BO50" s="64"/>
      <c r="BP50" s="63"/>
      <c r="BQ50" s="64"/>
      <c r="BR50" s="63"/>
      <c r="BS50" s="64"/>
      <c r="BT50" s="63"/>
      <c r="BU50" s="64"/>
      <c r="BV50" s="63"/>
      <c r="BW50" s="64"/>
      <c r="BX50" s="63"/>
      <c r="BY50" s="64"/>
      <c r="BZ50" s="63"/>
      <c r="CA50" s="64"/>
      <c r="CB50" s="63"/>
      <c r="CC50" s="64"/>
      <c r="CD50" s="63"/>
      <c r="CE50" s="64"/>
      <c r="CF50" s="63"/>
      <c r="CG50" s="64"/>
      <c r="CH50" s="63"/>
      <c r="CI50" s="64"/>
    </row>
    <row r="51" spans="1:87" ht="12.75">
      <c r="A51" s="20"/>
      <c r="B51" s="138" t="s">
        <v>217</v>
      </c>
      <c r="C51" s="136"/>
      <c r="D51" s="136"/>
      <c r="E51" s="137"/>
      <c r="F51" s="22"/>
      <c r="G51" s="23"/>
      <c r="H51" s="22"/>
      <c r="I51" s="23"/>
      <c r="J51" s="22"/>
      <c r="K51" s="23"/>
      <c r="L51" s="22"/>
      <c r="M51" s="23"/>
      <c r="N51" s="22"/>
      <c r="O51" s="23"/>
      <c r="P51" s="22"/>
      <c r="Q51" s="23"/>
      <c r="R51" s="22"/>
      <c r="S51" s="23"/>
      <c r="T51" s="22"/>
      <c r="U51" s="23"/>
      <c r="V51" s="22"/>
      <c r="W51" s="23"/>
      <c r="X51" s="22"/>
      <c r="Y51" s="23"/>
      <c r="Z51" s="22"/>
      <c r="AA51" s="23"/>
      <c r="AB51" s="22"/>
      <c r="AC51" s="23"/>
      <c r="AD51" s="22"/>
      <c r="AE51" s="23"/>
      <c r="AF51" s="22"/>
      <c r="AG51" s="23"/>
      <c r="AH51" s="22"/>
      <c r="AI51" s="23"/>
      <c r="AJ51" s="22"/>
      <c r="AK51" s="23"/>
      <c r="AL51" s="22"/>
      <c r="AM51" s="23"/>
      <c r="AN51" s="22"/>
      <c r="AO51" s="23"/>
      <c r="AP51" s="22"/>
      <c r="AQ51" s="23"/>
      <c r="AR51" s="22"/>
      <c r="AS51" s="23"/>
      <c r="AT51" s="22"/>
      <c r="AU51" s="23"/>
      <c r="AV51" s="22"/>
      <c r="AW51" s="23"/>
      <c r="AX51" s="22"/>
      <c r="AY51" s="23"/>
      <c r="AZ51" s="22"/>
      <c r="BA51" s="23"/>
      <c r="BB51" s="22"/>
      <c r="BC51" s="23"/>
      <c r="BD51" s="22"/>
      <c r="BE51" s="23"/>
      <c r="BF51" s="22"/>
      <c r="BG51" s="23"/>
      <c r="BH51" s="22"/>
      <c r="BI51" s="23"/>
      <c r="BJ51" s="22"/>
      <c r="BK51" s="23"/>
      <c r="BL51" s="22"/>
      <c r="BM51" s="23"/>
      <c r="BN51" s="22"/>
      <c r="BO51" s="23"/>
      <c r="BP51" s="22"/>
      <c r="BQ51" s="23"/>
      <c r="BR51" s="22"/>
      <c r="BS51" s="23"/>
      <c r="BT51" s="22"/>
      <c r="BU51" s="23"/>
      <c r="BV51" s="22"/>
      <c r="BW51" s="23"/>
      <c r="BX51" s="22"/>
      <c r="BY51" s="23"/>
      <c r="BZ51" s="22"/>
      <c r="CA51" s="23"/>
      <c r="CB51" s="22"/>
      <c r="CC51" s="23"/>
      <c r="CD51" s="22"/>
      <c r="CE51" s="23"/>
      <c r="CF51" s="22"/>
      <c r="CG51" s="23"/>
      <c r="CH51" s="22"/>
      <c r="CI51" s="23"/>
    </row>
    <row r="52" spans="1:87">
      <c r="A52" s="24"/>
      <c r="B52" s="25" t="s">
        <v>218</v>
      </c>
      <c r="C52" s="26">
        <v>380</v>
      </c>
      <c r="D52" s="26">
        <v>723</v>
      </c>
      <c r="E52" s="26">
        <v>450</v>
      </c>
      <c r="F52" s="27">
        <v>7449000</v>
      </c>
      <c r="G52" s="28">
        <v>7672000</v>
      </c>
      <c r="H52" s="27">
        <v>6764000</v>
      </c>
      <c r="I52" s="28">
        <v>6987000</v>
      </c>
      <c r="J52" s="27">
        <v>8131000</v>
      </c>
      <c r="K52" s="28">
        <v>8354000</v>
      </c>
      <c r="L52" s="27">
        <v>7512000</v>
      </c>
      <c r="M52" s="28">
        <v>7735000</v>
      </c>
      <c r="N52" s="27">
        <v>9199000</v>
      </c>
      <c r="O52" s="28">
        <v>9422000</v>
      </c>
      <c r="P52" s="27">
        <v>6641000</v>
      </c>
      <c r="Q52" s="28">
        <v>6864000</v>
      </c>
      <c r="R52" s="27">
        <v>7783000</v>
      </c>
      <c r="S52" s="28">
        <v>8006000</v>
      </c>
      <c r="T52" s="29"/>
      <c r="U52" s="30"/>
      <c r="V52" s="27">
        <v>6122000</v>
      </c>
      <c r="W52" s="28">
        <v>6345000</v>
      </c>
      <c r="X52" s="27">
        <v>5995000</v>
      </c>
      <c r="Y52" s="28">
        <v>6218000</v>
      </c>
      <c r="Z52" s="27">
        <v>6292000</v>
      </c>
      <c r="AA52" s="28">
        <v>6515000</v>
      </c>
      <c r="AB52" s="27">
        <v>6361000</v>
      </c>
      <c r="AC52" s="28">
        <v>6584000</v>
      </c>
      <c r="AD52" s="27">
        <v>6394000</v>
      </c>
      <c r="AE52" s="28">
        <v>6617000</v>
      </c>
      <c r="AF52" s="27">
        <v>6516000</v>
      </c>
      <c r="AG52" s="28">
        <v>6739000</v>
      </c>
      <c r="AH52" s="27">
        <v>6516000</v>
      </c>
      <c r="AI52" s="28">
        <v>6739000</v>
      </c>
      <c r="AJ52" s="27">
        <v>6352000</v>
      </c>
      <c r="AK52" s="28">
        <v>6575000</v>
      </c>
      <c r="AL52" s="27">
        <v>6571000</v>
      </c>
      <c r="AM52" s="28">
        <v>6794000</v>
      </c>
      <c r="AN52" s="27">
        <v>6147000</v>
      </c>
      <c r="AO52" s="28">
        <v>6370000</v>
      </c>
      <c r="AP52" s="27">
        <v>6497000</v>
      </c>
      <c r="AQ52" s="28">
        <v>6720000</v>
      </c>
      <c r="AR52" s="27">
        <v>6583000</v>
      </c>
      <c r="AS52" s="28">
        <v>6806000</v>
      </c>
      <c r="AT52" s="27">
        <v>6497000</v>
      </c>
      <c r="AU52" s="28">
        <v>6720000</v>
      </c>
      <c r="AV52" s="27">
        <v>6523000</v>
      </c>
      <c r="AW52" s="28">
        <v>6746000</v>
      </c>
      <c r="AX52" s="27">
        <v>6501000</v>
      </c>
      <c r="AY52" s="28">
        <v>6724000</v>
      </c>
      <c r="AZ52" s="27">
        <v>6550000</v>
      </c>
      <c r="BA52" s="28">
        <v>6773000</v>
      </c>
      <c r="BB52" s="27">
        <v>6213000</v>
      </c>
      <c r="BC52" s="28">
        <v>6436000</v>
      </c>
      <c r="BD52" s="27">
        <v>6213000</v>
      </c>
      <c r="BE52" s="28">
        <v>6436000</v>
      </c>
      <c r="BF52" s="27">
        <v>6213000</v>
      </c>
      <c r="BG52" s="28">
        <v>6436000</v>
      </c>
      <c r="BH52" s="27">
        <v>6213000</v>
      </c>
      <c r="BI52" s="28">
        <v>6436000</v>
      </c>
      <c r="BJ52" s="27">
        <v>6207000</v>
      </c>
      <c r="BK52" s="28">
        <v>6430000</v>
      </c>
      <c r="BL52" s="27">
        <v>6244000</v>
      </c>
      <c r="BM52" s="28">
        <v>6467000</v>
      </c>
      <c r="BN52" s="27">
        <v>6244000</v>
      </c>
      <c r="BO52" s="28">
        <v>6467000</v>
      </c>
      <c r="BP52" s="27">
        <v>6237000</v>
      </c>
      <c r="BQ52" s="28">
        <v>6460000</v>
      </c>
      <c r="BR52" s="27">
        <v>6213000</v>
      </c>
      <c r="BS52" s="28">
        <v>6436000</v>
      </c>
      <c r="BT52" s="27">
        <v>6205000</v>
      </c>
      <c r="BU52" s="28">
        <v>6428000</v>
      </c>
      <c r="BV52" s="27">
        <v>6205000</v>
      </c>
      <c r="BW52" s="28">
        <v>6428000</v>
      </c>
      <c r="BX52" s="27">
        <v>6205000</v>
      </c>
      <c r="BY52" s="28">
        <v>6428000</v>
      </c>
      <c r="BZ52" s="27">
        <v>6219000</v>
      </c>
      <c r="CA52" s="28">
        <v>6442000</v>
      </c>
      <c r="CB52" s="27">
        <v>6181000</v>
      </c>
      <c r="CC52" s="28">
        <v>6404000</v>
      </c>
      <c r="CD52" s="27">
        <v>6181000</v>
      </c>
      <c r="CE52" s="28">
        <v>6404000</v>
      </c>
      <c r="CF52" s="27">
        <v>6219000</v>
      </c>
      <c r="CG52" s="28">
        <v>6442000</v>
      </c>
      <c r="CH52" s="27">
        <v>6438000</v>
      </c>
      <c r="CI52" s="28">
        <v>6661000</v>
      </c>
    </row>
    <row r="53" spans="1:87">
      <c r="A53" s="24"/>
      <c r="B53" s="25" t="s">
        <v>219</v>
      </c>
      <c r="C53" s="26">
        <v>380</v>
      </c>
      <c r="D53" s="26">
        <v>723</v>
      </c>
      <c r="E53" s="26">
        <v>600</v>
      </c>
      <c r="F53" s="27">
        <v>8316000</v>
      </c>
      <c r="G53" s="28">
        <v>8613000</v>
      </c>
      <c r="H53" s="27">
        <v>7402000</v>
      </c>
      <c r="I53" s="28">
        <v>7699000</v>
      </c>
      <c r="J53" s="27">
        <v>9226000</v>
      </c>
      <c r="K53" s="28">
        <v>9523000</v>
      </c>
      <c r="L53" s="27">
        <v>8400000</v>
      </c>
      <c r="M53" s="28">
        <v>8697000</v>
      </c>
      <c r="N53" s="27">
        <v>10650000</v>
      </c>
      <c r="O53" s="28">
        <v>10947000</v>
      </c>
      <c r="P53" s="27">
        <v>7164000</v>
      </c>
      <c r="Q53" s="28">
        <v>7461000</v>
      </c>
      <c r="R53" s="27">
        <v>8877000</v>
      </c>
      <c r="S53" s="28">
        <v>9174000</v>
      </c>
      <c r="T53" s="29"/>
      <c r="U53" s="30"/>
      <c r="V53" s="27">
        <v>6540000</v>
      </c>
      <c r="W53" s="28">
        <v>6837000</v>
      </c>
      <c r="X53" s="27">
        <v>6372000</v>
      </c>
      <c r="Y53" s="28">
        <v>6669000</v>
      </c>
      <c r="Z53" s="27">
        <v>6759000</v>
      </c>
      <c r="AA53" s="28">
        <v>7056000</v>
      </c>
      <c r="AB53" s="27">
        <v>6847000</v>
      </c>
      <c r="AC53" s="28">
        <v>7144000</v>
      </c>
      <c r="AD53" s="27">
        <v>6885000</v>
      </c>
      <c r="AE53" s="28">
        <v>7182000</v>
      </c>
      <c r="AF53" s="27">
        <v>7043000</v>
      </c>
      <c r="AG53" s="28">
        <v>7340000</v>
      </c>
      <c r="AH53" s="27">
        <v>7043000</v>
      </c>
      <c r="AI53" s="28">
        <v>7340000</v>
      </c>
      <c r="AJ53" s="27">
        <v>6838000</v>
      </c>
      <c r="AK53" s="28">
        <v>7135000</v>
      </c>
      <c r="AL53" s="27">
        <v>7128000</v>
      </c>
      <c r="AM53" s="28">
        <v>7425000</v>
      </c>
      <c r="AN53" s="27">
        <v>6566000</v>
      </c>
      <c r="AO53" s="28">
        <v>6863000</v>
      </c>
      <c r="AP53" s="27">
        <v>7027000</v>
      </c>
      <c r="AQ53" s="28">
        <v>7324000</v>
      </c>
      <c r="AR53" s="27">
        <v>7142000</v>
      </c>
      <c r="AS53" s="28">
        <v>7439000</v>
      </c>
      <c r="AT53" s="27">
        <v>7027000</v>
      </c>
      <c r="AU53" s="28">
        <v>7324000</v>
      </c>
      <c r="AV53" s="27">
        <v>7063000</v>
      </c>
      <c r="AW53" s="28">
        <v>7360000</v>
      </c>
      <c r="AX53" s="27">
        <v>7034000</v>
      </c>
      <c r="AY53" s="28">
        <v>7331000</v>
      </c>
      <c r="AZ53" s="27">
        <v>7100000</v>
      </c>
      <c r="BA53" s="28">
        <v>7397000</v>
      </c>
      <c r="BB53" s="27">
        <v>6661000</v>
      </c>
      <c r="BC53" s="28">
        <v>6958000</v>
      </c>
      <c r="BD53" s="27">
        <v>6661000</v>
      </c>
      <c r="BE53" s="28">
        <v>6958000</v>
      </c>
      <c r="BF53" s="27">
        <v>6661000</v>
      </c>
      <c r="BG53" s="28">
        <v>6958000</v>
      </c>
      <c r="BH53" s="27">
        <v>6661000</v>
      </c>
      <c r="BI53" s="28">
        <v>6958000</v>
      </c>
      <c r="BJ53" s="27">
        <v>6653000</v>
      </c>
      <c r="BK53" s="28">
        <v>6950000</v>
      </c>
      <c r="BL53" s="27">
        <v>6703000</v>
      </c>
      <c r="BM53" s="28">
        <v>7000000</v>
      </c>
      <c r="BN53" s="27">
        <v>6703000</v>
      </c>
      <c r="BO53" s="28">
        <v>7000000</v>
      </c>
      <c r="BP53" s="27">
        <v>6692000</v>
      </c>
      <c r="BQ53" s="28">
        <v>6989000</v>
      </c>
      <c r="BR53" s="27">
        <v>6661000</v>
      </c>
      <c r="BS53" s="28">
        <v>6958000</v>
      </c>
      <c r="BT53" s="27">
        <v>6650000</v>
      </c>
      <c r="BU53" s="28">
        <v>6947000</v>
      </c>
      <c r="BV53" s="27">
        <v>6650000</v>
      </c>
      <c r="BW53" s="28">
        <v>6947000</v>
      </c>
      <c r="BX53" s="27">
        <v>6650000</v>
      </c>
      <c r="BY53" s="28">
        <v>6947000</v>
      </c>
      <c r="BZ53" s="27">
        <v>6650000</v>
      </c>
      <c r="CA53" s="28">
        <v>6947000</v>
      </c>
      <c r="CB53" s="27">
        <v>6600000</v>
      </c>
      <c r="CC53" s="28">
        <v>6897000</v>
      </c>
      <c r="CD53" s="27">
        <v>6600000</v>
      </c>
      <c r="CE53" s="28">
        <v>6897000</v>
      </c>
      <c r="CF53" s="27">
        <v>6650000</v>
      </c>
      <c r="CG53" s="28">
        <v>6947000</v>
      </c>
      <c r="CH53" s="27">
        <v>6947000</v>
      </c>
      <c r="CI53" s="28">
        <v>7244000</v>
      </c>
    </row>
    <row r="54" spans="1:87">
      <c r="A54" s="24"/>
      <c r="B54" s="25" t="s">
        <v>220</v>
      </c>
      <c r="C54" s="26">
        <v>380</v>
      </c>
      <c r="D54" s="26">
        <v>723</v>
      </c>
      <c r="E54" s="26">
        <v>900</v>
      </c>
      <c r="F54" s="27">
        <v>10029000</v>
      </c>
      <c r="G54" s="28">
        <v>10476000</v>
      </c>
      <c r="H54" s="27">
        <v>8659000</v>
      </c>
      <c r="I54" s="28">
        <v>9106000</v>
      </c>
      <c r="J54" s="27">
        <v>11394000</v>
      </c>
      <c r="K54" s="28">
        <v>11841000</v>
      </c>
      <c r="L54" s="27">
        <v>10155000</v>
      </c>
      <c r="M54" s="28">
        <v>10602000</v>
      </c>
      <c r="N54" s="27">
        <v>13530000</v>
      </c>
      <c r="O54" s="28">
        <v>13977000</v>
      </c>
      <c r="P54" s="27">
        <v>8188000</v>
      </c>
      <c r="Q54" s="28">
        <v>8635000</v>
      </c>
      <c r="R54" s="27">
        <v>11043000</v>
      </c>
      <c r="S54" s="28">
        <v>11490000</v>
      </c>
      <c r="T54" s="29"/>
      <c r="U54" s="30"/>
      <c r="V54" s="27">
        <v>7355000</v>
      </c>
      <c r="W54" s="28">
        <v>7802000</v>
      </c>
      <c r="X54" s="27">
        <v>7103000</v>
      </c>
      <c r="Y54" s="28">
        <v>7550000</v>
      </c>
      <c r="Z54" s="27">
        <v>7671000</v>
      </c>
      <c r="AA54" s="28">
        <v>8118000</v>
      </c>
      <c r="AB54" s="27">
        <v>7798000</v>
      </c>
      <c r="AC54" s="28">
        <v>8245000</v>
      </c>
      <c r="AD54" s="27">
        <v>7847000</v>
      </c>
      <c r="AE54" s="28">
        <v>8294000</v>
      </c>
      <c r="AF54" s="27">
        <v>8076000</v>
      </c>
      <c r="AG54" s="28">
        <v>8523000</v>
      </c>
      <c r="AH54" s="27">
        <v>8076000</v>
      </c>
      <c r="AI54" s="28">
        <v>8523000</v>
      </c>
      <c r="AJ54" s="27">
        <v>7788000</v>
      </c>
      <c r="AK54" s="28">
        <v>8235000</v>
      </c>
      <c r="AL54" s="27">
        <v>8221000</v>
      </c>
      <c r="AM54" s="28">
        <v>8668000</v>
      </c>
      <c r="AN54" s="27">
        <v>7382000</v>
      </c>
      <c r="AO54" s="28">
        <v>7829000</v>
      </c>
      <c r="AP54" s="27">
        <v>8067000</v>
      </c>
      <c r="AQ54" s="28">
        <v>8514000</v>
      </c>
      <c r="AR54" s="27">
        <v>8240000</v>
      </c>
      <c r="AS54" s="28">
        <v>8687000</v>
      </c>
      <c r="AT54" s="27">
        <v>8067000</v>
      </c>
      <c r="AU54" s="28">
        <v>8514000</v>
      </c>
      <c r="AV54" s="27">
        <v>8123000</v>
      </c>
      <c r="AW54" s="28">
        <v>8570000</v>
      </c>
      <c r="AX54" s="27">
        <v>8079000</v>
      </c>
      <c r="AY54" s="28">
        <v>8526000</v>
      </c>
      <c r="AZ54" s="27">
        <v>8178000</v>
      </c>
      <c r="BA54" s="28">
        <v>8625000</v>
      </c>
      <c r="BB54" s="27">
        <v>7536000</v>
      </c>
      <c r="BC54" s="28">
        <v>7983000</v>
      </c>
      <c r="BD54" s="27">
        <v>7536000</v>
      </c>
      <c r="BE54" s="28">
        <v>7983000</v>
      </c>
      <c r="BF54" s="27">
        <v>7536000</v>
      </c>
      <c r="BG54" s="28">
        <v>7983000</v>
      </c>
      <c r="BH54" s="27">
        <v>7536000</v>
      </c>
      <c r="BI54" s="28">
        <v>7983000</v>
      </c>
      <c r="BJ54" s="27">
        <v>7524000</v>
      </c>
      <c r="BK54" s="28">
        <v>7971000</v>
      </c>
      <c r="BL54" s="27">
        <v>7598000</v>
      </c>
      <c r="BM54" s="28">
        <v>8045000</v>
      </c>
      <c r="BN54" s="27">
        <v>7598000</v>
      </c>
      <c r="BO54" s="28">
        <v>8045000</v>
      </c>
      <c r="BP54" s="27">
        <v>7583000</v>
      </c>
      <c r="BQ54" s="28">
        <v>8030000</v>
      </c>
      <c r="BR54" s="27">
        <v>7536000</v>
      </c>
      <c r="BS54" s="28">
        <v>7983000</v>
      </c>
      <c r="BT54" s="27">
        <v>7520000</v>
      </c>
      <c r="BU54" s="28">
        <v>7967000</v>
      </c>
      <c r="BV54" s="27">
        <v>7520000</v>
      </c>
      <c r="BW54" s="28">
        <v>7967000</v>
      </c>
      <c r="BX54" s="27">
        <v>7520000</v>
      </c>
      <c r="BY54" s="28">
        <v>7967000</v>
      </c>
      <c r="BZ54" s="27">
        <v>7491000</v>
      </c>
      <c r="CA54" s="28">
        <v>7938000</v>
      </c>
      <c r="CB54" s="27">
        <v>7415000</v>
      </c>
      <c r="CC54" s="28">
        <v>7862000</v>
      </c>
      <c r="CD54" s="27">
        <v>7415000</v>
      </c>
      <c r="CE54" s="28">
        <v>7862000</v>
      </c>
      <c r="CF54" s="27">
        <v>7491000</v>
      </c>
      <c r="CG54" s="28">
        <v>7938000</v>
      </c>
      <c r="CH54" s="27">
        <v>7944000</v>
      </c>
      <c r="CI54" s="28">
        <v>8391000</v>
      </c>
    </row>
    <row r="55" spans="1:87">
      <c r="A55" s="24"/>
      <c r="B55" s="25" t="s">
        <v>221</v>
      </c>
      <c r="C55" s="26">
        <v>380</v>
      </c>
      <c r="D55" s="26">
        <v>978</v>
      </c>
      <c r="E55" s="26">
        <v>450</v>
      </c>
      <c r="F55" s="27">
        <v>8590000</v>
      </c>
      <c r="G55" s="28">
        <v>8814000</v>
      </c>
      <c r="H55" s="27">
        <v>7663000</v>
      </c>
      <c r="I55" s="28">
        <v>7887000</v>
      </c>
      <c r="J55" s="27">
        <v>9513000</v>
      </c>
      <c r="K55" s="28">
        <v>9737000</v>
      </c>
      <c r="L55" s="27">
        <v>8675000</v>
      </c>
      <c r="M55" s="28">
        <v>8899000</v>
      </c>
      <c r="N55" s="27">
        <v>10958000</v>
      </c>
      <c r="O55" s="28">
        <v>11182000</v>
      </c>
      <c r="P55" s="27">
        <v>7408000</v>
      </c>
      <c r="Q55" s="28">
        <v>7632000</v>
      </c>
      <c r="R55" s="27">
        <v>9058000</v>
      </c>
      <c r="S55" s="28">
        <v>9282000</v>
      </c>
      <c r="T55" s="29"/>
      <c r="U55" s="30"/>
      <c r="V55" s="27">
        <v>6786000</v>
      </c>
      <c r="W55" s="28">
        <v>7010000</v>
      </c>
      <c r="X55" s="27">
        <v>6615000</v>
      </c>
      <c r="Y55" s="28">
        <v>6839000</v>
      </c>
      <c r="Z55" s="27">
        <v>7006000</v>
      </c>
      <c r="AA55" s="28">
        <v>7230000</v>
      </c>
      <c r="AB55" s="27">
        <v>7095000</v>
      </c>
      <c r="AC55" s="28">
        <v>7319000</v>
      </c>
      <c r="AD55" s="27">
        <v>7132000</v>
      </c>
      <c r="AE55" s="28">
        <v>7356000</v>
      </c>
      <c r="AF55" s="27">
        <v>7290000</v>
      </c>
      <c r="AG55" s="28">
        <v>7514000</v>
      </c>
      <c r="AH55" s="27">
        <v>7290000</v>
      </c>
      <c r="AI55" s="28">
        <v>7514000</v>
      </c>
      <c r="AJ55" s="27">
        <v>7086000</v>
      </c>
      <c r="AK55" s="28">
        <v>7310000</v>
      </c>
      <c r="AL55" s="27">
        <v>7380000</v>
      </c>
      <c r="AM55" s="28">
        <v>7604000</v>
      </c>
      <c r="AN55" s="27">
        <v>6810000</v>
      </c>
      <c r="AO55" s="28">
        <v>7034000</v>
      </c>
      <c r="AP55" s="27">
        <v>7276000</v>
      </c>
      <c r="AQ55" s="28">
        <v>7500000</v>
      </c>
      <c r="AR55" s="27">
        <v>7394000</v>
      </c>
      <c r="AS55" s="28">
        <v>7618000</v>
      </c>
      <c r="AT55" s="27">
        <v>7276000</v>
      </c>
      <c r="AU55" s="28">
        <v>7500000</v>
      </c>
      <c r="AV55" s="27">
        <v>7314000</v>
      </c>
      <c r="AW55" s="28">
        <v>7538000</v>
      </c>
      <c r="AX55" s="27">
        <v>7284000</v>
      </c>
      <c r="AY55" s="28">
        <v>7508000</v>
      </c>
      <c r="AZ55" s="27">
        <v>7351000</v>
      </c>
      <c r="BA55" s="28">
        <v>7575000</v>
      </c>
      <c r="BB55" s="27">
        <v>6909000</v>
      </c>
      <c r="BC55" s="28">
        <v>7133000</v>
      </c>
      <c r="BD55" s="27">
        <v>6909000</v>
      </c>
      <c r="BE55" s="28">
        <v>7133000</v>
      </c>
      <c r="BF55" s="27">
        <v>6909000</v>
      </c>
      <c r="BG55" s="28">
        <v>7133000</v>
      </c>
      <c r="BH55" s="27">
        <v>6909000</v>
      </c>
      <c r="BI55" s="28">
        <v>7133000</v>
      </c>
      <c r="BJ55" s="27">
        <v>6901000</v>
      </c>
      <c r="BK55" s="28">
        <v>7125000</v>
      </c>
      <c r="BL55" s="27">
        <v>6951000</v>
      </c>
      <c r="BM55" s="28">
        <v>7175000</v>
      </c>
      <c r="BN55" s="27">
        <v>6951000</v>
      </c>
      <c r="BO55" s="28">
        <v>7175000</v>
      </c>
      <c r="BP55" s="27">
        <v>6941000</v>
      </c>
      <c r="BQ55" s="28">
        <v>7165000</v>
      </c>
      <c r="BR55" s="27">
        <v>6909000</v>
      </c>
      <c r="BS55" s="28">
        <v>7133000</v>
      </c>
      <c r="BT55" s="27">
        <v>6898000</v>
      </c>
      <c r="BU55" s="28">
        <v>7122000</v>
      </c>
      <c r="BV55" s="27">
        <v>6898000</v>
      </c>
      <c r="BW55" s="28">
        <v>7122000</v>
      </c>
      <c r="BX55" s="27">
        <v>6898000</v>
      </c>
      <c r="BY55" s="28">
        <v>7122000</v>
      </c>
      <c r="BZ55" s="27">
        <v>6892000</v>
      </c>
      <c r="CA55" s="28">
        <v>7116000</v>
      </c>
      <c r="CB55" s="27">
        <v>6841000</v>
      </c>
      <c r="CC55" s="28">
        <v>7065000</v>
      </c>
      <c r="CD55" s="27">
        <v>6841000</v>
      </c>
      <c r="CE55" s="28">
        <v>7065000</v>
      </c>
      <c r="CF55" s="27">
        <v>6892000</v>
      </c>
      <c r="CG55" s="28">
        <v>7116000</v>
      </c>
      <c r="CH55" s="27">
        <v>7195000</v>
      </c>
      <c r="CI55" s="28">
        <v>7419000</v>
      </c>
    </row>
    <row r="56" spans="1:87">
      <c r="A56" s="24"/>
      <c r="B56" s="25" t="s">
        <v>222</v>
      </c>
      <c r="C56" s="26">
        <v>380</v>
      </c>
      <c r="D56" s="26">
        <v>978</v>
      </c>
      <c r="E56" s="26">
        <v>600</v>
      </c>
      <c r="F56" s="27">
        <v>9752000</v>
      </c>
      <c r="G56" s="28">
        <v>10049000</v>
      </c>
      <c r="H56" s="27">
        <v>8516000</v>
      </c>
      <c r="I56" s="28">
        <v>8813000</v>
      </c>
      <c r="J56" s="27">
        <v>10983000</v>
      </c>
      <c r="K56" s="28">
        <v>11280000</v>
      </c>
      <c r="L56" s="27">
        <v>9865000</v>
      </c>
      <c r="M56" s="28">
        <v>10162000</v>
      </c>
      <c r="N56" s="27">
        <v>12909000</v>
      </c>
      <c r="O56" s="28">
        <v>13206000</v>
      </c>
      <c r="P56" s="27">
        <v>8077000</v>
      </c>
      <c r="Q56" s="28">
        <v>8374000</v>
      </c>
      <c r="R56" s="27">
        <v>10552000</v>
      </c>
      <c r="S56" s="28">
        <v>10849000</v>
      </c>
      <c r="T56" s="29"/>
      <c r="U56" s="30"/>
      <c r="V56" s="27">
        <v>7338000</v>
      </c>
      <c r="W56" s="28">
        <v>7635000</v>
      </c>
      <c r="X56" s="27">
        <v>7110000</v>
      </c>
      <c r="Y56" s="28">
        <v>7407000</v>
      </c>
      <c r="Z56" s="27">
        <v>7619000</v>
      </c>
      <c r="AA56" s="28">
        <v>7916000</v>
      </c>
      <c r="AB56" s="27">
        <v>7732000</v>
      </c>
      <c r="AC56" s="28">
        <v>8029000</v>
      </c>
      <c r="AD56" s="27">
        <v>7774000</v>
      </c>
      <c r="AE56" s="28">
        <v>8071000</v>
      </c>
      <c r="AF56" s="27">
        <v>7978000</v>
      </c>
      <c r="AG56" s="28">
        <v>8275000</v>
      </c>
      <c r="AH56" s="27">
        <v>7978000</v>
      </c>
      <c r="AI56" s="28">
        <v>8275000</v>
      </c>
      <c r="AJ56" s="27">
        <v>7724000</v>
      </c>
      <c r="AK56" s="28">
        <v>8021000</v>
      </c>
      <c r="AL56" s="27">
        <v>8114000</v>
      </c>
      <c r="AM56" s="28">
        <v>8411000</v>
      </c>
      <c r="AN56" s="27">
        <v>7359000</v>
      </c>
      <c r="AO56" s="28">
        <v>7656000</v>
      </c>
      <c r="AP56" s="27">
        <v>7974000</v>
      </c>
      <c r="AQ56" s="28">
        <v>8271000</v>
      </c>
      <c r="AR56" s="27">
        <v>8130000</v>
      </c>
      <c r="AS56" s="28">
        <v>8427000</v>
      </c>
      <c r="AT56" s="27">
        <v>7974000</v>
      </c>
      <c r="AU56" s="28">
        <v>8271000</v>
      </c>
      <c r="AV56" s="27">
        <v>8026000</v>
      </c>
      <c r="AW56" s="28">
        <v>8323000</v>
      </c>
      <c r="AX56" s="27">
        <v>7986000</v>
      </c>
      <c r="AY56" s="28">
        <v>8283000</v>
      </c>
      <c r="AZ56" s="27">
        <v>8075000</v>
      </c>
      <c r="BA56" s="28">
        <v>8372000</v>
      </c>
      <c r="BB56" s="27">
        <v>7500000</v>
      </c>
      <c r="BC56" s="28">
        <v>7797000</v>
      </c>
      <c r="BD56" s="27">
        <v>7500000</v>
      </c>
      <c r="BE56" s="28">
        <v>7797000</v>
      </c>
      <c r="BF56" s="27">
        <v>7500000</v>
      </c>
      <c r="BG56" s="28">
        <v>7797000</v>
      </c>
      <c r="BH56" s="27">
        <v>7500000</v>
      </c>
      <c r="BI56" s="28">
        <v>7797000</v>
      </c>
      <c r="BJ56" s="27">
        <v>7489000</v>
      </c>
      <c r="BK56" s="28">
        <v>7786000</v>
      </c>
      <c r="BL56" s="27">
        <v>7557000</v>
      </c>
      <c r="BM56" s="28">
        <v>7854000</v>
      </c>
      <c r="BN56" s="27">
        <v>7557000</v>
      </c>
      <c r="BO56" s="28">
        <v>7854000</v>
      </c>
      <c r="BP56" s="27">
        <v>7543000</v>
      </c>
      <c r="BQ56" s="28">
        <v>7840000</v>
      </c>
      <c r="BR56" s="27">
        <v>7500000</v>
      </c>
      <c r="BS56" s="28">
        <v>7797000</v>
      </c>
      <c r="BT56" s="27">
        <v>7486000</v>
      </c>
      <c r="BU56" s="28">
        <v>7783000</v>
      </c>
      <c r="BV56" s="27">
        <v>7486000</v>
      </c>
      <c r="BW56" s="28">
        <v>7783000</v>
      </c>
      <c r="BX56" s="27">
        <v>7486000</v>
      </c>
      <c r="BY56" s="28">
        <v>7783000</v>
      </c>
      <c r="BZ56" s="27">
        <v>7452000</v>
      </c>
      <c r="CA56" s="28">
        <v>7749000</v>
      </c>
      <c r="CB56" s="27">
        <v>7384000</v>
      </c>
      <c r="CC56" s="28">
        <v>7681000</v>
      </c>
      <c r="CD56" s="27">
        <v>7384000</v>
      </c>
      <c r="CE56" s="28">
        <v>7681000</v>
      </c>
      <c r="CF56" s="27">
        <v>7452000</v>
      </c>
      <c r="CG56" s="28">
        <v>7749000</v>
      </c>
      <c r="CH56" s="27">
        <v>7863000</v>
      </c>
      <c r="CI56" s="28">
        <v>8160000</v>
      </c>
    </row>
    <row r="57" spans="1:87">
      <c r="A57" s="24"/>
      <c r="B57" s="25" t="s">
        <v>223</v>
      </c>
      <c r="C57" s="26">
        <v>380</v>
      </c>
      <c r="D57" s="26">
        <v>978</v>
      </c>
      <c r="E57" s="26">
        <v>900</v>
      </c>
      <c r="F57" s="27">
        <v>12053000</v>
      </c>
      <c r="G57" s="28">
        <v>12499000</v>
      </c>
      <c r="H57" s="27">
        <v>10199000</v>
      </c>
      <c r="I57" s="28">
        <v>10645000</v>
      </c>
      <c r="J57" s="27">
        <v>13899000</v>
      </c>
      <c r="K57" s="28">
        <v>14345000</v>
      </c>
      <c r="L57" s="27">
        <v>12223000</v>
      </c>
      <c r="M57" s="28">
        <v>12669000</v>
      </c>
      <c r="N57" s="27">
        <v>16789000</v>
      </c>
      <c r="O57" s="28">
        <v>17235000</v>
      </c>
      <c r="P57" s="27">
        <v>9393000</v>
      </c>
      <c r="Q57" s="28">
        <v>9839000</v>
      </c>
      <c r="R57" s="27">
        <v>13518000</v>
      </c>
      <c r="S57" s="28">
        <v>13964000</v>
      </c>
      <c r="T57" s="29"/>
      <c r="U57" s="30"/>
      <c r="V57" s="27">
        <v>8418000</v>
      </c>
      <c r="W57" s="28">
        <v>8864000</v>
      </c>
      <c r="X57" s="27">
        <v>8076000</v>
      </c>
      <c r="Y57" s="28">
        <v>8522000</v>
      </c>
      <c r="Z57" s="27">
        <v>8824000</v>
      </c>
      <c r="AA57" s="28">
        <v>9270000</v>
      </c>
      <c r="AB57" s="27">
        <v>8986000</v>
      </c>
      <c r="AC57" s="28">
        <v>9432000</v>
      </c>
      <c r="AD57" s="27">
        <v>9037000</v>
      </c>
      <c r="AE57" s="28">
        <v>9483000</v>
      </c>
      <c r="AF57" s="27">
        <v>9334000</v>
      </c>
      <c r="AG57" s="28">
        <v>9780000</v>
      </c>
      <c r="AH57" s="27">
        <v>9334000</v>
      </c>
      <c r="AI57" s="28">
        <v>9780000</v>
      </c>
      <c r="AJ57" s="27">
        <v>8979000</v>
      </c>
      <c r="AK57" s="28">
        <v>9425000</v>
      </c>
      <c r="AL57" s="27">
        <v>9561000</v>
      </c>
      <c r="AM57" s="28">
        <v>10007000</v>
      </c>
      <c r="AN57" s="27">
        <v>8434000</v>
      </c>
      <c r="AO57" s="28">
        <v>8880000</v>
      </c>
      <c r="AP57" s="27">
        <v>9347000</v>
      </c>
      <c r="AQ57" s="28">
        <v>9793000</v>
      </c>
      <c r="AR57" s="27">
        <v>9581000</v>
      </c>
      <c r="AS57" s="28">
        <v>10027000</v>
      </c>
      <c r="AT57" s="27">
        <v>9347000</v>
      </c>
      <c r="AU57" s="28">
        <v>9793000</v>
      </c>
      <c r="AV57" s="27">
        <v>9427000</v>
      </c>
      <c r="AW57" s="28">
        <v>9873000</v>
      </c>
      <c r="AX57" s="27">
        <v>9368000</v>
      </c>
      <c r="AY57" s="28">
        <v>9814000</v>
      </c>
      <c r="AZ57" s="27">
        <v>9502000</v>
      </c>
      <c r="BA57" s="28">
        <v>9948000</v>
      </c>
      <c r="BB57" s="27">
        <v>8661000</v>
      </c>
      <c r="BC57" s="28">
        <v>9107000</v>
      </c>
      <c r="BD57" s="27">
        <v>8661000</v>
      </c>
      <c r="BE57" s="28">
        <v>9107000</v>
      </c>
      <c r="BF57" s="27">
        <v>8661000</v>
      </c>
      <c r="BG57" s="28">
        <v>9107000</v>
      </c>
      <c r="BH57" s="27">
        <v>8661000</v>
      </c>
      <c r="BI57" s="28">
        <v>9107000</v>
      </c>
      <c r="BJ57" s="27">
        <v>8645000</v>
      </c>
      <c r="BK57" s="28">
        <v>9091000</v>
      </c>
      <c r="BL57" s="27">
        <v>8746000</v>
      </c>
      <c r="BM57" s="28">
        <v>9192000</v>
      </c>
      <c r="BN57" s="27">
        <v>8746000</v>
      </c>
      <c r="BO57" s="28">
        <v>9192000</v>
      </c>
      <c r="BP57" s="27">
        <v>8724000</v>
      </c>
      <c r="BQ57" s="28">
        <v>9170000</v>
      </c>
      <c r="BR57" s="27">
        <v>8661000</v>
      </c>
      <c r="BS57" s="28">
        <v>9107000</v>
      </c>
      <c r="BT57" s="27">
        <v>8639000</v>
      </c>
      <c r="BU57" s="28">
        <v>9085000</v>
      </c>
      <c r="BV57" s="27">
        <v>8639000</v>
      </c>
      <c r="BW57" s="28">
        <v>9085000</v>
      </c>
      <c r="BX57" s="27">
        <v>8639000</v>
      </c>
      <c r="BY57" s="28">
        <v>9085000</v>
      </c>
      <c r="BZ57" s="27">
        <v>8550000</v>
      </c>
      <c r="CA57" s="28">
        <v>8996000</v>
      </c>
      <c r="CB57" s="27">
        <v>8448000</v>
      </c>
      <c r="CC57" s="28">
        <v>8894000</v>
      </c>
      <c r="CD57" s="27">
        <v>8448000</v>
      </c>
      <c r="CE57" s="28">
        <v>8894000</v>
      </c>
      <c r="CF57" s="27">
        <v>8550000</v>
      </c>
      <c r="CG57" s="28">
        <v>8996000</v>
      </c>
      <c r="CH57" s="27">
        <v>9177000</v>
      </c>
      <c r="CI57" s="28">
        <v>9623000</v>
      </c>
    </row>
    <row r="58" spans="1:87">
      <c r="A58" s="24"/>
      <c r="B58" s="25" t="s">
        <v>224</v>
      </c>
      <c r="C58" s="26">
        <v>380</v>
      </c>
      <c r="D58" s="26">
        <v>723</v>
      </c>
      <c r="E58" s="26">
        <v>450</v>
      </c>
      <c r="F58" s="27">
        <v>17149000</v>
      </c>
      <c r="G58" s="30"/>
      <c r="H58" s="27">
        <v>16464000</v>
      </c>
      <c r="I58" s="30"/>
      <c r="J58" s="27">
        <v>17831000</v>
      </c>
      <c r="K58" s="30"/>
      <c r="L58" s="27">
        <v>17212000</v>
      </c>
      <c r="M58" s="30"/>
      <c r="N58" s="27">
        <v>18899000</v>
      </c>
      <c r="O58" s="30"/>
      <c r="P58" s="27">
        <v>16341000</v>
      </c>
      <c r="Q58" s="30"/>
      <c r="R58" s="27">
        <v>17483000</v>
      </c>
      <c r="S58" s="30"/>
      <c r="T58" s="29"/>
      <c r="U58" s="30"/>
      <c r="V58" s="27">
        <v>15822000</v>
      </c>
      <c r="W58" s="30"/>
      <c r="X58" s="27">
        <v>15695000</v>
      </c>
      <c r="Y58" s="30"/>
      <c r="Z58" s="27">
        <v>15992000</v>
      </c>
      <c r="AA58" s="30"/>
      <c r="AB58" s="27">
        <v>16061000</v>
      </c>
      <c r="AC58" s="30"/>
      <c r="AD58" s="27">
        <v>16094000</v>
      </c>
      <c r="AE58" s="30"/>
      <c r="AF58" s="27">
        <v>16216000</v>
      </c>
      <c r="AG58" s="30"/>
      <c r="AH58" s="27">
        <v>16216000</v>
      </c>
      <c r="AI58" s="30"/>
      <c r="AJ58" s="27">
        <v>16052000</v>
      </c>
      <c r="AK58" s="30"/>
      <c r="AL58" s="27">
        <v>16271000</v>
      </c>
      <c r="AM58" s="30"/>
      <c r="AN58" s="27">
        <v>15847000</v>
      </c>
      <c r="AO58" s="30"/>
      <c r="AP58" s="27">
        <v>16197000</v>
      </c>
      <c r="AQ58" s="30"/>
      <c r="AR58" s="27">
        <v>16283000</v>
      </c>
      <c r="AS58" s="30"/>
      <c r="AT58" s="27">
        <v>16197000</v>
      </c>
      <c r="AU58" s="30"/>
      <c r="AV58" s="27">
        <v>16223000</v>
      </c>
      <c r="AW58" s="30"/>
      <c r="AX58" s="27">
        <v>16201000</v>
      </c>
      <c r="AY58" s="30"/>
      <c r="AZ58" s="27">
        <v>16250000</v>
      </c>
      <c r="BA58" s="30"/>
      <c r="BB58" s="27">
        <v>15913000</v>
      </c>
      <c r="BC58" s="30"/>
      <c r="BD58" s="27">
        <v>15913000</v>
      </c>
      <c r="BE58" s="30"/>
      <c r="BF58" s="27">
        <v>15913000</v>
      </c>
      <c r="BG58" s="30"/>
      <c r="BH58" s="27">
        <v>15913000</v>
      </c>
      <c r="BI58" s="30"/>
      <c r="BJ58" s="27">
        <v>15907000</v>
      </c>
      <c r="BK58" s="30"/>
      <c r="BL58" s="27">
        <v>15944000</v>
      </c>
      <c r="BM58" s="30"/>
      <c r="BN58" s="27">
        <v>15944000</v>
      </c>
      <c r="BO58" s="30"/>
      <c r="BP58" s="27">
        <v>15937000</v>
      </c>
      <c r="BQ58" s="30"/>
      <c r="BR58" s="27">
        <v>15913000</v>
      </c>
      <c r="BS58" s="30"/>
      <c r="BT58" s="27">
        <v>15905000</v>
      </c>
      <c r="BU58" s="30"/>
      <c r="BV58" s="27">
        <v>15905000</v>
      </c>
      <c r="BW58" s="30"/>
      <c r="BX58" s="27">
        <v>15905000</v>
      </c>
      <c r="BY58" s="30"/>
      <c r="BZ58" s="27">
        <v>15919000</v>
      </c>
      <c r="CA58" s="30"/>
      <c r="CB58" s="27">
        <v>15881000</v>
      </c>
      <c r="CC58" s="30"/>
      <c r="CD58" s="27">
        <v>15881000</v>
      </c>
      <c r="CE58" s="30"/>
      <c r="CF58" s="27">
        <v>15919000</v>
      </c>
      <c r="CG58" s="30"/>
      <c r="CH58" s="27">
        <v>16138000</v>
      </c>
      <c r="CI58" s="30"/>
    </row>
    <row r="59" spans="1:87">
      <c r="A59" s="24"/>
      <c r="B59" s="25" t="s">
        <v>225</v>
      </c>
      <c r="C59" s="26">
        <v>380</v>
      </c>
      <c r="D59" s="26">
        <v>723</v>
      </c>
      <c r="E59" s="26">
        <v>600</v>
      </c>
      <c r="F59" s="27">
        <v>18016000</v>
      </c>
      <c r="G59" s="30"/>
      <c r="H59" s="27">
        <v>17102000</v>
      </c>
      <c r="I59" s="30"/>
      <c r="J59" s="27">
        <v>18926000</v>
      </c>
      <c r="K59" s="30"/>
      <c r="L59" s="27">
        <v>18100000</v>
      </c>
      <c r="M59" s="30"/>
      <c r="N59" s="27">
        <v>20350000</v>
      </c>
      <c r="O59" s="30"/>
      <c r="P59" s="27">
        <v>16864000</v>
      </c>
      <c r="Q59" s="30"/>
      <c r="R59" s="27">
        <v>18577000</v>
      </c>
      <c r="S59" s="30"/>
      <c r="T59" s="29"/>
      <c r="U59" s="30"/>
      <c r="V59" s="27">
        <v>16240000</v>
      </c>
      <c r="W59" s="30"/>
      <c r="X59" s="27">
        <v>16072000</v>
      </c>
      <c r="Y59" s="30"/>
      <c r="Z59" s="27">
        <v>16459000</v>
      </c>
      <c r="AA59" s="30"/>
      <c r="AB59" s="27">
        <v>16547000</v>
      </c>
      <c r="AC59" s="30"/>
      <c r="AD59" s="27">
        <v>16585000</v>
      </c>
      <c r="AE59" s="30"/>
      <c r="AF59" s="27">
        <v>16743000</v>
      </c>
      <c r="AG59" s="30"/>
      <c r="AH59" s="27">
        <v>16743000</v>
      </c>
      <c r="AI59" s="30"/>
      <c r="AJ59" s="27">
        <v>16538000</v>
      </c>
      <c r="AK59" s="30"/>
      <c r="AL59" s="27">
        <v>16828000</v>
      </c>
      <c r="AM59" s="30"/>
      <c r="AN59" s="27">
        <v>16266000</v>
      </c>
      <c r="AO59" s="30"/>
      <c r="AP59" s="27">
        <v>16727000</v>
      </c>
      <c r="AQ59" s="30"/>
      <c r="AR59" s="27">
        <v>16842000</v>
      </c>
      <c r="AS59" s="30"/>
      <c r="AT59" s="27">
        <v>16727000</v>
      </c>
      <c r="AU59" s="30"/>
      <c r="AV59" s="27">
        <v>16763000</v>
      </c>
      <c r="AW59" s="30"/>
      <c r="AX59" s="27">
        <v>16734000</v>
      </c>
      <c r="AY59" s="30"/>
      <c r="AZ59" s="27">
        <v>16800000</v>
      </c>
      <c r="BA59" s="30"/>
      <c r="BB59" s="27">
        <v>16361000</v>
      </c>
      <c r="BC59" s="30"/>
      <c r="BD59" s="27">
        <v>16361000</v>
      </c>
      <c r="BE59" s="30"/>
      <c r="BF59" s="27">
        <v>16361000</v>
      </c>
      <c r="BG59" s="30"/>
      <c r="BH59" s="27">
        <v>16361000</v>
      </c>
      <c r="BI59" s="30"/>
      <c r="BJ59" s="27">
        <v>16353000</v>
      </c>
      <c r="BK59" s="30"/>
      <c r="BL59" s="27">
        <v>16403000</v>
      </c>
      <c r="BM59" s="30"/>
      <c r="BN59" s="27">
        <v>16403000</v>
      </c>
      <c r="BO59" s="30"/>
      <c r="BP59" s="27">
        <v>16392000</v>
      </c>
      <c r="BQ59" s="30"/>
      <c r="BR59" s="27">
        <v>16361000</v>
      </c>
      <c r="BS59" s="30"/>
      <c r="BT59" s="27">
        <v>16350000</v>
      </c>
      <c r="BU59" s="30"/>
      <c r="BV59" s="27">
        <v>16350000</v>
      </c>
      <c r="BW59" s="30"/>
      <c r="BX59" s="27">
        <v>16350000</v>
      </c>
      <c r="BY59" s="30"/>
      <c r="BZ59" s="27">
        <v>16350000</v>
      </c>
      <c r="CA59" s="30"/>
      <c r="CB59" s="27">
        <v>16300000</v>
      </c>
      <c r="CC59" s="30"/>
      <c r="CD59" s="27">
        <v>16300000</v>
      </c>
      <c r="CE59" s="30"/>
      <c r="CF59" s="27">
        <v>16350000</v>
      </c>
      <c r="CG59" s="30"/>
      <c r="CH59" s="27">
        <v>16647000</v>
      </c>
      <c r="CI59" s="30"/>
    </row>
    <row r="60" spans="1:87">
      <c r="A60" s="24"/>
      <c r="B60" s="25" t="s">
        <v>226</v>
      </c>
      <c r="C60" s="26">
        <v>380</v>
      </c>
      <c r="D60" s="26">
        <v>723</v>
      </c>
      <c r="E60" s="26">
        <v>900</v>
      </c>
      <c r="F60" s="27">
        <v>19729000</v>
      </c>
      <c r="G60" s="30"/>
      <c r="H60" s="27">
        <v>18359000</v>
      </c>
      <c r="I60" s="30"/>
      <c r="J60" s="27">
        <v>21094000</v>
      </c>
      <c r="K60" s="30"/>
      <c r="L60" s="27">
        <v>19855000</v>
      </c>
      <c r="M60" s="30"/>
      <c r="N60" s="27">
        <v>23230000</v>
      </c>
      <c r="O60" s="30"/>
      <c r="P60" s="27">
        <v>17888000</v>
      </c>
      <c r="Q60" s="30"/>
      <c r="R60" s="27">
        <v>20743000</v>
      </c>
      <c r="S60" s="30"/>
      <c r="T60" s="29"/>
      <c r="U60" s="30"/>
      <c r="V60" s="27">
        <v>17055000</v>
      </c>
      <c r="W60" s="30"/>
      <c r="X60" s="27">
        <v>16803000</v>
      </c>
      <c r="Y60" s="30"/>
      <c r="Z60" s="27">
        <v>17371000</v>
      </c>
      <c r="AA60" s="30"/>
      <c r="AB60" s="27">
        <v>17498000</v>
      </c>
      <c r="AC60" s="30"/>
      <c r="AD60" s="27">
        <v>17547000</v>
      </c>
      <c r="AE60" s="30"/>
      <c r="AF60" s="27">
        <v>17776000</v>
      </c>
      <c r="AG60" s="30"/>
      <c r="AH60" s="27">
        <v>17776000</v>
      </c>
      <c r="AI60" s="30"/>
      <c r="AJ60" s="27">
        <v>17488000</v>
      </c>
      <c r="AK60" s="30"/>
      <c r="AL60" s="27">
        <v>17921000</v>
      </c>
      <c r="AM60" s="30"/>
      <c r="AN60" s="27">
        <v>17082000</v>
      </c>
      <c r="AO60" s="30"/>
      <c r="AP60" s="27">
        <v>17767000</v>
      </c>
      <c r="AQ60" s="30"/>
      <c r="AR60" s="27">
        <v>17940000</v>
      </c>
      <c r="AS60" s="30"/>
      <c r="AT60" s="27">
        <v>17767000</v>
      </c>
      <c r="AU60" s="30"/>
      <c r="AV60" s="27">
        <v>17823000</v>
      </c>
      <c r="AW60" s="30"/>
      <c r="AX60" s="27">
        <v>17779000</v>
      </c>
      <c r="AY60" s="30"/>
      <c r="AZ60" s="27">
        <v>17878000</v>
      </c>
      <c r="BA60" s="30"/>
      <c r="BB60" s="27">
        <v>17236000</v>
      </c>
      <c r="BC60" s="30"/>
      <c r="BD60" s="27">
        <v>17236000</v>
      </c>
      <c r="BE60" s="30"/>
      <c r="BF60" s="27">
        <v>17236000</v>
      </c>
      <c r="BG60" s="30"/>
      <c r="BH60" s="27">
        <v>17236000</v>
      </c>
      <c r="BI60" s="30"/>
      <c r="BJ60" s="27">
        <v>17224000</v>
      </c>
      <c r="BK60" s="30"/>
      <c r="BL60" s="27">
        <v>17298000</v>
      </c>
      <c r="BM60" s="30"/>
      <c r="BN60" s="27">
        <v>17298000</v>
      </c>
      <c r="BO60" s="30"/>
      <c r="BP60" s="27">
        <v>17283000</v>
      </c>
      <c r="BQ60" s="30"/>
      <c r="BR60" s="27">
        <v>17236000</v>
      </c>
      <c r="BS60" s="30"/>
      <c r="BT60" s="27">
        <v>17220000</v>
      </c>
      <c r="BU60" s="30"/>
      <c r="BV60" s="27">
        <v>17220000</v>
      </c>
      <c r="BW60" s="30"/>
      <c r="BX60" s="27">
        <v>17220000</v>
      </c>
      <c r="BY60" s="30"/>
      <c r="BZ60" s="27">
        <v>17191000</v>
      </c>
      <c r="CA60" s="30"/>
      <c r="CB60" s="27">
        <v>17115000</v>
      </c>
      <c r="CC60" s="30"/>
      <c r="CD60" s="27">
        <v>17115000</v>
      </c>
      <c r="CE60" s="30"/>
      <c r="CF60" s="27">
        <v>17191000</v>
      </c>
      <c r="CG60" s="30"/>
      <c r="CH60" s="27">
        <v>17644000</v>
      </c>
      <c r="CI60" s="30"/>
    </row>
    <row r="61" spans="1:87">
      <c r="A61" s="24"/>
      <c r="B61" s="25" t="s">
        <v>227</v>
      </c>
      <c r="C61" s="26">
        <v>380</v>
      </c>
      <c r="D61" s="26">
        <v>978</v>
      </c>
      <c r="E61" s="26">
        <v>450</v>
      </c>
      <c r="F61" s="27">
        <v>18290000</v>
      </c>
      <c r="G61" s="30"/>
      <c r="H61" s="27">
        <v>17363000</v>
      </c>
      <c r="I61" s="30"/>
      <c r="J61" s="27">
        <v>19213000</v>
      </c>
      <c r="K61" s="30"/>
      <c r="L61" s="27">
        <v>18375000</v>
      </c>
      <c r="M61" s="30"/>
      <c r="N61" s="27">
        <v>20658000</v>
      </c>
      <c r="O61" s="30"/>
      <c r="P61" s="27">
        <v>17108000</v>
      </c>
      <c r="Q61" s="30"/>
      <c r="R61" s="27">
        <v>18758000</v>
      </c>
      <c r="S61" s="30"/>
      <c r="T61" s="29"/>
      <c r="U61" s="30"/>
      <c r="V61" s="27">
        <v>16486000</v>
      </c>
      <c r="W61" s="30"/>
      <c r="X61" s="27">
        <v>16315000</v>
      </c>
      <c r="Y61" s="30"/>
      <c r="Z61" s="27">
        <v>16706000</v>
      </c>
      <c r="AA61" s="30"/>
      <c r="AB61" s="27">
        <v>16795000</v>
      </c>
      <c r="AC61" s="30"/>
      <c r="AD61" s="27">
        <v>16832000</v>
      </c>
      <c r="AE61" s="30"/>
      <c r="AF61" s="27">
        <v>16990000</v>
      </c>
      <c r="AG61" s="30"/>
      <c r="AH61" s="27">
        <v>16990000</v>
      </c>
      <c r="AI61" s="30"/>
      <c r="AJ61" s="27">
        <v>16786000</v>
      </c>
      <c r="AK61" s="30"/>
      <c r="AL61" s="27">
        <v>17080000</v>
      </c>
      <c r="AM61" s="30"/>
      <c r="AN61" s="27">
        <v>16510000</v>
      </c>
      <c r="AO61" s="30"/>
      <c r="AP61" s="27">
        <v>16976000</v>
      </c>
      <c r="AQ61" s="30"/>
      <c r="AR61" s="27">
        <v>17094000</v>
      </c>
      <c r="AS61" s="30"/>
      <c r="AT61" s="27">
        <v>16976000</v>
      </c>
      <c r="AU61" s="30"/>
      <c r="AV61" s="27">
        <v>17014000</v>
      </c>
      <c r="AW61" s="30"/>
      <c r="AX61" s="27">
        <v>16984000</v>
      </c>
      <c r="AY61" s="30"/>
      <c r="AZ61" s="27">
        <v>17051000</v>
      </c>
      <c r="BA61" s="30"/>
      <c r="BB61" s="27">
        <v>16609000</v>
      </c>
      <c r="BC61" s="30"/>
      <c r="BD61" s="27">
        <v>16609000</v>
      </c>
      <c r="BE61" s="30"/>
      <c r="BF61" s="27">
        <v>16609000</v>
      </c>
      <c r="BG61" s="30"/>
      <c r="BH61" s="27">
        <v>16609000</v>
      </c>
      <c r="BI61" s="30"/>
      <c r="BJ61" s="27">
        <v>16601000</v>
      </c>
      <c r="BK61" s="30"/>
      <c r="BL61" s="27">
        <v>16651000</v>
      </c>
      <c r="BM61" s="30"/>
      <c r="BN61" s="27">
        <v>16651000</v>
      </c>
      <c r="BO61" s="30"/>
      <c r="BP61" s="27">
        <v>16641000</v>
      </c>
      <c r="BQ61" s="30"/>
      <c r="BR61" s="27">
        <v>16609000</v>
      </c>
      <c r="BS61" s="30"/>
      <c r="BT61" s="27">
        <v>16598000</v>
      </c>
      <c r="BU61" s="30"/>
      <c r="BV61" s="27">
        <v>16598000</v>
      </c>
      <c r="BW61" s="30"/>
      <c r="BX61" s="27">
        <v>16598000</v>
      </c>
      <c r="BY61" s="30"/>
      <c r="BZ61" s="27">
        <v>16592000</v>
      </c>
      <c r="CA61" s="30"/>
      <c r="CB61" s="27">
        <v>16541000</v>
      </c>
      <c r="CC61" s="30"/>
      <c r="CD61" s="27">
        <v>16541000</v>
      </c>
      <c r="CE61" s="30"/>
      <c r="CF61" s="27">
        <v>16592000</v>
      </c>
      <c r="CG61" s="30"/>
      <c r="CH61" s="27">
        <v>16895000</v>
      </c>
      <c r="CI61" s="30"/>
    </row>
    <row r="62" spans="1:87">
      <c r="A62" s="24"/>
      <c r="B62" s="25" t="s">
        <v>228</v>
      </c>
      <c r="C62" s="26">
        <v>380</v>
      </c>
      <c r="D62" s="26">
        <v>978</v>
      </c>
      <c r="E62" s="26">
        <v>600</v>
      </c>
      <c r="F62" s="27">
        <v>19452000</v>
      </c>
      <c r="G62" s="30"/>
      <c r="H62" s="27">
        <v>18216000</v>
      </c>
      <c r="I62" s="30"/>
      <c r="J62" s="27">
        <v>20683000</v>
      </c>
      <c r="K62" s="30"/>
      <c r="L62" s="27">
        <v>19565000</v>
      </c>
      <c r="M62" s="30"/>
      <c r="N62" s="27">
        <v>22609000</v>
      </c>
      <c r="O62" s="30"/>
      <c r="P62" s="27">
        <v>17777000</v>
      </c>
      <c r="Q62" s="30"/>
      <c r="R62" s="27">
        <v>20252000</v>
      </c>
      <c r="S62" s="30"/>
      <c r="T62" s="29"/>
      <c r="U62" s="30"/>
      <c r="V62" s="27">
        <v>17038000</v>
      </c>
      <c r="W62" s="30"/>
      <c r="X62" s="27">
        <v>16810000</v>
      </c>
      <c r="Y62" s="30"/>
      <c r="Z62" s="27">
        <v>17319000</v>
      </c>
      <c r="AA62" s="30"/>
      <c r="AB62" s="27">
        <v>17432000</v>
      </c>
      <c r="AC62" s="30"/>
      <c r="AD62" s="27">
        <v>17474000</v>
      </c>
      <c r="AE62" s="30"/>
      <c r="AF62" s="27">
        <v>17678000</v>
      </c>
      <c r="AG62" s="30"/>
      <c r="AH62" s="27">
        <v>17678000</v>
      </c>
      <c r="AI62" s="30"/>
      <c r="AJ62" s="27">
        <v>17424000</v>
      </c>
      <c r="AK62" s="30"/>
      <c r="AL62" s="27">
        <v>17814000</v>
      </c>
      <c r="AM62" s="30"/>
      <c r="AN62" s="27">
        <v>17059000</v>
      </c>
      <c r="AO62" s="30"/>
      <c r="AP62" s="27">
        <v>17674000</v>
      </c>
      <c r="AQ62" s="30"/>
      <c r="AR62" s="27">
        <v>17830000</v>
      </c>
      <c r="AS62" s="30"/>
      <c r="AT62" s="27">
        <v>17674000</v>
      </c>
      <c r="AU62" s="30"/>
      <c r="AV62" s="27">
        <v>17726000</v>
      </c>
      <c r="AW62" s="30"/>
      <c r="AX62" s="27">
        <v>17686000</v>
      </c>
      <c r="AY62" s="30"/>
      <c r="AZ62" s="27">
        <v>17775000</v>
      </c>
      <c r="BA62" s="30"/>
      <c r="BB62" s="27">
        <v>17200000</v>
      </c>
      <c r="BC62" s="30"/>
      <c r="BD62" s="27">
        <v>17200000</v>
      </c>
      <c r="BE62" s="30"/>
      <c r="BF62" s="27">
        <v>17200000</v>
      </c>
      <c r="BG62" s="30"/>
      <c r="BH62" s="27">
        <v>17200000</v>
      </c>
      <c r="BI62" s="30"/>
      <c r="BJ62" s="27">
        <v>17189000</v>
      </c>
      <c r="BK62" s="30"/>
      <c r="BL62" s="27">
        <v>17257000</v>
      </c>
      <c r="BM62" s="30"/>
      <c r="BN62" s="27">
        <v>17257000</v>
      </c>
      <c r="BO62" s="30"/>
      <c r="BP62" s="27">
        <v>17243000</v>
      </c>
      <c r="BQ62" s="30"/>
      <c r="BR62" s="27">
        <v>17200000</v>
      </c>
      <c r="BS62" s="30"/>
      <c r="BT62" s="27">
        <v>17186000</v>
      </c>
      <c r="BU62" s="30"/>
      <c r="BV62" s="27">
        <v>17186000</v>
      </c>
      <c r="BW62" s="30"/>
      <c r="BX62" s="27">
        <v>17186000</v>
      </c>
      <c r="BY62" s="30"/>
      <c r="BZ62" s="27">
        <v>17152000</v>
      </c>
      <c r="CA62" s="30"/>
      <c r="CB62" s="27">
        <v>17084000</v>
      </c>
      <c r="CC62" s="30"/>
      <c r="CD62" s="27">
        <v>17084000</v>
      </c>
      <c r="CE62" s="30"/>
      <c r="CF62" s="27">
        <v>17152000</v>
      </c>
      <c r="CG62" s="30"/>
      <c r="CH62" s="27">
        <v>17563000</v>
      </c>
      <c r="CI62" s="30"/>
    </row>
    <row r="63" spans="1:87">
      <c r="A63" s="24"/>
      <c r="B63" s="25" t="s">
        <v>229</v>
      </c>
      <c r="C63" s="26">
        <v>380</v>
      </c>
      <c r="D63" s="26">
        <v>978</v>
      </c>
      <c r="E63" s="26">
        <v>900</v>
      </c>
      <c r="F63" s="27">
        <v>21753000</v>
      </c>
      <c r="G63" s="30"/>
      <c r="H63" s="27">
        <v>19899000</v>
      </c>
      <c r="I63" s="30"/>
      <c r="J63" s="27">
        <v>23599000</v>
      </c>
      <c r="K63" s="30"/>
      <c r="L63" s="27">
        <v>21923000</v>
      </c>
      <c r="M63" s="30"/>
      <c r="N63" s="27">
        <v>26489000</v>
      </c>
      <c r="O63" s="30"/>
      <c r="P63" s="27">
        <v>19093000</v>
      </c>
      <c r="Q63" s="30"/>
      <c r="R63" s="27">
        <v>23218000</v>
      </c>
      <c r="S63" s="30"/>
      <c r="T63" s="29"/>
      <c r="U63" s="30"/>
      <c r="V63" s="27">
        <v>18118000</v>
      </c>
      <c r="W63" s="30"/>
      <c r="X63" s="27">
        <v>17776000</v>
      </c>
      <c r="Y63" s="30"/>
      <c r="Z63" s="27">
        <v>18524000</v>
      </c>
      <c r="AA63" s="30"/>
      <c r="AB63" s="27">
        <v>18686000</v>
      </c>
      <c r="AC63" s="30"/>
      <c r="AD63" s="27">
        <v>18737000</v>
      </c>
      <c r="AE63" s="30"/>
      <c r="AF63" s="27">
        <v>19034000</v>
      </c>
      <c r="AG63" s="30"/>
      <c r="AH63" s="27">
        <v>19034000</v>
      </c>
      <c r="AI63" s="30"/>
      <c r="AJ63" s="27">
        <v>18679000</v>
      </c>
      <c r="AK63" s="30"/>
      <c r="AL63" s="27">
        <v>19261000</v>
      </c>
      <c r="AM63" s="30"/>
      <c r="AN63" s="27">
        <v>18134000</v>
      </c>
      <c r="AO63" s="30"/>
      <c r="AP63" s="27">
        <v>19047000</v>
      </c>
      <c r="AQ63" s="30"/>
      <c r="AR63" s="27">
        <v>19281000</v>
      </c>
      <c r="AS63" s="30"/>
      <c r="AT63" s="27">
        <v>19047000</v>
      </c>
      <c r="AU63" s="30"/>
      <c r="AV63" s="27">
        <v>19127000</v>
      </c>
      <c r="AW63" s="30"/>
      <c r="AX63" s="27">
        <v>19068000</v>
      </c>
      <c r="AY63" s="30"/>
      <c r="AZ63" s="27">
        <v>19202000</v>
      </c>
      <c r="BA63" s="30"/>
      <c r="BB63" s="27">
        <v>18361000</v>
      </c>
      <c r="BC63" s="30"/>
      <c r="BD63" s="27">
        <v>18361000</v>
      </c>
      <c r="BE63" s="30"/>
      <c r="BF63" s="27">
        <v>18361000</v>
      </c>
      <c r="BG63" s="30"/>
      <c r="BH63" s="27">
        <v>18361000</v>
      </c>
      <c r="BI63" s="30"/>
      <c r="BJ63" s="27">
        <v>18345000</v>
      </c>
      <c r="BK63" s="30"/>
      <c r="BL63" s="27">
        <v>18446000</v>
      </c>
      <c r="BM63" s="30"/>
      <c r="BN63" s="27">
        <v>18446000</v>
      </c>
      <c r="BO63" s="30"/>
      <c r="BP63" s="27">
        <v>18424000</v>
      </c>
      <c r="BQ63" s="30"/>
      <c r="BR63" s="27">
        <v>18361000</v>
      </c>
      <c r="BS63" s="30"/>
      <c r="BT63" s="27">
        <v>18339000</v>
      </c>
      <c r="BU63" s="30"/>
      <c r="BV63" s="27">
        <v>18339000</v>
      </c>
      <c r="BW63" s="30"/>
      <c r="BX63" s="27">
        <v>18339000</v>
      </c>
      <c r="BY63" s="30"/>
      <c r="BZ63" s="27">
        <v>18250000</v>
      </c>
      <c r="CA63" s="30"/>
      <c r="CB63" s="27">
        <v>18148000</v>
      </c>
      <c r="CC63" s="30"/>
      <c r="CD63" s="27">
        <v>18148000</v>
      </c>
      <c r="CE63" s="30"/>
      <c r="CF63" s="27">
        <v>18250000</v>
      </c>
      <c r="CG63" s="30"/>
      <c r="CH63" s="27">
        <v>18877000</v>
      </c>
      <c r="CI63" s="30"/>
    </row>
    <row r="64" spans="1:87" ht="63" customHeight="1">
      <c r="A64" s="16" t="e">
        <f ca="1">_xludf.image("https://lh3.google.com/u/0/d/1FYX4okAcN43RMMTEPScFDFOi07fVzH5I",1)</f>
        <v>#NAME?</v>
      </c>
      <c r="B64" s="17" t="s">
        <v>230</v>
      </c>
      <c r="C64" s="147"/>
      <c r="D64" s="145"/>
      <c r="E64" s="146"/>
      <c r="F64" s="63"/>
      <c r="G64" s="64"/>
      <c r="H64" s="63"/>
      <c r="I64" s="64"/>
      <c r="J64" s="63"/>
      <c r="K64" s="64"/>
      <c r="L64" s="63"/>
      <c r="M64" s="64"/>
      <c r="N64" s="63"/>
      <c r="O64" s="64"/>
      <c r="P64" s="63"/>
      <c r="Q64" s="64"/>
      <c r="R64" s="63"/>
      <c r="S64" s="64"/>
      <c r="T64" s="63"/>
      <c r="U64" s="64"/>
      <c r="V64" s="63"/>
      <c r="W64" s="64"/>
      <c r="X64" s="63"/>
      <c r="Y64" s="64"/>
      <c r="Z64" s="63"/>
      <c r="AA64" s="64"/>
      <c r="AB64" s="63"/>
      <c r="AC64" s="64"/>
      <c r="AD64" s="63"/>
      <c r="AE64" s="64"/>
      <c r="AF64" s="63"/>
      <c r="AG64" s="64"/>
      <c r="AH64" s="63"/>
      <c r="AI64" s="64"/>
      <c r="AJ64" s="63"/>
      <c r="AK64" s="64"/>
      <c r="AL64" s="63"/>
      <c r="AM64" s="64"/>
      <c r="AN64" s="63"/>
      <c r="AO64" s="64"/>
      <c r="AP64" s="63"/>
      <c r="AQ64" s="64"/>
      <c r="AR64" s="63"/>
      <c r="AS64" s="64"/>
      <c r="AT64" s="63"/>
      <c r="AU64" s="64"/>
      <c r="AV64" s="63"/>
      <c r="AW64" s="64"/>
      <c r="AX64" s="63"/>
      <c r="AY64" s="64"/>
      <c r="AZ64" s="63"/>
      <c r="BA64" s="64"/>
      <c r="BB64" s="63"/>
      <c r="BC64" s="64"/>
      <c r="BD64" s="63"/>
      <c r="BE64" s="64"/>
      <c r="BF64" s="63"/>
      <c r="BG64" s="64"/>
      <c r="BH64" s="63"/>
      <c r="BI64" s="64"/>
      <c r="BJ64" s="63"/>
      <c r="BK64" s="64"/>
      <c r="BL64" s="63"/>
      <c r="BM64" s="64"/>
      <c r="BN64" s="63"/>
      <c r="BO64" s="64"/>
      <c r="BP64" s="63"/>
      <c r="BQ64" s="64"/>
      <c r="BR64" s="63"/>
      <c r="BS64" s="64"/>
      <c r="BT64" s="63"/>
      <c r="BU64" s="64"/>
      <c r="BV64" s="63"/>
      <c r="BW64" s="64"/>
      <c r="BX64" s="63"/>
      <c r="BY64" s="64"/>
      <c r="BZ64" s="63"/>
      <c r="CA64" s="64"/>
      <c r="CB64" s="63"/>
      <c r="CC64" s="64"/>
      <c r="CD64" s="63"/>
      <c r="CE64" s="64"/>
      <c r="CF64" s="63"/>
      <c r="CG64" s="64"/>
      <c r="CH64" s="63"/>
      <c r="CI64" s="64"/>
    </row>
    <row r="65" spans="1:87" ht="12.75">
      <c r="A65" s="20"/>
      <c r="B65" s="21" t="s">
        <v>231</v>
      </c>
      <c r="C65" s="65"/>
      <c r="D65" s="65"/>
      <c r="E65" s="66"/>
      <c r="F65" s="22"/>
      <c r="G65" s="23"/>
      <c r="H65" s="22"/>
      <c r="I65" s="23"/>
      <c r="J65" s="22"/>
      <c r="K65" s="23"/>
      <c r="L65" s="22"/>
      <c r="M65" s="23"/>
      <c r="N65" s="22"/>
      <c r="O65" s="23"/>
      <c r="P65" s="22"/>
      <c r="Q65" s="23"/>
      <c r="R65" s="22"/>
      <c r="S65" s="23"/>
      <c r="T65" s="22"/>
      <c r="U65" s="23"/>
      <c r="V65" s="22"/>
      <c r="W65" s="23"/>
      <c r="X65" s="22"/>
      <c r="Y65" s="23"/>
      <c r="Z65" s="22"/>
      <c r="AA65" s="23"/>
      <c r="AB65" s="22"/>
      <c r="AC65" s="23"/>
      <c r="AD65" s="22"/>
      <c r="AE65" s="23"/>
      <c r="AF65" s="22"/>
      <c r="AG65" s="23"/>
      <c r="AH65" s="22"/>
      <c r="AI65" s="23"/>
      <c r="AJ65" s="22"/>
      <c r="AK65" s="23"/>
      <c r="AL65" s="22"/>
      <c r="AM65" s="23"/>
      <c r="AN65" s="22"/>
      <c r="AO65" s="23"/>
      <c r="AP65" s="22"/>
      <c r="AQ65" s="23"/>
      <c r="AR65" s="22"/>
      <c r="AS65" s="23"/>
      <c r="AT65" s="22"/>
      <c r="AU65" s="23"/>
      <c r="AV65" s="22"/>
      <c r="AW65" s="23"/>
      <c r="AX65" s="22"/>
      <c r="AY65" s="23"/>
      <c r="AZ65" s="22"/>
      <c r="BA65" s="23"/>
      <c r="BB65" s="22"/>
      <c r="BC65" s="23"/>
      <c r="BD65" s="22"/>
      <c r="BE65" s="23"/>
      <c r="BF65" s="22"/>
      <c r="BG65" s="23"/>
      <c r="BH65" s="22"/>
      <c r="BI65" s="23"/>
      <c r="BJ65" s="22"/>
      <c r="BK65" s="23"/>
      <c r="BL65" s="22"/>
      <c r="BM65" s="23"/>
      <c r="BN65" s="22"/>
      <c r="BO65" s="23"/>
      <c r="BP65" s="22"/>
      <c r="BQ65" s="23"/>
      <c r="BR65" s="22"/>
      <c r="BS65" s="23"/>
      <c r="BT65" s="22"/>
      <c r="BU65" s="23"/>
      <c r="BV65" s="22"/>
      <c r="BW65" s="23"/>
      <c r="BX65" s="22"/>
      <c r="BY65" s="23"/>
      <c r="BZ65" s="22"/>
      <c r="CA65" s="23"/>
      <c r="CB65" s="22"/>
      <c r="CC65" s="23"/>
      <c r="CD65" s="22"/>
      <c r="CE65" s="23"/>
      <c r="CF65" s="22"/>
      <c r="CG65" s="23"/>
      <c r="CH65" s="22"/>
      <c r="CI65" s="23"/>
    </row>
    <row r="66" spans="1:87">
      <c r="A66" s="24" t="s">
        <v>232</v>
      </c>
      <c r="B66" s="25" t="s">
        <v>233</v>
      </c>
      <c r="C66" s="26">
        <v>450</v>
      </c>
      <c r="D66" s="26">
        <v>350</v>
      </c>
      <c r="E66" s="26">
        <v>700</v>
      </c>
      <c r="F66" s="27">
        <v>3099000</v>
      </c>
      <c r="G66" s="28">
        <v>3446000</v>
      </c>
      <c r="H66" s="27">
        <v>2583000</v>
      </c>
      <c r="I66" s="28">
        <v>2930000</v>
      </c>
      <c r="J66" s="27">
        <v>3613000</v>
      </c>
      <c r="K66" s="28">
        <v>3960000</v>
      </c>
      <c r="L66" s="27">
        <v>3147000</v>
      </c>
      <c r="M66" s="28">
        <v>3494000</v>
      </c>
      <c r="N66" s="27">
        <v>4418000</v>
      </c>
      <c r="O66" s="28">
        <v>4765000</v>
      </c>
      <c r="P66" s="27">
        <v>2788000</v>
      </c>
      <c r="Q66" s="28">
        <v>3135000</v>
      </c>
      <c r="R66" s="27">
        <v>3519000</v>
      </c>
      <c r="S66" s="28">
        <v>3866000</v>
      </c>
      <c r="T66" s="29"/>
      <c r="U66" s="30"/>
      <c r="V66" s="27">
        <v>2105000</v>
      </c>
      <c r="W66" s="28">
        <v>2452000</v>
      </c>
      <c r="X66" s="27">
        <v>2010000</v>
      </c>
      <c r="Y66" s="28">
        <v>2357000</v>
      </c>
      <c r="Z66" s="27">
        <v>2239000</v>
      </c>
      <c r="AA66" s="28">
        <v>2586000</v>
      </c>
      <c r="AB66" s="27">
        <v>2294000</v>
      </c>
      <c r="AC66" s="28">
        <v>2641000</v>
      </c>
      <c r="AD66" s="27">
        <v>2323000</v>
      </c>
      <c r="AE66" s="28">
        <v>2670000</v>
      </c>
      <c r="AF66" s="27">
        <v>2418000</v>
      </c>
      <c r="AG66" s="28">
        <v>2765000</v>
      </c>
      <c r="AH66" s="27">
        <v>2418000</v>
      </c>
      <c r="AI66" s="28">
        <v>2765000</v>
      </c>
      <c r="AJ66" s="27">
        <v>2286000</v>
      </c>
      <c r="AK66" s="28">
        <v>2633000</v>
      </c>
      <c r="AL66" s="27">
        <v>2451000</v>
      </c>
      <c r="AM66" s="28">
        <v>2798000</v>
      </c>
      <c r="AN66" s="27">
        <v>2130000</v>
      </c>
      <c r="AO66" s="28">
        <v>2477000</v>
      </c>
      <c r="AP66" s="27">
        <v>2397000</v>
      </c>
      <c r="AQ66" s="28">
        <v>2744000</v>
      </c>
      <c r="AR66" s="27">
        <v>2462000</v>
      </c>
      <c r="AS66" s="28">
        <v>2809000</v>
      </c>
      <c r="AT66" s="27">
        <v>2397000</v>
      </c>
      <c r="AU66" s="28">
        <v>2744000</v>
      </c>
      <c r="AV66" s="27">
        <v>2415000</v>
      </c>
      <c r="AW66" s="28">
        <v>2762000</v>
      </c>
      <c r="AX66" s="27">
        <v>2398000</v>
      </c>
      <c r="AY66" s="28">
        <v>2745000</v>
      </c>
      <c r="AZ66" s="27">
        <v>2436000</v>
      </c>
      <c r="BA66" s="28">
        <v>2783000</v>
      </c>
      <c r="BB66" s="27">
        <v>2174000</v>
      </c>
      <c r="BC66" s="28">
        <v>2521000</v>
      </c>
      <c r="BD66" s="27">
        <v>2174000</v>
      </c>
      <c r="BE66" s="28">
        <v>2521000</v>
      </c>
      <c r="BF66" s="27">
        <v>2174000</v>
      </c>
      <c r="BG66" s="28">
        <v>2521000</v>
      </c>
      <c r="BH66" s="27">
        <v>2174000</v>
      </c>
      <c r="BI66" s="28">
        <v>2521000</v>
      </c>
      <c r="BJ66" s="27">
        <v>2170000</v>
      </c>
      <c r="BK66" s="28">
        <v>2517000</v>
      </c>
      <c r="BL66" s="27">
        <v>2198000</v>
      </c>
      <c r="BM66" s="28">
        <v>2545000</v>
      </c>
      <c r="BN66" s="27">
        <v>2198000</v>
      </c>
      <c r="BO66" s="28">
        <v>2545000</v>
      </c>
      <c r="BP66" s="27">
        <v>2192000</v>
      </c>
      <c r="BQ66" s="28">
        <v>2539000</v>
      </c>
      <c r="BR66" s="27">
        <v>2174000</v>
      </c>
      <c r="BS66" s="28">
        <v>2521000</v>
      </c>
      <c r="BT66" s="27">
        <v>2168000</v>
      </c>
      <c r="BU66" s="28">
        <v>2515000</v>
      </c>
      <c r="BV66" s="27">
        <v>2168000</v>
      </c>
      <c r="BW66" s="28">
        <v>2515000</v>
      </c>
      <c r="BX66" s="27">
        <v>2168000</v>
      </c>
      <c r="BY66" s="28">
        <v>2515000</v>
      </c>
      <c r="BZ66" s="27">
        <v>2193000</v>
      </c>
      <c r="CA66" s="28">
        <v>2540000</v>
      </c>
      <c r="CB66" s="27">
        <v>2164000</v>
      </c>
      <c r="CC66" s="28">
        <v>2511000</v>
      </c>
      <c r="CD66" s="27">
        <v>2164000</v>
      </c>
      <c r="CE66" s="28">
        <v>2511000</v>
      </c>
      <c r="CF66" s="27">
        <v>2193000</v>
      </c>
      <c r="CG66" s="28">
        <v>2540000</v>
      </c>
      <c r="CH66" s="27">
        <v>2354000</v>
      </c>
      <c r="CI66" s="28">
        <v>2701000</v>
      </c>
    </row>
    <row r="67" spans="1:87">
      <c r="A67" s="24"/>
      <c r="B67" s="25" t="s">
        <v>234</v>
      </c>
      <c r="C67" s="26">
        <v>450</v>
      </c>
      <c r="D67" s="26">
        <v>350</v>
      </c>
      <c r="E67" s="26">
        <v>920</v>
      </c>
      <c r="F67" s="27">
        <v>4470000</v>
      </c>
      <c r="G67" s="28">
        <v>4927000</v>
      </c>
      <c r="H67" s="27">
        <v>3791000</v>
      </c>
      <c r="I67" s="28">
        <v>4248000</v>
      </c>
      <c r="J67" s="27">
        <v>5145000</v>
      </c>
      <c r="K67" s="28">
        <v>5602000</v>
      </c>
      <c r="L67" s="27">
        <v>4532000</v>
      </c>
      <c r="M67" s="28">
        <v>4989000</v>
      </c>
      <c r="N67" s="27">
        <v>6202000</v>
      </c>
      <c r="O67" s="28">
        <v>6659000</v>
      </c>
      <c r="P67" s="27">
        <v>3971000</v>
      </c>
      <c r="Q67" s="28">
        <v>4428000</v>
      </c>
      <c r="R67" s="27">
        <v>4994000</v>
      </c>
      <c r="S67" s="28">
        <v>5451000</v>
      </c>
      <c r="T67" s="29"/>
      <c r="U67" s="30"/>
      <c r="V67" s="27">
        <v>3157000</v>
      </c>
      <c r="W67" s="28">
        <v>3614000</v>
      </c>
      <c r="X67" s="27">
        <v>3032000</v>
      </c>
      <c r="Y67" s="28">
        <v>3489000</v>
      </c>
      <c r="Z67" s="27">
        <v>3326000</v>
      </c>
      <c r="AA67" s="28">
        <v>3783000</v>
      </c>
      <c r="AB67" s="27">
        <v>3395000</v>
      </c>
      <c r="AC67" s="28">
        <v>3852000</v>
      </c>
      <c r="AD67" s="27">
        <v>3427000</v>
      </c>
      <c r="AE67" s="28">
        <v>3884000</v>
      </c>
      <c r="AF67" s="27">
        <v>3548000</v>
      </c>
      <c r="AG67" s="28">
        <v>4005000</v>
      </c>
      <c r="AH67" s="27">
        <v>3548000</v>
      </c>
      <c r="AI67" s="28">
        <v>4005000</v>
      </c>
      <c r="AJ67" s="27">
        <v>3386000</v>
      </c>
      <c r="AK67" s="28">
        <v>3843000</v>
      </c>
      <c r="AL67" s="27">
        <v>3602000</v>
      </c>
      <c r="AM67" s="28">
        <v>4059000</v>
      </c>
      <c r="AN67" s="27">
        <v>3182000</v>
      </c>
      <c r="AO67" s="28">
        <v>3639000</v>
      </c>
      <c r="AP67" s="27">
        <v>3528000</v>
      </c>
      <c r="AQ67" s="28">
        <v>3985000</v>
      </c>
      <c r="AR67" s="27">
        <v>3614000</v>
      </c>
      <c r="AS67" s="28">
        <v>4071000</v>
      </c>
      <c r="AT67" s="27">
        <v>3528000</v>
      </c>
      <c r="AU67" s="28">
        <v>3985000</v>
      </c>
      <c r="AV67" s="27">
        <v>3554000</v>
      </c>
      <c r="AW67" s="28">
        <v>4011000</v>
      </c>
      <c r="AX67" s="27">
        <v>3532000</v>
      </c>
      <c r="AY67" s="28">
        <v>3989000</v>
      </c>
      <c r="AZ67" s="27">
        <v>3581000</v>
      </c>
      <c r="BA67" s="28">
        <v>4038000</v>
      </c>
      <c r="BB67" s="27">
        <v>3247000</v>
      </c>
      <c r="BC67" s="28">
        <v>3704000</v>
      </c>
      <c r="BD67" s="27">
        <v>3247000</v>
      </c>
      <c r="BE67" s="28">
        <v>3704000</v>
      </c>
      <c r="BF67" s="27">
        <v>3247000</v>
      </c>
      <c r="BG67" s="28">
        <v>3704000</v>
      </c>
      <c r="BH67" s="27">
        <v>3247000</v>
      </c>
      <c r="BI67" s="28">
        <v>3704000</v>
      </c>
      <c r="BJ67" s="27">
        <v>3241000</v>
      </c>
      <c r="BK67" s="28">
        <v>3698000</v>
      </c>
      <c r="BL67" s="27">
        <v>3278000</v>
      </c>
      <c r="BM67" s="28">
        <v>3735000</v>
      </c>
      <c r="BN67" s="27">
        <v>3278000</v>
      </c>
      <c r="BO67" s="28">
        <v>3735000</v>
      </c>
      <c r="BP67" s="27">
        <v>3270000</v>
      </c>
      <c r="BQ67" s="28">
        <v>3727000</v>
      </c>
      <c r="BR67" s="27">
        <v>3247000</v>
      </c>
      <c r="BS67" s="28">
        <v>3704000</v>
      </c>
      <c r="BT67" s="27">
        <v>3239000</v>
      </c>
      <c r="BU67" s="28">
        <v>3696000</v>
      </c>
      <c r="BV67" s="27">
        <v>3239000</v>
      </c>
      <c r="BW67" s="28">
        <v>3696000</v>
      </c>
      <c r="BX67" s="27">
        <v>3239000</v>
      </c>
      <c r="BY67" s="28">
        <v>3696000</v>
      </c>
      <c r="BZ67" s="27">
        <v>3254000</v>
      </c>
      <c r="CA67" s="28">
        <v>3711000</v>
      </c>
      <c r="CB67" s="27">
        <v>3217000</v>
      </c>
      <c r="CC67" s="28">
        <v>3674000</v>
      </c>
      <c r="CD67" s="27">
        <v>3217000</v>
      </c>
      <c r="CE67" s="28">
        <v>3674000</v>
      </c>
      <c r="CF67" s="27">
        <v>3254000</v>
      </c>
      <c r="CG67" s="28">
        <v>3711000</v>
      </c>
      <c r="CH67" s="27">
        <v>3471000</v>
      </c>
      <c r="CI67" s="28">
        <v>3928000</v>
      </c>
    </row>
    <row r="68" spans="1:87">
      <c r="A68" s="24" t="s">
        <v>235</v>
      </c>
      <c r="B68" s="25" t="s">
        <v>236</v>
      </c>
      <c r="C68" s="26">
        <v>450</v>
      </c>
      <c r="D68" s="26">
        <v>550</v>
      </c>
      <c r="E68" s="26">
        <v>700</v>
      </c>
      <c r="F68" s="27">
        <v>4553000</v>
      </c>
      <c r="G68" s="28">
        <v>4900000</v>
      </c>
      <c r="H68" s="27">
        <v>3742000</v>
      </c>
      <c r="I68" s="28">
        <v>4089000</v>
      </c>
      <c r="J68" s="27">
        <v>5360000</v>
      </c>
      <c r="K68" s="28">
        <v>5707000</v>
      </c>
      <c r="L68" s="27">
        <v>4627000</v>
      </c>
      <c r="M68" s="28">
        <v>4974000</v>
      </c>
      <c r="N68" s="27">
        <v>6624000</v>
      </c>
      <c r="O68" s="28">
        <v>6971000</v>
      </c>
      <c r="P68" s="27">
        <v>3845000</v>
      </c>
      <c r="Q68" s="28">
        <v>4192000</v>
      </c>
      <c r="R68" s="27">
        <v>5307000</v>
      </c>
      <c r="S68" s="28">
        <v>5654000</v>
      </c>
      <c r="T68" s="29"/>
      <c r="U68" s="30"/>
      <c r="V68" s="27">
        <v>2979000</v>
      </c>
      <c r="W68" s="28">
        <v>3326000</v>
      </c>
      <c r="X68" s="27">
        <v>2829000</v>
      </c>
      <c r="Y68" s="28">
        <v>3176000</v>
      </c>
      <c r="Z68" s="27">
        <v>3176000</v>
      </c>
      <c r="AA68" s="28">
        <v>3523000</v>
      </c>
      <c r="AB68" s="27">
        <v>3257000</v>
      </c>
      <c r="AC68" s="28">
        <v>3604000</v>
      </c>
      <c r="AD68" s="27">
        <v>3292000</v>
      </c>
      <c r="AE68" s="28">
        <v>3639000</v>
      </c>
      <c r="AF68" s="27">
        <v>3434000</v>
      </c>
      <c r="AG68" s="28">
        <v>3781000</v>
      </c>
      <c r="AH68" s="27">
        <v>3434000</v>
      </c>
      <c r="AI68" s="28">
        <v>3781000</v>
      </c>
      <c r="AJ68" s="27">
        <v>3247000</v>
      </c>
      <c r="AK68" s="28">
        <v>3594000</v>
      </c>
      <c r="AL68" s="27">
        <v>3505000</v>
      </c>
      <c r="AM68" s="28">
        <v>3852000</v>
      </c>
      <c r="AN68" s="27">
        <v>3005000</v>
      </c>
      <c r="AO68" s="28">
        <v>3352000</v>
      </c>
      <c r="AP68" s="27">
        <v>3416000</v>
      </c>
      <c r="AQ68" s="28">
        <v>3763000</v>
      </c>
      <c r="AR68" s="27">
        <v>3519000</v>
      </c>
      <c r="AS68" s="28">
        <v>3866000</v>
      </c>
      <c r="AT68" s="27">
        <v>3416000</v>
      </c>
      <c r="AU68" s="28">
        <v>3763000</v>
      </c>
      <c r="AV68" s="27">
        <v>3448000</v>
      </c>
      <c r="AW68" s="28">
        <v>3795000</v>
      </c>
      <c r="AX68" s="27">
        <v>3422000</v>
      </c>
      <c r="AY68" s="28">
        <v>3769000</v>
      </c>
      <c r="AZ68" s="27">
        <v>3480000</v>
      </c>
      <c r="BA68" s="28">
        <v>3827000</v>
      </c>
      <c r="BB68" s="27">
        <v>3086000</v>
      </c>
      <c r="BC68" s="28">
        <v>3433000</v>
      </c>
      <c r="BD68" s="27">
        <v>3086000</v>
      </c>
      <c r="BE68" s="28">
        <v>3433000</v>
      </c>
      <c r="BF68" s="27">
        <v>3086000</v>
      </c>
      <c r="BG68" s="28">
        <v>3433000</v>
      </c>
      <c r="BH68" s="27">
        <v>3086000</v>
      </c>
      <c r="BI68" s="28">
        <v>3433000</v>
      </c>
      <c r="BJ68" s="27">
        <v>3080000</v>
      </c>
      <c r="BK68" s="28">
        <v>3427000</v>
      </c>
      <c r="BL68" s="27">
        <v>3124000</v>
      </c>
      <c r="BM68" s="28">
        <v>3471000</v>
      </c>
      <c r="BN68" s="27">
        <v>3124000</v>
      </c>
      <c r="BO68" s="28">
        <v>3471000</v>
      </c>
      <c r="BP68" s="27">
        <v>3114000</v>
      </c>
      <c r="BQ68" s="28">
        <v>3461000</v>
      </c>
      <c r="BR68" s="27">
        <v>3086000</v>
      </c>
      <c r="BS68" s="28">
        <v>3433000</v>
      </c>
      <c r="BT68" s="27">
        <v>3077000</v>
      </c>
      <c r="BU68" s="28">
        <v>3424000</v>
      </c>
      <c r="BV68" s="27">
        <v>3077000</v>
      </c>
      <c r="BW68" s="28">
        <v>3424000</v>
      </c>
      <c r="BX68" s="27">
        <v>3077000</v>
      </c>
      <c r="BY68" s="28">
        <v>3424000</v>
      </c>
      <c r="BZ68" s="27">
        <v>3084000</v>
      </c>
      <c r="CA68" s="28">
        <v>3431000</v>
      </c>
      <c r="CB68" s="27">
        <v>3039000</v>
      </c>
      <c r="CC68" s="28">
        <v>3386000</v>
      </c>
      <c r="CD68" s="27">
        <v>3039000</v>
      </c>
      <c r="CE68" s="28">
        <v>3386000</v>
      </c>
      <c r="CF68" s="27">
        <v>3084000</v>
      </c>
      <c r="CG68" s="28">
        <v>3431000</v>
      </c>
      <c r="CH68" s="27">
        <v>3346000</v>
      </c>
      <c r="CI68" s="28">
        <v>3693000</v>
      </c>
    </row>
    <row r="69" spans="1:87">
      <c r="A69" s="24"/>
      <c r="B69" s="25" t="s">
        <v>237</v>
      </c>
      <c r="C69" s="26">
        <v>450</v>
      </c>
      <c r="D69" s="26">
        <v>550</v>
      </c>
      <c r="E69" s="26">
        <v>920</v>
      </c>
      <c r="F69" s="27">
        <v>6413000</v>
      </c>
      <c r="G69" s="28">
        <v>6869000</v>
      </c>
      <c r="H69" s="27">
        <v>5347000</v>
      </c>
      <c r="I69" s="28">
        <v>5803000</v>
      </c>
      <c r="J69" s="27">
        <v>7474000</v>
      </c>
      <c r="K69" s="28">
        <v>7930000</v>
      </c>
      <c r="L69" s="27">
        <v>6511000</v>
      </c>
      <c r="M69" s="28">
        <v>6967000</v>
      </c>
      <c r="N69" s="27">
        <v>9135000</v>
      </c>
      <c r="O69" s="28">
        <v>9591000</v>
      </c>
      <c r="P69" s="27">
        <v>5348000</v>
      </c>
      <c r="Q69" s="28">
        <v>5804000</v>
      </c>
      <c r="R69" s="27">
        <v>7394000</v>
      </c>
      <c r="S69" s="28">
        <v>7850000</v>
      </c>
      <c r="T69" s="29"/>
      <c r="U69" s="30"/>
      <c r="V69" s="27">
        <v>4335000</v>
      </c>
      <c r="W69" s="28">
        <v>4791000</v>
      </c>
      <c r="X69" s="27">
        <v>4139000</v>
      </c>
      <c r="Y69" s="28">
        <v>4595000</v>
      </c>
      <c r="Z69" s="27">
        <v>4583000</v>
      </c>
      <c r="AA69" s="28">
        <v>5039000</v>
      </c>
      <c r="AB69" s="27">
        <v>4683000</v>
      </c>
      <c r="AC69" s="28">
        <v>5139000</v>
      </c>
      <c r="AD69" s="27">
        <v>4722000</v>
      </c>
      <c r="AE69" s="28">
        <v>5178000</v>
      </c>
      <c r="AF69" s="27">
        <v>4901000</v>
      </c>
      <c r="AG69" s="28">
        <v>5357000</v>
      </c>
      <c r="AH69" s="27">
        <v>4901000</v>
      </c>
      <c r="AI69" s="28">
        <v>5357000</v>
      </c>
      <c r="AJ69" s="27">
        <v>4674000</v>
      </c>
      <c r="AK69" s="28">
        <v>5130000</v>
      </c>
      <c r="AL69" s="27">
        <v>5011000</v>
      </c>
      <c r="AM69" s="28">
        <v>5467000</v>
      </c>
      <c r="AN69" s="27">
        <v>4358000</v>
      </c>
      <c r="AO69" s="28">
        <v>4814000</v>
      </c>
      <c r="AP69" s="27">
        <v>4891000</v>
      </c>
      <c r="AQ69" s="28">
        <v>5347000</v>
      </c>
      <c r="AR69" s="27">
        <v>5026000</v>
      </c>
      <c r="AS69" s="28">
        <v>5482000</v>
      </c>
      <c r="AT69" s="27">
        <v>4891000</v>
      </c>
      <c r="AU69" s="28">
        <v>5347000</v>
      </c>
      <c r="AV69" s="27">
        <v>4935000</v>
      </c>
      <c r="AW69" s="28">
        <v>5391000</v>
      </c>
      <c r="AX69" s="27">
        <v>4901000</v>
      </c>
      <c r="AY69" s="28">
        <v>5357000</v>
      </c>
      <c r="AZ69" s="27">
        <v>4978000</v>
      </c>
      <c r="BA69" s="28">
        <v>5434000</v>
      </c>
      <c r="BB69" s="27">
        <v>4476000</v>
      </c>
      <c r="BC69" s="28">
        <v>4932000</v>
      </c>
      <c r="BD69" s="27">
        <v>4476000</v>
      </c>
      <c r="BE69" s="28">
        <v>4932000</v>
      </c>
      <c r="BF69" s="27">
        <v>4476000</v>
      </c>
      <c r="BG69" s="28">
        <v>4932000</v>
      </c>
      <c r="BH69" s="27">
        <v>4476000</v>
      </c>
      <c r="BI69" s="28">
        <v>4932000</v>
      </c>
      <c r="BJ69" s="27">
        <v>4466000</v>
      </c>
      <c r="BK69" s="28">
        <v>4922000</v>
      </c>
      <c r="BL69" s="27">
        <v>4524000</v>
      </c>
      <c r="BM69" s="28">
        <v>4980000</v>
      </c>
      <c r="BN69" s="27">
        <v>4524000</v>
      </c>
      <c r="BO69" s="28">
        <v>4980000</v>
      </c>
      <c r="BP69" s="27">
        <v>4512000</v>
      </c>
      <c r="BQ69" s="28">
        <v>4968000</v>
      </c>
      <c r="BR69" s="27">
        <v>4476000</v>
      </c>
      <c r="BS69" s="28">
        <v>4932000</v>
      </c>
      <c r="BT69" s="27">
        <v>4463000</v>
      </c>
      <c r="BU69" s="28">
        <v>4919000</v>
      </c>
      <c r="BV69" s="27">
        <v>4463000</v>
      </c>
      <c r="BW69" s="28">
        <v>4919000</v>
      </c>
      <c r="BX69" s="27">
        <v>4463000</v>
      </c>
      <c r="BY69" s="28">
        <v>4919000</v>
      </c>
      <c r="BZ69" s="27">
        <v>4445000</v>
      </c>
      <c r="CA69" s="28">
        <v>4901000</v>
      </c>
      <c r="CB69" s="27">
        <v>4386000</v>
      </c>
      <c r="CC69" s="28">
        <v>4842000</v>
      </c>
      <c r="CD69" s="27">
        <v>4386000</v>
      </c>
      <c r="CE69" s="28">
        <v>4842000</v>
      </c>
      <c r="CF69" s="27">
        <v>4445000</v>
      </c>
      <c r="CG69" s="28">
        <v>4901000</v>
      </c>
      <c r="CH69" s="27">
        <v>4797000</v>
      </c>
      <c r="CI69" s="28">
        <v>5253000</v>
      </c>
    </row>
    <row r="70" spans="1:87" ht="63" customHeight="1">
      <c r="A70" s="16" t="e">
        <f ca="1">_xludf.image("https://lh3.google.com/u/0/d/15SIuX2dOtFeBigv5Egba1vQNS43oAWDh",1)</f>
        <v>#NAME?</v>
      </c>
      <c r="B70" s="17" t="s">
        <v>238</v>
      </c>
      <c r="C70" s="147"/>
      <c r="D70" s="145"/>
      <c r="E70" s="146"/>
      <c r="F70" s="63"/>
      <c r="G70" s="64"/>
      <c r="H70" s="63"/>
      <c r="I70" s="64"/>
      <c r="J70" s="63"/>
      <c r="K70" s="64"/>
      <c r="L70" s="63"/>
      <c r="M70" s="64"/>
      <c r="N70" s="63"/>
      <c r="O70" s="64"/>
      <c r="P70" s="63"/>
      <c r="Q70" s="64"/>
      <c r="R70" s="63"/>
      <c r="S70" s="64"/>
      <c r="T70" s="63"/>
      <c r="U70" s="64"/>
      <c r="V70" s="63"/>
      <c r="W70" s="64"/>
      <c r="X70" s="63"/>
      <c r="Y70" s="64"/>
      <c r="Z70" s="63"/>
      <c r="AA70" s="64"/>
      <c r="AB70" s="63"/>
      <c r="AC70" s="64"/>
      <c r="AD70" s="63"/>
      <c r="AE70" s="64"/>
      <c r="AF70" s="63"/>
      <c r="AG70" s="64"/>
      <c r="AH70" s="63"/>
      <c r="AI70" s="64"/>
      <c r="AJ70" s="63"/>
      <c r="AK70" s="64"/>
      <c r="AL70" s="63"/>
      <c r="AM70" s="64"/>
      <c r="AN70" s="63"/>
      <c r="AO70" s="64"/>
      <c r="AP70" s="63"/>
      <c r="AQ70" s="64"/>
      <c r="AR70" s="63"/>
      <c r="AS70" s="64"/>
      <c r="AT70" s="63"/>
      <c r="AU70" s="64"/>
      <c r="AV70" s="63"/>
      <c r="AW70" s="64"/>
      <c r="AX70" s="63"/>
      <c r="AY70" s="64"/>
      <c r="AZ70" s="63"/>
      <c r="BA70" s="64"/>
      <c r="BB70" s="63"/>
      <c r="BC70" s="64"/>
      <c r="BD70" s="63"/>
      <c r="BE70" s="64"/>
      <c r="BF70" s="63"/>
      <c r="BG70" s="64"/>
      <c r="BH70" s="63"/>
      <c r="BI70" s="64"/>
      <c r="BJ70" s="63"/>
      <c r="BK70" s="64"/>
      <c r="BL70" s="63"/>
      <c r="BM70" s="64"/>
      <c r="BN70" s="63"/>
      <c r="BO70" s="64"/>
      <c r="BP70" s="63"/>
      <c r="BQ70" s="64"/>
      <c r="BR70" s="63"/>
      <c r="BS70" s="64"/>
      <c r="BT70" s="63"/>
      <c r="BU70" s="64"/>
      <c r="BV70" s="63"/>
      <c r="BW70" s="64"/>
      <c r="BX70" s="63"/>
      <c r="BY70" s="64"/>
      <c r="BZ70" s="63"/>
      <c r="CA70" s="64"/>
      <c r="CB70" s="63"/>
      <c r="CC70" s="64"/>
      <c r="CD70" s="63"/>
      <c r="CE70" s="64"/>
      <c r="CF70" s="63"/>
      <c r="CG70" s="64"/>
      <c r="CH70" s="63"/>
      <c r="CI70" s="64"/>
    </row>
    <row r="71" spans="1:87" ht="12.75">
      <c r="A71" s="20"/>
      <c r="B71" s="21" t="s">
        <v>239</v>
      </c>
      <c r="C71" s="65"/>
      <c r="D71" s="65"/>
      <c r="E71" s="66"/>
      <c r="F71" s="22"/>
      <c r="G71" s="23"/>
      <c r="H71" s="22"/>
      <c r="I71" s="23"/>
      <c r="J71" s="22"/>
      <c r="K71" s="23"/>
      <c r="L71" s="22"/>
      <c r="M71" s="23"/>
      <c r="N71" s="22"/>
      <c r="O71" s="23"/>
      <c r="P71" s="22"/>
      <c r="Q71" s="23"/>
      <c r="R71" s="22"/>
      <c r="S71" s="23"/>
      <c r="T71" s="22"/>
      <c r="U71" s="23"/>
      <c r="V71" s="22"/>
      <c r="W71" s="23"/>
      <c r="X71" s="22"/>
      <c r="Y71" s="23"/>
      <c r="Z71" s="22"/>
      <c r="AA71" s="23"/>
      <c r="AB71" s="22"/>
      <c r="AC71" s="23"/>
      <c r="AD71" s="22"/>
      <c r="AE71" s="23"/>
      <c r="AF71" s="22"/>
      <c r="AG71" s="23"/>
      <c r="AH71" s="22"/>
      <c r="AI71" s="23"/>
      <c r="AJ71" s="22"/>
      <c r="AK71" s="23"/>
      <c r="AL71" s="22"/>
      <c r="AM71" s="23"/>
      <c r="AN71" s="22"/>
      <c r="AO71" s="23"/>
      <c r="AP71" s="22"/>
      <c r="AQ71" s="23"/>
      <c r="AR71" s="22"/>
      <c r="AS71" s="23"/>
      <c r="AT71" s="22"/>
      <c r="AU71" s="23"/>
      <c r="AV71" s="22"/>
      <c r="AW71" s="23"/>
      <c r="AX71" s="22"/>
      <c r="AY71" s="23"/>
      <c r="AZ71" s="22"/>
      <c r="BA71" s="23"/>
      <c r="BB71" s="22"/>
      <c r="BC71" s="23"/>
      <c r="BD71" s="22"/>
      <c r="BE71" s="23"/>
      <c r="BF71" s="22"/>
      <c r="BG71" s="23"/>
      <c r="BH71" s="22"/>
      <c r="BI71" s="23"/>
      <c r="BJ71" s="22"/>
      <c r="BK71" s="23"/>
      <c r="BL71" s="22"/>
      <c r="BM71" s="23"/>
      <c r="BN71" s="22"/>
      <c r="BO71" s="23"/>
      <c r="BP71" s="22"/>
      <c r="BQ71" s="23"/>
      <c r="BR71" s="22"/>
      <c r="BS71" s="23"/>
      <c r="BT71" s="22"/>
      <c r="BU71" s="23"/>
      <c r="BV71" s="22"/>
      <c r="BW71" s="23"/>
      <c r="BX71" s="22"/>
      <c r="BY71" s="23"/>
      <c r="BZ71" s="22"/>
      <c r="CA71" s="23"/>
      <c r="CB71" s="22"/>
      <c r="CC71" s="23"/>
      <c r="CD71" s="22"/>
      <c r="CE71" s="23"/>
      <c r="CF71" s="22"/>
      <c r="CG71" s="23"/>
      <c r="CH71" s="22"/>
      <c r="CI71" s="23"/>
    </row>
    <row r="72" spans="1:87">
      <c r="A72" s="24"/>
      <c r="B72" s="25" t="s">
        <v>240</v>
      </c>
      <c r="C72" s="26">
        <v>380</v>
      </c>
      <c r="D72" s="26">
        <v>600</v>
      </c>
      <c r="E72" s="26">
        <v>300</v>
      </c>
      <c r="F72" s="27">
        <v>2559000</v>
      </c>
      <c r="G72" s="28">
        <v>2708000</v>
      </c>
      <c r="H72" s="27">
        <v>2180000</v>
      </c>
      <c r="I72" s="28">
        <v>2329000</v>
      </c>
      <c r="J72" s="27">
        <v>2937000</v>
      </c>
      <c r="K72" s="28">
        <v>3086000</v>
      </c>
      <c r="L72" s="27">
        <v>2594000</v>
      </c>
      <c r="M72" s="28">
        <v>2743000</v>
      </c>
      <c r="N72" s="27">
        <v>3528000</v>
      </c>
      <c r="O72" s="28">
        <v>3677000</v>
      </c>
      <c r="P72" s="27">
        <v>2206000</v>
      </c>
      <c r="Q72" s="28">
        <v>2355000</v>
      </c>
      <c r="R72" s="27">
        <v>2654000</v>
      </c>
      <c r="S72" s="28">
        <v>2803000</v>
      </c>
      <c r="T72" s="29"/>
      <c r="U72" s="30"/>
      <c r="V72" s="27">
        <v>1825000</v>
      </c>
      <c r="W72" s="28">
        <v>1974000</v>
      </c>
      <c r="X72" s="27">
        <v>1755000</v>
      </c>
      <c r="Y72" s="28">
        <v>1904000</v>
      </c>
      <c r="Z72" s="27">
        <v>1919000</v>
      </c>
      <c r="AA72" s="28">
        <v>2068000</v>
      </c>
      <c r="AB72" s="27">
        <v>1958000</v>
      </c>
      <c r="AC72" s="28">
        <v>2107000</v>
      </c>
      <c r="AD72" s="27">
        <v>1976000</v>
      </c>
      <c r="AE72" s="28">
        <v>2125000</v>
      </c>
      <c r="AF72" s="27">
        <v>2043000</v>
      </c>
      <c r="AG72" s="28">
        <v>2192000</v>
      </c>
      <c r="AH72" s="27">
        <v>2043000</v>
      </c>
      <c r="AI72" s="28">
        <v>2192000</v>
      </c>
      <c r="AJ72" s="27">
        <v>1953000</v>
      </c>
      <c r="AK72" s="28">
        <v>2102000</v>
      </c>
      <c r="AL72" s="27">
        <v>2074000</v>
      </c>
      <c r="AM72" s="28">
        <v>2223000</v>
      </c>
      <c r="AN72" s="27">
        <v>1839000</v>
      </c>
      <c r="AO72" s="28">
        <v>1988000</v>
      </c>
      <c r="AP72" s="27">
        <v>2033000</v>
      </c>
      <c r="AQ72" s="28">
        <v>2182000</v>
      </c>
      <c r="AR72" s="27">
        <v>2080000</v>
      </c>
      <c r="AS72" s="28">
        <v>2229000</v>
      </c>
      <c r="AT72" s="27">
        <v>2033000</v>
      </c>
      <c r="AU72" s="28">
        <v>2182000</v>
      </c>
      <c r="AV72" s="27">
        <v>2047000</v>
      </c>
      <c r="AW72" s="28">
        <v>2196000</v>
      </c>
      <c r="AX72" s="27">
        <v>2035000</v>
      </c>
      <c r="AY72" s="28">
        <v>2184000</v>
      </c>
      <c r="AZ72" s="27">
        <v>2062000</v>
      </c>
      <c r="BA72" s="28">
        <v>2211000</v>
      </c>
      <c r="BB72" s="27">
        <v>1875000</v>
      </c>
      <c r="BC72" s="28">
        <v>2024000</v>
      </c>
      <c r="BD72" s="27">
        <v>1875000</v>
      </c>
      <c r="BE72" s="28">
        <v>2024000</v>
      </c>
      <c r="BF72" s="27">
        <v>1875000</v>
      </c>
      <c r="BG72" s="28">
        <v>2024000</v>
      </c>
      <c r="BH72" s="27">
        <v>1875000</v>
      </c>
      <c r="BI72" s="28">
        <v>2024000</v>
      </c>
      <c r="BJ72" s="27">
        <v>1872000</v>
      </c>
      <c r="BK72" s="28">
        <v>2021000</v>
      </c>
      <c r="BL72" s="27">
        <v>1893000</v>
      </c>
      <c r="BM72" s="28">
        <v>2042000</v>
      </c>
      <c r="BN72" s="27">
        <v>1893000</v>
      </c>
      <c r="BO72" s="28">
        <v>2042000</v>
      </c>
      <c r="BP72" s="27">
        <v>1889000</v>
      </c>
      <c r="BQ72" s="28">
        <v>2038000</v>
      </c>
      <c r="BR72" s="27">
        <v>1875000</v>
      </c>
      <c r="BS72" s="28">
        <v>2024000</v>
      </c>
      <c r="BT72" s="27">
        <v>1871000</v>
      </c>
      <c r="BU72" s="28">
        <v>2020000</v>
      </c>
      <c r="BV72" s="27">
        <v>1871000</v>
      </c>
      <c r="BW72" s="28">
        <v>2020000</v>
      </c>
      <c r="BX72" s="27">
        <v>1871000</v>
      </c>
      <c r="BY72" s="28">
        <v>2020000</v>
      </c>
      <c r="BZ72" s="27">
        <v>1879000</v>
      </c>
      <c r="CA72" s="28">
        <v>2028000</v>
      </c>
      <c r="CB72" s="27">
        <v>1858000</v>
      </c>
      <c r="CC72" s="28">
        <v>2007000</v>
      </c>
      <c r="CD72" s="27">
        <v>1858000</v>
      </c>
      <c r="CE72" s="28">
        <v>2007000</v>
      </c>
      <c r="CF72" s="27">
        <v>1879000</v>
      </c>
      <c r="CG72" s="28">
        <v>2028000</v>
      </c>
      <c r="CH72" s="27">
        <v>2000000</v>
      </c>
      <c r="CI72" s="28">
        <v>2149000</v>
      </c>
    </row>
    <row r="73" spans="1:87">
      <c r="A73" s="24"/>
      <c r="B73" s="25" t="s">
        <v>241</v>
      </c>
      <c r="C73" s="26">
        <v>380</v>
      </c>
      <c r="D73" s="26">
        <v>600</v>
      </c>
      <c r="E73" s="26">
        <v>450</v>
      </c>
      <c r="F73" s="27">
        <v>3305000</v>
      </c>
      <c r="G73" s="28">
        <v>3528000</v>
      </c>
      <c r="H73" s="27">
        <v>2736000</v>
      </c>
      <c r="I73" s="28">
        <v>2959000</v>
      </c>
      <c r="J73" s="27">
        <v>3871000</v>
      </c>
      <c r="K73" s="28">
        <v>4094000</v>
      </c>
      <c r="L73" s="27">
        <v>3357000</v>
      </c>
      <c r="M73" s="28">
        <v>3580000</v>
      </c>
      <c r="N73" s="27">
        <v>4758000</v>
      </c>
      <c r="O73" s="28">
        <v>4981000</v>
      </c>
      <c r="P73" s="27">
        <v>2678000</v>
      </c>
      <c r="Q73" s="28">
        <v>2901000</v>
      </c>
      <c r="R73" s="27">
        <v>3575000</v>
      </c>
      <c r="S73" s="28">
        <v>3798000</v>
      </c>
      <c r="T73" s="29"/>
      <c r="U73" s="30"/>
      <c r="V73" s="27">
        <v>2196000</v>
      </c>
      <c r="W73" s="28">
        <v>2419000</v>
      </c>
      <c r="X73" s="27">
        <v>2091000</v>
      </c>
      <c r="Y73" s="28">
        <v>2314000</v>
      </c>
      <c r="Z73" s="27">
        <v>2327000</v>
      </c>
      <c r="AA73" s="28">
        <v>2550000</v>
      </c>
      <c r="AB73" s="27">
        <v>2380000</v>
      </c>
      <c r="AC73" s="28">
        <v>2603000</v>
      </c>
      <c r="AD73" s="27">
        <v>2400000</v>
      </c>
      <c r="AE73" s="28">
        <v>2623000</v>
      </c>
      <c r="AF73" s="27">
        <v>2495000</v>
      </c>
      <c r="AG73" s="28">
        <v>2718000</v>
      </c>
      <c r="AH73" s="27">
        <v>2495000</v>
      </c>
      <c r="AI73" s="28">
        <v>2718000</v>
      </c>
      <c r="AJ73" s="27">
        <v>2375000</v>
      </c>
      <c r="AK73" s="28">
        <v>2598000</v>
      </c>
      <c r="AL73" s="27">
        <v>2555000</v>
      </c>
      <c r="AM73" s="28">
        <v>2778000</v>
      </c>
      <c r="AN73" s="27">
        <v>2207000</v>
      </c>
      <c r="AO73" s="28">
        <v>2430000</v>
      </c>
      <c r="AP73" s="27">
        <v>2491000</v>
      </c>
      <c r="AQ73" s="28">
        <v>2714000</v>
      </c>
      <c r="AR73" s="27">
        <v>2563000</v>
      </c>
      <c r="AS73" s="28">
        <v>2786000</v>
      </c>
      <c r="AT73" s="27">
        <v>2491000</v>
      </c>
      <c r="AU73" s="28">
        <v>2714000</v>
      </c>
      <c r="AV73" s="27">
        <v>2514000</v>
      </c>
      <c r="AW73" s="28">
        <v>2737000</v>
      </c>
      <c r="AX73" s="27">
        <v>2496000</v>
      </c>
      <c r="AY73" s="28">
        <v>2719000</v>
      </c>
      <c r="AZ73" s="27">
        <v>2537000</v>
      </c>
      <c r="BA73" s="28">
        <v>2760000</v>
      </c>
      <c r="BB73" s="27">
        <v>2270000</v>
      </c>
      <c r="BC73" s="28">
        <v>2493000</v>
      </c>
      <c r="BD73" s="27">
        <v>2270000</v>
      </c>
      <c r="BE73" s="28">
        <v>2493000</v>
      </c>
      <c r="BF73" s="27">
        <v>2270000</v>
      </c>
      <c r="BG73" s="28">
        <v>2493000</v>
      </c>
      <c r="BH73" s="27">
        <v>2270000</v>
      </c>
      <c r="BI73" s="28">
        <v>2493000</v>
      </c>
      <c r="BJ73" s="27">
        <v>2266000</v>
      </c>
      <c r="BK73" s="28">
        <v>2489000</v>
      </c>
      <c r="BL73" s="27">
        <v>2297000</v>
      </c>
      <c r="BM73" s="28">
        <v>2520000</v>
      </c>
      <c r="BN73" s="27">
        <v>2297000</v>
      </c>
      <c r="BO73" s="28">
        <v>2520000</v>
      </c>
      <c r="BP73" s="27">
        <v>2290000</v>
      </c>
      <c r="BQ73" s="28">
        <v>2513000</v>
      </c>
      <c r="BR73" s="27">
        <v>2270000</v>
      </c>
      <c r="BS73" s="28">
        <v>2493000</v>
      </c>
      <c r="BT73" s="27">
        <v>2264000</v>
      </c>
      <c r="BU73" s="28">
        <v>2487000</v>
      </c>
      <c r="BV73" s="27">
        <v>2264000</v>
      </c>
      <c r="BW73" s="28">
        <v>2487000</v>
      </c>
      <c r="BX73" s="27">
        <v>2264000</v>
      </c>
      <c r="BY73" s="28">
        <v>2487000</v>
      </c>
      <c r="BZ73" s="27">
        <v>2252000</v>
      </c>
      <c r="CA73" s="28">
        <v>2475000</v>
      </c>
      <c r="CB73" s="27">
        <v>2221000</v>
      </c>
      <c r="CC73" s="28">
        <v>2444000</v>
      </c>
      <c r="CD73" s="27">
        <v>2221000</v>
      </c>
      <c r="CE73" s="28">
        <v>2444000</v>
      </c>
      <c r="CF73" s="27">
        <v>2252000</v>
      </c>
      <c r="CG73" s="28">
        <v>2475000</v>
      </c>
      <c r="CH73" s="27">
        <v>2440000</v>
      </c>
      <c r="CI73" s="28">
        <v>2663000</v>
      </c>
    </row>
    <row r="74" spans="1:87">
      <c r="A74" s="24"/>
      <c r="B74" s="25" t="s">
        <v>242</v>
      </c>
      <c r="C74" s="26">
        <v>380</v>
      </c>
      <c r="D74" s="26">
        <v>600</v>
      </c>
      <c r="E74" s="26">
        <v>600</v>
      </c>
      <c r="F74" s="27">
        <v>4071000</v>
      </c>
      <c r="G74" s="28">
        <v>4368000</v>
      </c>
      <c r="H74" s="27">
        <v>3313000</v>
      </c>
      <c r="I74" s="28">
        <v>3610000</v>
      </c>
      <c r="J74" s="27">
        <v>4826000</v>
      </c>
      <c r="K74" s="28">
        <v>5123000</v>
      </c>
      <c r="L74" s="27">
        <v>4141000</v>
      </c>
      <c r="M74" s="28">
        <v>4438000</v>
      </c>
      <c r="N74" s="27">
        <v>6008000</v>
      </c>
      <c r="O74" s="28">
        <v>6305000</v>
      </c>
      <c r="P74" s="27">
        <v>3171000</v>
      </c>
      <c r="Q74" s="28">
        <v>3468000</v>
      </c>
      <c r="R74" s="27">
        <v>4516000</v>
      </c>
      <c r="S74" s="28">
        <v>4813000</v>
      </c>
      <c r="T74" s="29"/>
      <c r="U74" s="30"/>
      <c r="V74" s="27">
        <v>2586000</v>
      </c>
      <c r="W74" s="28">
        <v>2883000</v>
      </c>
      <c r="X74" s="27">
        <v>2446000</v>
      </c>
      <c r="Y74" s="28">
        <v>2743000</v>
      </c>
      <c r="Z74" s="27">
        <v>2754000</v>
      </c>
      <c r="AA74" s="28">
        <v>3051000</v>
      </c>
      <c r="AB74" s="27">
        <v>2822000</v>
      </c>
      <c r="AC74" s="28">
        <v>3119000</v>
      </c>
      <c r="AD74" s="27">
        <v>2844000</v>
      </c>
      <c r="AE74" s="28">
        <v>3141000</v>
      </c>
      <c r="AF74" s="27">
        <v>2967000</v>
      </c>
      <c r="AG74" s="28">
        <v>3264000</v>
      </c>
      <c r="AH74" s="27">
        <v>2967000</v>
      </c>
      <c r="AI74" s="28">
        <v>3264000</v>
      </c>
      <c r="AJ74" s="27">
        <v>2818000</v>
      </c>
      <c r="AK74" s="28">
        <v>3115000</v>
      </c>
      <c r="AL74" s="27">
        <v>3056000</v>
      </c>
      <c r="AM74" s="28">
        <v>3353000</v>
      </c>
      <c r="AN74" s="27">
        <v>2595000</v>
      </c>
      <c r="AO74" s="28">
        <v>2892000</v>
      </c>
      <c r="AP74" s="27">
        <v>2969000</v>
      </c>
      <c r="AQ74" s="28">
        <v>3266000</v>
      </c>
      <c r="AR74" s="27">
        <v>3065000</v>
      </c>
      <c r="AS74" s="28">
        <v>3362000</v>
      </c>
      <c r="AT74" s="27">
        <v>2969000</v>
      </c>
      <c r="AU74" s="28">
        <v>3266000</v>
      </c>
      <c r="AV74" s="27">
        <v>3002000</v>
      </c>
      <c r="AW74" s="28">
        <v>3299000</v>
      </c>
      <c r="AX74" s="27">
        <v>2978000</v>
      </c>
      <c r="AY74" s="28">
        <v>3275000</v>
      </c>
      <c r="AZ74" s="27">
        <v>3032000</v>
      </c>
      <c r="BA74" s="28">
        <v>3329000</v>
      </c>
      <c r="BB74" s="27">
        <v>2685000</v>
      </c>
      <c r="BC74" s="28">
        <v>2982000</v>
      </c>
      <c r="BD74" s="27">
        <v>2685000</v>
      </c>
      <c r="BE74" s="28">
        <v>2982000</v>
      </c>
      <c r="BF74" s="27">
        <v>2685000</v>
      </c>
      <c r="BG74" s="28">
        <v>2982000</v>
      </c>
      <c r="BH74" s="27">
        <v>2685000</v>
      </c>
      <c r="BI74" s="28">
        <v>2982000</v>
      </c>
      <c r="BJ74" s="27">
        <v>2679000</v>
      </c>
      <c r="BK74" s="28">
        <v>2976000</v>
      </c>
      <c r="BL74" s="27">
        <v>2720000</v>
      </c>
      <c r="BM74" s="28">
        <v>3017000</v>
      </c>
      <c r="BN74" s="27">
        <v>2720000</v>
      </c>
      <c r="BO74" s="28">
        <v>3017000</v>
      </c>
      <c r="BP74" s="27">
        <v>2711000</v>
      </c>
      <c r="BQ74" s="28">
        <v>3008000</v>
      </c>
      <c r="BR74" s="27">
        <v>2685000</v>
      </c>
      <c r="BS74" s="28">
        <v>2982000</v>
      </c>
      <c r="BT74" s="27">
        <v>2677000</v>
      </c>
      <c r="BU74" s="28">
        <v>2974000</v>
      </c>
      <c r="BV74" s="27">
        <v>2677000</v>
      </c>
      <c r="BW74" s="28">
        <v>2974000</v>
      </c>
      <c r="BX74" s="27">
        <v>2677000</v>
      </c>
      <c r="BY74" s="28">
        <v>2974000</v>
      </c>
      <c r="BZ74" s="27">
        <v>2645000</v>
      </c>
      <c r="CA74" s="28">
        <v>2942000</v>
      </c>
      <c r="CB74" s="27">
        <v>2603000</v>
      </c>
      <c r="CC74" s="28">
        <v>2900000</v>
      </c>
      <c r="CD74" s="27">
        <v>2603000</v>
      </c>
      <c r="CE74" s="28">
        <v>2900000</v>
      </c>
      <c r="CF74" s="27">
        <v>2645000</v>
      </c>
      <c r="CG74" s="28">
        <v>2942000</v>
      </c>
      <c r="CH74" s="27">
        <v>2900000</v>
      </c>
      <c r="CI74" s="28">
        <v>3197000</v>
      </c>
    </row>
    <row r="75" spans="1:87">
      <c r="A75" s="24"/>
      <c r="B75" s="25" t="s">
        <v>243</v>
      </c>
      <c r="C75" s="26">
        <v>380</v>
      </c>
      <c r="D75" s="26">
        <v>600</v>
      </c>
      <c r="E75" s="26">
        <v>900</v>
      </c>
      <c r="F75" s="27">
        <v>5940000</v>
      </c>
      <c r="G75" s="28">
        <v>6387000</v>
      </c>
      <c r="H75" s="27">
        <v>4802000</v>
      </c>
      <c r="I75" s="28">
        <v>5249000</v>
      </c>
      <c r="J75" s="27">
        <v>7072000</v>
      </c>
      <c r="K75" s="28">
        <v>7519000</v>
      </c>
      <c r="L75" s="27">
        <v>6044000</v>
      </c>
      <c r="M75" s="28">
        <v>6491000</v>
      </c>
      <c r="N75" s="27">
        <v>8845000</v>
      </c>
      <c r="O75" s="28">
        <v>9292000</v>
      </c>
      <c r="P75" s="27">
        <v>4769000</v>
      </c>
      <c r="Q75" s="28">
        <v>5216000</v>
      </c>
      <c r="R75" s="27">
        <v>7012000</v>
      </c>
      <c r="S75" s="28">
        <v>7459000</v>
      </c>
      <c r="T75" s="29"/>
      <c r="U75" s="30"/>
      <c r="V75" s="27">
        <v>3721000</v>
      </c>
      <c r="W75" s="28">
        <v>4168000</v>
      </c>
      <c r="X75" s="27">
        <v>3511000</v>
      </c>
      <c r="Y75" s="28">
        <v>3958000</v>
      </c>
      <c r="Z75" s="27">
        <v>3983000</v>
      </c>
      <c r="AA75" s="28">
        <v>4430000</v>
      </c>
      <c r="AB75" s="27">
        <v>4089000</v>
      </c>
      <c r="AC75" s="28">
        <v>4536000</v>
      </c>
      <c r="AD75" s="27">
        <v>4129000</v>
      </c>
      <c r="AE75" s="28">
        <v>4576000</v>
      </c>
      <c r="AF75" s="27">
        <v>4319000</v>
      </c>
      <c r="AG75" s="28">
        <v>4766000</v>
      </c>
      <c r="AH75" s="27">
        <v>4319000</v>
      </c>
      <c r="AI75" s="28">
        <v>4766000</v>
      </c>
      <c r="AJ75" s="27">
        <v>4080000</v>
      </c>
      <c r="AK75" s="28">
        <v>4527000</v>
      </c>
      <c r="AL75" s="27">
        <v>4440000</v>
      </c>
      <c r="AM75" s="28">
        <v>4887000</v>
      </c>
      <c r="AN75" s="27">
        <v>3743000</v>
      </c>
      <c r="AO75" s="28">
        <v>4190000</v>
      </c>
      <c r="AP75" s="27">
        <v>4311000</v>
      </c>
      <c r="AQ75" s="28">
        <v>4758000</v>
      </c>
      <c r="AR75" s="27">
        <v>4455000</v>
      </c>
      <c r="AS75" s="28">
        <v>4902000</v>
      </c>
      <c r="AT75" s="27">
        <v>4311000</v>
      </c>
      <c r="AU75" s="28">
        <v>4758000</v>
      </c>
      <c r="AV75" s="27">
        <v>4358000</v>
      </c>
      <c r="AW75" s="28">
        <v>4805000</v>
      </c>
      <c r="AX75" s="27">
        <v>4322000</v>
      </c>
      <c r="AY75" s="28">
        <v>4769000</v>
      </c>
      <c r="AZ75" s="27">
        <v>4404000</v>
      </c>
      <c r="BA75" s="28">
        <v>4851000</v>
      </c>
      <c r="BB75" s="27">
        <v>3870000</v>
      </c>
      <c r="BC75" s="28">
        <v>4317000</v>
      </c>
      <c r="BD75" s="27">
        <v>3870000</v>
      </c>
      <c r="BE75" s="28">
        <v>4317000</v>
      </c>
      <c r="BF75" s="27">
        <v>3870000</v>
      </c>
      <c r="BG75" s="28">
        <v>4317000</v>
      </c>
      <c r="BH75" s="27">
        <v>3870000</v>
      </c>
      <c r="BI75" s="28">
        <v>4317000</v>
      </c>
      <c r="BJ75" s="27">
        <v>3861000</v>
      </c>
      <c r="BK75" s="28">
        <v>4308000</v>
      </c>
      <c r="BL75" s="27">
        <v>3923000</v>
      </c>
      <c r="BM75" s="28">
        <v>4370000</v>
      </c>
      <c r="BN75" s="27">
        <v>3923000</v>
      </c>
      <c r="BO75" s="28">
        <v>4370000</v>
      </c>
      <c r="BP75" s="27">
        <v>3910000</v>
      </c>
      <c r="BQ75" s="28">
        <v>4357000</v>
      </c>
      <c r="BR75" s="27">
        <v>3870000</v>
      </c>
      <c r="BS75" s="28">
        <v>4317000</v>
      </c>
      <c r="BT75" s="27">
        <v>3857000</v>
      </c>
      <c r="BU75" s="28">
        <v>4304000</v>
      </c>
      <c r="BV75" s="27">
        <v>3857000</v>
      </c>
      <c r="BW75" s="28">
        <v>4304000</v>
      </c>
      <c r="BX75" s="27">
        <v>3857000</v>
      </c>
      <c r="BY75" s="28">
        <v>4304000</v>
      </c>
      <c r="BZ75" s="27">
        <v>3834000</v>
      </c>
      <c r="CA75" s="28">
        <v>4281000</v>
      </c>
      <c r="CB75" s="27">
        <v>3771000</v>
      </c>
      <c r="CC75" s="28">
        <v>4218000</v>
      </c>
      <c r="CD75" s="27">
        <v>3771000</v>
      </c>
      <c r="CE75" s="28">
        <v>4218000</v>
      </c>
      <c r="CF75" s="27">
        <v>3834000</v>
      </c>
      <c r="CG75" s="28">
        <v>4281000</v>
      </c>
      <c r="CH75" s="27">
        <v>4210000</v>
      </c>
      <c r="CI75" s="28">
        <v>4657000</v>
      </c>
    </row>
    <row r="76" spans="1:87">
      <c r="A76" s="43" t="e">
        <f ca="1">_xludf.image("https://lh3.google.com/u/0/d/1mlbhxm92MJxbH2fjFjfZDeNvnldhgUO3",1)</f>
        <v>#NAME?</v>
      </c>
      <c r="B76" s="25" t="s">
        <v>244</v>
      </c>
      <c r="C76" s="26">
        <v>650</v>
      </c>
      <c r="D76" s="26">
        <v>600</v>
      </c>
      <c r="E76" s="26">
        <v>650</v>
      </c>
      <c r="F76" s="27">
        <v>5729000</v>
      </c>
      <c r="G76" s="28">
        <v>6051000</v>
      </c>
      <c r="H76" s="27">
        <v>4971000</v>
      </c>
      <c r="I76" s="28">
        <v>5293000</v>
      </c>
      <c r="J76" s="27">
        <v>6484000</v>
      </c>
      <c r="K76" s="28">
        <v>6806000</v>
      </c>
      <c r="L76" s="27">
        <v>5799000</v>
      </c>
      <c r="M76" s="28">
        <v>6121000</v>
      </c>
      <c r="N76" s="27">
        <v>7666000</v>
      </c>
      <c r="O76" s="28">
        <v>7988000</v>
      </c>
      <c r="P76" s="27">
        <v>4694000</v>
      </c>
      <c r="Q76" s="28">
        <v>5016000</v>
      </c>
      <c r="R76" s="27">
        <v>5053000</v>
      </c>
      <c r="S76" s="28">
        <v>5375000</v>
      </c>
      <c r="T76" s="29"/>
      <c r="U76" s="30"/>
      <c r="V76" s="27">
        <v>4261000</v>
      </c>
      <c r="W76" s="28">
        <v>4583000</v>
      </c>
      <c r="X76" s="27">
        <v>4121000</v>
      </c>
      <c r="Y76" s="28">
        <v>4443000</v>
      </c>
      <c r="Z76" s="27">
        <v>4449000</v>
      </c>
      <c r="AA76" s="28">
        <v>4771000</v>
      </c>
      <c r="AB76" s="27">
        <v>4526000</v>
      </c>
      <c r="AC76" s="28">
        <v>4848000</v>
      </c>
      <c r="AD76" s="27">
        <v>4562000</v>
      </c>
      <c r="AE76" s="28">
        <v>4884000</v>
      </c>
      <c r="AF76" s="27">
        <v>4697000</v>
      </c>
      <c r="AG76" s="28">
        <v>5019000</v>
      </c>
      <c r="AH76" s="27">
        <v>4697000</v>
      </c>
      <c r="AI76" s="28">
        <v>5019000</v>
      </c>
      <c r="AJ76" s="27">
        <v>4516000</v>
      </c>
      <c r="AK76" s="28">
        <v>4838000</v>
      </c>
      <c r="AL76" s="27">
        <v>4758000</v>
      </c>
      <c r="AM76" s="28">
        <v>5080000</v>
      </c>
      <c r="AN76" s="27">
        <v>4289000</v>
      </c>
      <c r="AO76" s="28">
        <v>4611000</v>
      </c>
      <c r="AP76" s="27">
        <v>4676000</v>
      </c>
      <c r="AQ76" s="28">
        <v>4998000</v>
      </c>
      <c r="AR76" s="27">
        <v>4771000</v>
      </c>
      <c r="AS76" s="28">
        <v>5093000</v>
      </c>
      <c r="AT76" s="27">
        <v>4676000</v>
      </c>
      <c r="AU76" s="28">
        <v>4998000</v>
      </c>
      <c r="AV76" s="27">
        <v>4704000</v>
      </c>
      <c r="AW76" s="28">
        <v>5026000</v>
      </c>
      <c r="AX76" s="27">
        <v>4680000</v>
      </c>
      <c r="AY76" s="28">
        <v>5002000</v>
      </c>
      <c r="AZ76" s="27">
        <v>4735000</v>
      </c>
      <c r="BA76" s="28">
        <v>5057000</v>
      </c>
      <c r="BB76" s="27">
        <v>4361000</v>
      </c>
      <c r="BC76" s="28">
        <v>4683000</v>
      </c>
      <c r="BD76" s="27">
        <v>4361000</v>
      </c>
      <c r="BE76" s="28">
        <v>4683000</v>
      </c>
      <c r="BF76" s="27">
        <v>4361000</v>
      </c>
      <c r="BG76" s="28">
        <v>4683000</v>
      </c>
      <c r="BH76" s="27">
        <v>4361000</v>
      </c>
      <c r="BI76" s="28">
        <v>4683000</v>
      </c>
      <c r="BJ76" s="27">
        <v>4355000</v>
      </c>
      <c r="BK76" s="28">
        <v>4677000</v>
      </c>
      <c r="BL76" s="27">
        <v>4396000</v>
      </c>
      <c r="BM76" s="28">
        <v>4718000</v>
      </c>
      <c r="BN76" s="27">
        <v>4396000</v>
      </c>
      <c r="BO76" s="28">
        <v>4718000</v>
      </c>
      <c r="BP76" s="27">
        <v>4388000</v>
      </c>
      <c r="BQ76" s="28">
        <v>4710000</v>
      </c>
      <c r="BR76" s="27">
        <v>4361000</v>
      </c>
      <c r="BS76" s="28">
        <v>4683000</v>
      </c>
      <c r="BT76" s="27">
        <v>4353000</v>
      </c>
      <c r="BU76" s="28">
        <v>4675000</v>
      </c>
      <c r="BV76" s="27">
        <v>4353000</v>
      </c>
      <c r="BW76" s="28">
        <v>4675000</v>
      </c>
      <c r="BX76" s="27">
        <v>4353000</v>
      </c>
      <c r="BY76" s="28">
        <v>4675000</v>
      </c>
      <c r="BZ76" s="27">
        <v>4369000</v>
      </c>
      <c r="CA76" s="28">
        <v>4691000</v>
      </c>
      <c r="CB76" s="27">
        <v>4327000</v>
      </c>
      <c r="CC76" s="28">
        <v>4649000</v>
      </c>
      <c r="CD76" s="27">
        <v>4327000</v>
      </c>
      <c r="CE76" s="28">
        <v>4649000</v>
      </c>
      <c r="CF76" s="27">
        <v>4369000</v>
      </c>
      <c r="CG76" s="28">
        <v>4691000</v>
      </c>
      <c r="CH76" s="27">
        <v>4611000</v>
      </c>
      <c r="CI76" s="28">
        <v>4933000</v>
      </c>
    </row>
    <row r="77" spans="1:87">
      <c r="A77" s="43"/>
      <c r="B77" s="25" t="s">
        <v>245</v>
      </c>
      <c r="C77" s="26">
        <v>380</v>
      </c>
      <c r="D77" s="26">
        <v>600</v>
      </c>
      <c r="E77" s="26">
        <v>1050</v>
      </c>
      <c r="F77" s="27">
        <v>4916000</v>
      </c>
      <c r="G77" s="28">
        <v>5437000</v>
      </c>
      <c r="H77" s="27">
        <v>4347000</v>
      </c>
      <c r="I77" s="28">
        <v>4868000</v>
      </c>
      <c r="J77" s="27">
        <v>5482000</v>
      </c>
      <c r="K77" s="28">
        <v>6003000</v>
      </c>
      <c r="L77" s="27">
        <v>4968000</v>
      </c>
      <c r="M77" s="28">
        <v>5489000</v>
      </c>
      <c r="N77" s="27">
        <v>6369000</v>
      </c>
      <c r="O77" s="28">
        <v>6890000</v>
      </c>
      <c r="P77" s="27">
        <v>4289000</v>
      </c>
      <c r="Q77" s="28">
        <v>4810000</v>
      </c>
      <c r="R77" s="27">
        <v>5186000</v>
      </c>
      <c r="S77" s="28">
        <v>5707000</v>
      </c>
      <c r="T77" s="29"/>
      <c r="U77" s="30"/>
      <c r="V77" s="27">
        <v>3807000</v>
      </c>
      <c r="W77" s="28">
        <v>4328000</v>
      </c>
      <c r="X77" s="27">
        <v>3702000</v>
      </c>
      <c r="Y77" s="28">
        <v>4223000</v>
      </c>
      <c r="Z77" s="27">
        <v>3938000</v>
      </c>
      <c r="AA77" s="28">
        <v>4459000</v>
      </c>
      <c r="AB77" s="27">
        <v>3991000</v>
      </c>
      <c r="AC77" s="28">
        <v>4512000</v>
      </c>
      <c r="AD77" s="27">
        <v>4011000</v>
      </c>
      <c r="AE77" s="28">
        <v>4532000</v>
      </c>
      <c r="AF77" s="27">
        <v>4106000</v>
      </c>
      <c r="AG77" s="28">
        <v>4627000</v>
      </c>
      <c r="AH77" s="27">
        <v>4106000</v>
      </c>
      <c r="AI77" s="28">
        <v>4627000</v>
      </c>
      <c r="AJ77" s="27">
        <v>3986000</v>
      </c>
      <c r="AK77" s="28">
        <v>4507000</v>
      </c>
      <c r="AL77" s="27">
        <v>4166000</v>
      </c>
      <c r="AM77" s="28">
        <v>4687000</v>
      </c>
      <c r="AN77" s="27">
        <v>3818000</v>
      </c>
      <c r="AO77" s="28">
        <v>4339000</v>
      </c>
      <c r="AP77" s="27">
        <v>4102000</v>
      </c>
      <c r="AQ77" s="28">
        <v>4623000</v>
      </c>
      <c r="AR77" s="27">
        <v>4174000</v>
      </c>
      <c r="AS77" s="28">
        <v>4695000</v>
      </c>
      <c r="AT77" s="27">
        <v>4102000</v>
      </c>
      <c r="AU77" s="28">
        <v>4623000</v>
      </c>
      <c r="AV77" s="27">
        <v>4125000</v>
      </c>
      <c r="AW77" s="28">
        <v>4646000</v>
      </c>
      <c r="AX77" s="27">
        <v>4107000</v>
      </c>
      <c r="AY77" s="28">
        <v>4628000</v>
      </c>
      <c r="AZ77" s="27">
        <v>4148000</v>
      </c>
      <c r="BA77" s="28">
        <v>4669000</v>
      </c>
      <c r="BB77" s="27">
        <v>3881000</v>
      </c>
      <c r="BC77" s="28">
        <v>4402000</v>
      </c>
      <c r="BD77" s="27">
        <v>3881000</v>
      </c>
      <c r="BE77" s="28">
        <v>4402000</v>
      </c>
      <c r="BF77" s="27">
        <v>3881000</v>
      </c>
      <c r="BG77" s="28">
        <v>4402000</v>
      </c>
      <c r="BH77" s="27">
        <v>3881000</v>
      </c>
      <c r="BI77" s="28">
        <v>4402000</v>
      </c>
      <c r="BJ77" s="27">
        <v>3877000</v>
      </c>
      <c r="BK77" s="28">
        <v>4398000</v>
      </c>
      <c r="BL77" s="27">
        <v>3908000</v>
      </c>
      <c r="BM77" s="28">
        <v>4429000</v>
      </c>
      <c r="BN77" s="27">
        <v>3908000</v>
      </c>
      <c r="BO77" s="28">
        <v>4429000</v>
      </c>
      <c r="BP77" s="27">
        <v>3901000</v>
      </c>
      <c r="BQ77" s="28">
        <v>4422000</v>
      </c>
      <c r="BR77" s="27">
        <v>3881000</v>
      </c>
      <c r="BS77" s="28">
        <v>4402000</v>
      </c>
      <c r="BT77" s="27">
        <v>3875000</v>
      </c>
      <c r="BU77" s="28">
        <v>4396000</v>
      </c>
      <c r="BV77" s="27">
        <v>3875000</v>
      </c>
      <c r="BW77" s="28">
        <v>4396000</v>
      </c>
      <c r="BX77" s="27">
        <v>3875000</v>
      </c>
      <c r="BY77" s="28">
        <v>4396000</v>
      </c>
      <c r="BZ77" s="27">
        <v>3863000</v>
      </c>
      <c r="CA77" s="28">
        <v>4384000</v>
      </c>
      <c r="CB77" s="27">
        <v>3832000</v>
      </c>
      <c r="CC77" s="28">
        <v>4353000</v>
      </c>
      <c r="CD77" s="27">
        <v>3832000</v>
      </c>
      <c r="CE77" s="28">
        <v>4353000</v>
      </c>
      <c r="CF77" s="27">
        <v>3863000</v>
      </c>
      <c r="CG77" s="28">
        <v>4384000</v>
      </c>
      <c r="CH77" s="27">
        <v>4051000</v>
      </c>
      <c r="CI77" s="28">
        <v>4572000</v>
      </c>
    </row>
    <row r="78" spans="1:87">
      <c r="A78" s="24"/>
      <c r="B78" s="25" t="s">
        <v>246</v>
      </c>
      <c r="C78" s="26">
        <v>380</v>
      </c>
      <c r="D78" s="26">
        <v>600</v>
      </c>
      <c r="E78" s="26">
        <v>300</v>
      </c>
      <c r="F78" s="27">
        <v>2756000</v>
      </c>
      <c r="G78" s="28">
        <v>2905000</v>
      </c>
      <c r="H78" s="27">
        <v>2377000</v>
      </c>
      <c r="I78" s="28">
        <v>2526000</v>
      </c>
      <c r="J78" s="27">
        <v>3134000</v>
      </c>
      <c r="K78" s="28">
        <v>3283000</v>
      </c>
      <c r="L78" s="27">
        <v>2791000</v>
      </c>
      <c r="M78" s="28">
        <v>2940000</v>
      </c>
      <c r="N78" s="27">
        <v>3725000</v>
      </c>
      <c r="O78" s="28">
        <v>3874000</v>
      </c>
      <c r="P78" s="27">
        <v>2403000</v>
      </c>
      <c r="Q78" s="28">
        <v>2552000</v>
      </c>
      <c r="R78" s="27">
        <v>2851000</v>
      </c>
      <c r="S78" s="28">
        <v>3000000</v>
      </c>
      <c r="T78" s="29"/>
      <c r="U78" s="30"/>
      <c r="V78" s="27">
        <v>2022000</v>
      </c>
      <c r="W78" s="28">
        <v>2171000</v>
      </c>
      <c r="X78" s="27">
        <v>1952000</v>
      </c>
      <c r="Y78" s="28">
        <v>2101000</v>
      </c>
      <c r="Z78" s="27">
        <v>2116000</v>
      </c>
      <c r="AA78" s="28">
        <v>2265000</v>
      </c>
      <c r="AB78" s="27">
        <v>2155000</v>
      </c>
      <c r="AC78" s="28">
        <v>2304000</v>
      </c>
      <c r="AD78" s="27">
        <v>2173000</v>
      </c>
      <c r="AE78" s="28">
        <v>2322000</v>
      </c>
      <c r="AF78" s="27">
        <v>2240000</v>
      </c>
      <c r="AG78" s="28">
        <v>2389000</v>
      </c>
      <c r="AH78" s="27">
        <v>2240000</v>
      </c>
      <c r="AI78" s="28">
        <v>2389000</v>
      </c>
      <c r="AJ78" s="27">
        <v>2150000</v>
      </c>
      <c r="AK78" s="28">
        <v>2299000</v>
      </c>
      <c r="AL78" s="27">
        <v>2271000</v>
      </c>
      <c r="AM78" s="28">
        <v>2420000</v>
      </c>
      <c r="AN78" s="27">
        <v>2036000</v>
      </c>
      <c r="AO78" s="28">
        <v>2185000</v>
      </c>
      <c r="AP78" s="27">
        <v>2230000</v>
      </c>
      <c r="AQ78" s="28">
        <v>2379000</v>
      </c>
      <c r="AR78" s="27">
        <v>2277000</v>
      </c>
      <c r="AS78" s="28">
        <v>2426000</v>
      </c>
      <c r="AT78" s="27">
        <v>2230000</v>
      </c>
      <c r="AU78" s="28">
        <v>2379000</v>
      </c>
      <c r="AV78" s="27">
        <v>2244000</v>
      </c>
      <c r="AW78" s="28">
        <v>2393000</v>
      </c>
      <c r="AX78" s="27">
        <v>2232000</v>
      </c>
      <c r="AY78" s="28">
        <v>2381000</v>
      </c>
      <c r="AZ78" s="27">
        <v>2259000</v>
      </c>
      <c r="BA78" s="28">
        <v>2408000</v>
      </c>
      <c r="BB78" s="27">
        <v>2072000</v>
      </c>
      <c r="BC78" s="28">
        <v>2221000</v>
      </c>
      <c r="BD78" s="27">
        <v>2072000</v>
      </c>
      <c r="BE78" s="28">
        <v>2221000</v>
      </c>
      <c r="BF78" s="27">
        <v>2072000</v>
      </c>
      <c r="BG78" s="28">
        <v>2221000</v>
      </c>
      <c r="BH78" s="27">
        <v>2072000</v>
      </c>
      <c r="BI78" s="28">
        <v>2221000</v>
      </c>
      <c r="BJ78" s="27">
        <v>2069000</v>
      </c>
      <c r="BK78" s="28">
        <v>2218000</v>
      </c>
      <c r="BL78" s="27">
        <v>2090000</v>
      </c>
      <c r="BM78" s="28">
        <v>2239000</v>
      </c>
      <c r="BN78" s="27">
        <v>2090000</v>
      </c>
      <c r="BO78" s="28">
        <v>2239000</v>
      </c>
      <c r="BP78" s="27">
        <v>2086000</v>
      </c>
      <c r="BQ78" s="28">
        <v>2235000</v>
      </c>
      <c r="BR78" s="27">
        <v>2072000</v>
      </c>
      <c r="BS78" s="28">
        <v>2221000</v>
      </c>
      <c r="BT78" s="27">
        <v>2068000</v>
      </c>
      <c r="BU78" s="28">
        <v>2217000</v>
      </c>
      <c r="BV78" s="27">
        <v>2068000</v>
      </c>
      <c r="BW78" s="28">
        <v>2217000</v>
      </c>
      <c r="BX78" s="27">
        <v>2068000</v>
      </c>
      <c r="BY78" s="28">
        <v>2217000</v>
      </c>
      <c r="BZ78" s="27">
        <v>2076000</v>
      </c>
      <c r="CA78" s="28">
        <v>2225000</v>
      </c>
      <c r="CB78" s="27">
        <v>2055000</v>
      </c>
      <c r="CC78" s="28">
        <v>2204000</v>
      </c>
      <c r="CD78" s="27">
        <v>2055000</v>
      </c>
      <c r="CE78" s="28">
        <v>2204000</v>
      </c>
      <c r="CF78" s="27">
        <v>2076000</v>
      </c>
      <c r="CG78" s="28">
        <v>2225000</v>
      </c>
      <c r="CH78" s="27">
        <v>2197000</v>
      </c>
      <c r="CI78" s="28">
        <v>2346000</v>
      </c>
    </row>
    <row r="79" spans="1:87">
      <c r="A79" s="24"/>
      <c r="B79" s="25" t="s">
        <v>247</v>
      </c>
      <c r="C79" s="26">
        <v>380</v>
      </c>
      <c r="D79" s="26">
        <v>600</v>
      </c>
      <c r="E79" s="26">
        <v>450</v>
      </c>
      <c r="F79" s="27">
        <v>3606000</v>
      </c>
      <c r="G79" s="28">
        <v>3829000</v>
      </c>
      <c r="H79" s="27">
        <v>3037000</v>
      </c>
      <c r="I79" s="28">
        <v>3260000</v>
      </c>
      <c r="J79" s="27">
        <v>4172000</v>
      </c>
      <c r="K79" s="28">
        <v>4395000</v>
      </c>
      <c r="L79" s="27">
        <v>3658000</v>
      </c>
      <c r="M79" s="28">
        <v>3881000</v>
      </c>
      <c r="N79" s="27">
        <v>5059000</v>
      </c>
      <c r="O79" s="28">
        <v>5282000</v>
      </c>
      <c r="P79" s="27">
        <v>2979000</v>
      </c>
      <c r="Q79" s="28">
        <v>3202000</v>
      </c>
      <c r="R79" s="27">
        <v>3876000</v>
      </c>
      <c r="S79" s="28">
        <v>4099000</v>
      </c>
      <c r="T79" s="29"/>
      <c r="U79" s="30"/>
      <c r="V79" s="27">
        <v>2497000</v>
      </c>
      <c r="W79" s="28">
        <v>2720000</v>
      </c>
      <c r="X79" s="27">
        <v>2392000</v>
      </c>
      <c r="Y79" s="28">
        <v>2615000</v>
      </c>
      <c r="Z79" s="27">
        <v>2628000</v>
      </c>
      <c r="AA79" s="28">
        <v>2851000</v>
      </c>
      <c r="AB79" s="27">
        <v>2681000</v>
      </c>
      <c r="AC79" s="28">
        <v>2904000</v>
      </c>
      <c r="AD79" s="27">
        <v>2701000</v>
      </c>
      <c r="AE79" s="28">
        <v>2924000</v>
      </c>
      <c r="AF79" s="27">
        <v>2796000</v>
      </c>
      <c r="AG79" s="28">
        <v>3019000</v>
      </c>
      <c r="AH79" s="27">
        <v>2796000</v>
      </c>
      <c r="AI79" s="28">
        <v>3019000</v>
      </c>
      <c r="AJ79" s="27">
        <v>2676000</v>
      </c>
      <c r="AK79" s="28">
        <v>2899000</v>
      </c>
      <c r="AL79" s="27">
        <v>2856000</v>
      </c>
      <c r="AM79" s="28">
        <v>3079000</v>
      </c>
      <c r="AN79" s="27">
        <v>2508000</v>
      </c>
      <c r="AO79" s="28">
        <v>2731000</v>
      </c>
      <c r="AP79" s="27">
        <v>2792000</v>
      </c>
      <c r="AQ79" s="28">
        <v>3015000</v>
      </c>
      <c r="AR79" s="27">
        <v>2864000</v>
      </c>
      <c r="AS79" s="28">
        <v>3087000</v>
      </c>
      <c r="AT79" s="27">
        <v>2792000</v>
      </c>
      <c r="AU79" s="28">
        <v>3015000</v>
      </c>
      <c r="AV79" s="27">
        <v>2815000</v>
      </c>
      <c r="AW79" s="28">
        <v>3038000</v>
      </c>
      <c r="AX79" s="27">
        <v>2797000</v>
      </c>
      <c r="AY79" s="28">
        <v>3020000</v>
      </c>
      <c r="AZ79" s="27">
        <v>2838000</v>
      </c>
      <c r="BA79" s="28">
        <v>3061000</v>
      </c>
      <c r="BB79" s="27">
        <v>2571000</v>
      </c>
      <c r="BC79" s="28">
        <v>2794000</v>
      </c>
      <c r="BD79" s="27">
        <v>2571000</v>
      </c>
      <c r="BE79" s="28">
        <v>2794000</v>
      </c>
      <c r="BF79" s="27">
        <v>2571000</v>
      </c>
      <c r="BG79" s="28">
        <v>2794000</v>
      </c>
      <c r="BH79" s="27">
        <v>2571000</v>
      </c>
      <c r="BI79" s="28">
        <v>2794000</v>
      </c>
      <c r="BJ79" s="27">
        <v>2567000</v>
      </c>
      <c r="BK79" s="28">
        <v>2790000</v>
      </c>
      <c r="BL79" s="27">
        <v>2598000</v>
      </c>
      <c r="BM79" s="28">
        <v>2821000</v>
      </c>
      <c r="BN79" s="27">
        <v>2598000</v>
      </c>
      <c r="BO79" s="28">
        <v>2821000</v>
      </c>
      <c r="BP79" s="27">
        <v>2591000</v>
      </c>
      <c r="BQ79" s="28">
        <v>2814000</v>
      </c>
      <c r="BR79" s="27">
        <v>2571000</v>
      </c>
      <c r="BS79" s="28">
        <v>2794000</v>
      </c>
      <c r="BT79" s="27">
        <v>2565000</v>
      </c>
      <c r="BU79" s="28">
        <v>2788000</v>
      </c>
      <c r="BV79" s="27">
        <v>2565000</v>
      </c>
      <c r="BW79" s="28">
        <v>2788000</v>
      </c>
      <c r="BX79" s="27">
        <v>2565000</v>
      </c>
      <c r="BY79" s="28">
        <v>2788000</v>
      </c>
      <c r="BZ79" s="27">
        <v>2553000</v>
      </c>
      <c r="CA79" s="28">
        <v>2776000</v>
      </c>
      <c r="CB79" s="27">
        <v>2522000</v>
      </c>
      <c r="CC79" s="28">
        <v>2745000</v>
      </c>
      <c r="CD79" s="27">
        <v>2522000</v>
      </c>
      <c r="CE79" s="28">
        <v>2745000</v>
      </c>
      <c r="CF79" s="27">
        <v>2553000</v>
      </c>
      <c r="CG79" s="28">
        <v>2776000</v>
      </c>
      <c r="CH79" s="27">
        <v>2741000</v>
      </c>
      <c r="CI79" s="28">
        <v>2964000</v>
      </c>
    </row>
    <row r="80" spans="1:87">
      <c r="A80" s="24"/>
      <c r="B80" s="25" t="s">
        <v>248</v>
      </c>
      <c r="C80" s="26">
        <v>380</v>
      </c>
      <c r="D80" s="26">
        <v>600</v>
      </c>
      <c r="E80" s="26">
        <v>600</v>
      </c>
      <c r="F80" s="27">
        <v>4476000</v>
      </c>
      <c r="G80" s="28">
        <v>4773000</v>
      </c>
      <c r="H80" s="27">
        <v>3718000</v>
      </c>
      <c r="I80" s="28">
        <v>4015000</v>
      </c>
      <c r="J80" s="27">
        <v>5231000</v>
      </c>
      <c r="K80" s="28">
        <v>5528000</v>
      </c>
      <c r="L80" s="27">
        <v>4546000</v>
      </c>
      <c r="M80" s="28">
        <v>4843000</v>
      </c>
      <c r="N80" s="27">
        <v>6413000</v>
      </c>
      <c r="O80" s="28">
        <v>6710000</v>
      </c>
      <c r="P80" s="27">
        <v>3576000</v>
      </c>
      <c r="Q80" s="28">
        <v>3873000</v>
      </c>
      <c r="R80" s="27">
        <v>4921000</v>
      </c>
      <c r="S80" s="28">
        <v>5218000</v>
      </c>
      <c r="T80" s="29"/>
      <c r="U80" s="30"/>
      <c r="V80" s="27">
        <v>2991000</v>
      </c>
      <c r="W80" s="28">
        <v>3288000</v>
      </c>
      <c r="X80" s="27">
        <v>2851000</v>
      </c>
      <c r="Y80" s="28">
        <v>3148000</v>
      </c>
      <c r="Z80" s="27">
        <v>3159000</v>
      </c>
      <c r="AA80" s="28">
        <v>3456000</v>
      </c>
      <c r="AB80" s="27">
        <v>3227000</v>
      </c>
      <c r="AC80" s="28">
        <v>3524000</v>
      </c>
      <c r="AD80" s="27">
        <v>3249000</v>
      </c>
      <c r="AE80" s="28">
        <v>3546000</v>
      </c>
      <c r="AF80" s="27">
        <v>3372000</v>
      </c>
      <c r="AG80" s="28">
        <v>3669000</v>
      </c>
      <c r="AH80" s="27">
        <v>3372000</v>
      </c>
      <c r="AI80" s="28">
        <v>3669000</v>
      </c>
      <c r="AJ80" s="27">
        <v>3223000</v>
      </c>
      <c r="AK80" s="28">
        <v>3520000</v>
      </c>
      <c r="AL80" s="27">
        <v>3461000</v>
      </c>
      <c r="AM80" s="28">
        <v>3758000</v>
      </c>
      <c r="AN80" s="27">
        <v>3000000</v>
      </c>
      <c r="AO80" s="28">
        <v>3297000</v>
      </c>
      <c r="AP80" s="27">
        <v>3374000</v>
      </c>
      <c r="AQ80" s="28">
        <v>3671000</v>
      </c>
      <c r="AR80" s="27">
        <v>3470000</v>
      </c>
      <c r="AS80" s="28">
        <v>3767000</v>
      </c>
      <c r="AT80" s="27">
        <v>3374000</v>
      </c>
      <c r="AU80" s="28">
        <v>3671000</v>
      </c>
      <c r="AV80" s="27">
        <v>3407000</v>
      </c>
      <c r="AW80" s="28">
        <v>3704000</v>
      </c>
      <c r="AX80" s="27">
        <v>3383000</v>
      </c>
      <c r="AY80" s="28">
        <v>3680000</v>
      </c>
      <c r="AZ80" s="27">
        <v>3437000</v>
      </c>
      <c r="BA80" s="28">
        <v>3734000</v>
      </c>
      <c r="BB80" s="27">
        <v>3090000</v>
      </c>
      <c r="BC80" s="28">
        <v>3387000</v>
      </c>
      <c r="BD80" s="27">
        <v>3090000</v>
      </c>
      <c r="BE80" s="28">
        <v>3387000</v>
      </c>
      <c r="BF80" s="27">
        <v>3090000</v>
      </c>
      <c r="BG80" s="28">
        <v>3387000</v>
      </c>
      <c r="BH80" s="27">
        <v>3090000</v>
      </c>
      <c r="BI80" s="28">
        <v>3387000</v>
      </c>
      <c r="BJ80" s="27">
        <v>3084000</v>
      </c>
      <c r="BK80" s="28">
        <v>3381000</v>
      </c>
      <c r="BL80" s="27">
        <v>3125000</v>
      </c>
      <c r="BM80" s="28">
        <v>3422000</v>
      </c>
      <c r="BN80" s="27">
        <v>3125000</v>
      </c>
      <c r="BO80" s="28">
        <v>3422000</v>
      </c>
      <c r="BP80" s="27">
        <v>3116000</v>
      </c>
      <c r="BQ80" s="28">
        <v>3413000</v>
      </c>
      <c r="BR80" s="27">
        <v>3090000</v>
      </c>
      <c r="BS80" s="28">
        <v>3387000</v>
      </c>
      <c r="BT80" s="27">
        <v>3082000</v>
      </c>
      <c r="BU80" s="28">
        <v>3379000</v>
      </c>
      <c r="BV80" s="27">
        <v>3082000</v>
      </c>
      <c r="BW80" s="28">
        <v>3379000</v>
      </c>
      <c r="BX80" s="27">
        <v>3082000</v>
      </c>
      <c r="BY80" s="28">
        <v>3379000</v>
      </c>
      <c r="BZ80" s="27">
        <v>3050000</v>
      </c>
      <c r="CA80" s="28">
        <v>3347000</v>
      </c>
      <c r="CB80" s="27">
        <v>3008000</v>
      </c>
      <c r="CC80" s="28">
        <v>3305000</v>
      </c>
      <c r="CD80" s="27">
        <v>3008000</v>
      </c>
      <c r="CE80" s="28">
        <v>3305000</v>
      </c>
      <c r="CF80" s="27">
        <v>3050000</v>
      </c>
      <c r="CG80" s="28">
        <v>3347000</v>
      </c>
      <c r="CH80" s="27">
        <v>3305000</v>
      </c>
      <c r="CI80" s="28">
        <v>3602000</v>
      </c>
    </row>
    <row r="81" spans="1:87">
      <c r="A81" s="24"/>
      <c r="B81" s="25" t="s">
        <v>249</v>
      </c>
      <c r="C81" s="26">
        <v>380</v>
      </c>
      <c r="D81" s="26">
        <v>600</v>
      </c>
      <c r="E81" s="26">
        <v>900</v>
      </c>
      <c r="F81" s="27">
        <v>6553000</v>
      </c>
      <c r="G81" s="28">
        <v>7000000</v>
      </c>
      <c r="H81" s="27">
        <v>5415000</v>
      </c>
      <c r="I81" s="28">
        <v>5862000</v>
      </c>
      <c r="J81" s="27">
        <v>7685000</v>
      </c>
      <c r="K81" s="28">
        <v>8132000</v>
      </c>
      <c r="L81" s="27">
        <v>6657000</v>
      </c>
      <c r="M81" s="28">
        <v>7104000</v>
      </c>
      <c r="N81" s="27">
        <v>9458000</v>
      </c>
      <c r="O81" s="28">
        <v>9905000</v>
      </c>
      <c r="P81" s="27">
        <v>5382000</v>
      </c>
      <c r="Q81" s="28">
        <v>5829000</v>
      </c>
      <c r="R81" s="27">
        <v>7625000</v>
      </c>
      <c r="S81" s="28">
        <v>8072000</v>
      </c>
      <c r="T81" s="29"/>
      <c r="U81" s="30"/>
      <c r="V81" s="27">
        <v>4334000</v>
      </c>
      <c r="W81" s="28">
        <v>4781000</v>
      </c>
      <c r="X81" s="27">
        <v>4124000</v>
      </c>
      <c r="Y81" s="28">
        <v>4571000</v>
      </c>
      <c r="Z81" s="27">
        <v>4596000</v>
      </c>
      <c r="AA81" s="28">
        <v>5043000</v>
      </c>
      <c r="AB81" s="27">
        <v>4702000</v>
      </c>
      <c r="AC81" s="28">
        <v>5149000</v>
      </c>
      <c r="AD81" s="27">
        <v>4742000</v>
      </c>
      <c r="AE81" s="28">
        <v>5189000</v>
      </c>
      <c r="AF81" s="27">
        <v>4932000</v>
      </c>
      <c r="AG81" s="28">
        <v>5379000</v>
      </c>
      <c r="AH81" s="27">
        <v>4932000</v>
      </c>
      <c r="AI81" s="28">
        <v>5379000</v>
      </c>
      <c r="AJ81" s="27">
        <v>4693000</v>
      </c>
      <c r="AK81" s="28">
        <v>5140000</v>
      </c>
      <c r="AL81" s="27">
        <v>5053000</v>
      </c>
      <c r="AM81" s="28">
        <v>5500000</v>
      </c>
      <c r="AN81" s="27">
        <v>4356000</v>
      </c>
      <c r="AO81" s="28">
        <v>4803000</v>
      </c>
      <c r="AP81" s="27">
        <v>4924000</v>
      </c>
      <c r="AQ81" s="28">
        <v>5371000</v>
      </c>
      <c r="AR81" s="27">
        <v>5068000</v>
      </c>
      <c r="AS81" s="28">
        <v>5515000</v>
      </c>
      <c r="AT81" s="27">
        <v>4924000</v>
      </c>
      <c r="AU81" s="28">
        <v>5371000</v>
      </c>
      <c r="AV81" s="27">
        <v>4971000</v>
      </c>
      <c r="AW81" s="28">
        <v>5418000</v>
      </c>
      <c r="AX81" s="27">
        <v>4935000</v>
      </c>
      <c r="AY81" s="28">
        <v>5382000</v>
      </c>
      <c r="AZ81" s="27">
        <v>5017000</v>
      </c>
      <c r="BA81" s="28">
        <v>5464000</v>
      </c>
      <c r="BB81" s="27">
        <v>4483000</v>
      </c>
      <c r="BC81" s="28">
        <v>4930000</v>
      </c>
      <c r="BD81" s="27">
        <v>4483000</v>
      </c>
      <c r="BE81" s="28">
        <v>4930000</v>
      </c>
      <c r="BF81" s="27">
        <v>4483000</v>
      </c>
      <c r="BG81" s="28">
        <v>4930000</v>
      </c>
      <c r="BH81" s="27">
        <v>4483000</v>
      </c>
      <c r="BI81" s="28">
        <v>4930000</v>
      </c>
      <c r="BJ81" s="27">
        <v>4474000</v>
      </c>
      <c r="BK81" s="28">
        <v>4921000</v>
      </c>
      <c r="BL81" s="27">
        <v>4536000</v>
      </c>
      <c r="BM81" s="28">
        <v>4983000</v>
      </c>
      <c r="BN81" s="27">
        <v>4536000</v>
      </c>
      <c r="BO81" s="28">
        <v>4983000</v>
      </c>
      <c r="BP81" s="27">
        <v>4523000</v>
      </c>
      <c r="BQ81" s="28">
        <v>4970000</v>
      </c>
      <c r="BR81" s="27">
        <v>4483000</v>
      </c>
      <c r="BS81" s="28">
        <v>4930000</v>
      </c>
      <c r="BT81" s="27">
        <v>4470000</v>
      </c>
      <c r="BU81" s="28">
        <v>4917000</v>
      </c>
      <c r="BV81" s="27">
        <v>4470000</v>
      </c>
      <c r="BW81" s="28">
        <v>4917000</v>
      </c>
      <c r="BX81" s="27">
        <v>4470000</v>
      </c>
      <c r="BY81" s="28">
        <v>4917000</v>
      </c>
      <c r="BZ81" s="27">
        <v>4447000</v>
      </c>
      <c r="CA81" s="28">
        <v>4894000</v>
      </c>
      <c r="CB81" s="27">
        <v>4384000</v>
      </c>
      <c r="CC81" s="28">
        <v>4831000</v>
      </c>
      <c r="CD81" s="27">
        <v>4384000</v>
      </c>
      <c r="CE81" s="28">
        <v>4831000</v>
      </c>
      <c r="CF81" s="27">
        <v>4447000</v>
      </c>
      <c r="CG81" s="28">
        <v>4894000</v>
      </c>
      <c r="CH81" s="27">
        <v>4823000</v>
      </c>
      <c r="CI81" s="28">
        <v>5270000</v>
      </c>
    </row>
    <row r="82" spans="1:87" ht="63" customHeight="1">
      <c r="A82" s="16" t="e">
        <f ca="1">_xludf.image("https://lh3.google.com/u/0/d/15SIuX2dOtFeBigv5Egba1vQNS43oAWDh",1)</f>
        <v>#NAME?</v>
      </c>
      <c r="B82" s="17" t="s">
        <v>250</v>
      </c>
      <c r="C82" s="147"/>
      <c r="D82" s="145"/>
      <c r="E82" s="146"/>
      <c r="F82" s="63"/>
      <c r="G82" s="64"/>
      <c r="H82" s="63"/>
      <c r="I82" s="64"/>
      <c r="J82" s="63"/>
      <c r="K82" s="64"/>
      <c r="L82" s="63"/>
      <c r="M82" s="64"/>
      <c r="N82" s="63"/>
      <c r="O82" s="64"/>
      <c r="P82" s="63"/>
      <c r="Q82" s="64"/>
      <c r="R82" s="63"/>
      <c r="S82" s="64"/>
      <c r="T82" s="63"/>
      <c r="U82" s="64"/>
      <c r="V82" s="63"/>
      <c r="W82" s="64"/>
      <c r="X82" s="63"/>
      <c r="Y82" s="64"/>
      <c r="Z82" s="63"/>
      <c r="AA82" s="64"/>
      <c r="AB82" s="63"/>
      <c r="AC82" s="64"/>
      <c r="AD82" s="63"/>
      <c r="AE82" s="64"/>
      <c r="AF82" s="63"/>
      <c r="AG82" s="64"/>
      <c r="AH82" s="63"/>
      <c r="AI82" s="64"/>
      <c r="AJ82" s="63"/>
      <c r="AK82" s="64"/>
      <c r="AL82" s="63"/>
      <c r="AM82" s="64"/>
      <c r="AN82" s="63"/>
      <c r="AO82" s="64"/>
      <c r="AP82" s="63"/>
      <c r="AQ82" s="64"/>
      <c r="AR82" s="63"/>
      <c r="AS82" s="64"/>
      <c r="AT82" s="63"/>
      <c r="AU82" s="64"/>
      <c r="AV82" s="63"/>
      <c r="AW82" s="64"/>
      <c r="AX82" s="63"/>
      <c r="AY82" s="64"/>
      <c r="AZ82" s="63"/>
      <c r="BA82" s="64"/>
      <c r="BB82" s="63"/>
      <c r="BC82" s="64"/>
      <c r="BD82" s="63"/>
      <c r="BE82" s="64"/>
      <c r="BF82" s="63"/>
      <c r="BG82" s="64"/>
      <c r="BH82" s="63"/>
      <c r="BI82" s="64"/>
      <c r="BJ82" s="63"/>
      <c r="BK82" s="64"/>
      <c r="BL82" s="63"/>
      <c r="BM82" s="64"/>
      <c r="BN82" s="63"/>
      <c r="BO82" s="64"/>
      <c r="BP82" s="63"/>
      <c r="BQ82" s="64"/>
      <c r="BR82" s="63"/>
      <c r="BS82" s="64"/>
      <c r="BT82" s="63"/>
      <c r="BU82" s="64"/>
      <c r="BV82" s="63"/>
      <c r="BW82" s="64"/>
      <c r="BX82" s="63"/>
      <c r="BY82" s="64"/>
      <c r="BZ82" s="63"/>
      <c r="CA82" s="64"/>
      <c r="CB82" s="63"/>
      <c r="CC82" s="64"/>
      <c r="CD82" s="63"/>
      <c r="CE82" s="64"/>
      <c r="CF82" s="63"/>
      <c r="CG82" s="64"/>
      <c r="CH82" s="63"/>
      <c r="CI82" s="64"/>
    </row>
    <row r="83" spans="1:87" ht="12.75">
      <c r="A83" s="20"/>
      <c r="B83" s="21" t="s">
        <v>239</v>
      </c>
      <c r="C83" s="65"/>
      <c r="D83" s="65"/>
      <c r="E83" s="66"/>
      <c r="F83" s="22"/>
      <c r="G83" s="23"/>
      <c r="H83" s="22"/>
      <c r="I83" s="23"/>
      <c r="J83" s="22"/>
      <c r="K83" s="23"/>
      <c r="L83" s="22"/>
      <c r="M83" s="23"/>
      <c r="N83" s="22"/>
      <c r="O83" s="23"/>
      <c r="P83" s="22"/>
      <c r="Q83" s="23"/>
      <c r="R83" s="22"/>
      <c r="S83" s="23"/>
      <c r="T83" s="22"/>
      <c r="U83" s="23"/>
      <c r="V83" s="22"/>
      <c r="W83" s="23"/>
      <c r="X83" s="22"/>
      <c r="Y83" s="23"/>
      <c r="Z83" s="22"/>
      <c r="AA83" s="23"/>
      <c r="AB83" s="22"/>
      <c r="AC83" s="23"/>
      <c r="AD83" s="22"/>
      <c r="AE83" s="23"/>
      <c r="AF83" s="22"/>
      <c r="AG83" s="23"/>
      <c r="AH83" s="22"/>
      <c r="AI83" s="23"/>
      <c r="AJ83" s="22"/>
      <c r="AK83" s="23"/>
      <c r="AL83" s="22"/>
      <c r="AM83" s="23"/>
      <c r="AN83" s="22"/>
      <c r="AO83" s="23"/>
      <c r="AP83" s="22"/>
      <c r="AQ83" s="23"/>
      <c r="AR83" s="22"/>
      <c r="AS83" s="23"/>
      <c r="AT83" s="22"/>
      <c r="AU83" s="23"/>
      <c r="AV83" s="22"/>
      <c r="AW83" s="23"/>
      <c r="AX83" s="22"/>
      <c r="AY83" s="23"/>
      <c r="AZ83" s="22"/>
      <c r="BA83" s="23"/>
      <c r="BB83" s="22"/>
      <c r="BC83" s="23"/>
      <c r="BD83" s="22"/>
      <c r="BE83" s="23"/>
      <c r="BF83" s="22"/>
      <c r="BG83" s="23"/>
      <c r="BH83" s="22"/>
      <c r="BI83" s="23"/>
      <c r="BJ83" s="22"/>
      <c r="BK83" s="23"/>
      <c r="BL83" s="22"/>
      <c r="BM83" s="23"/>
      <c r="BN83" s="22"/>
      <c r="BO83" s="23"/>
      <c r="BP83" s="22"/>
      <c r="BQ83" s="23"/>
      <c r="BR83" s="22"/>
      <c r="BS83" s="23"/>
      <c r="BT83" s="22"/>
      <c r="BU83" s="23"/>
      <c r="BV83" s="22"/>
      <c r="BW83" s="23"/>
      <c r="BX83" s="22"/>
      <c r="BY83" s="23"/>
      <c r="BZ83" s="22"/>
      <c r="CA83" s="23"/>
      <c r="CB83" s="22"/>
      <c r="CC83" s="23"/>
      <c r="CD83" s="22"/>
      <c r="CE83" s="23"/>
      <c r="CF83" s="22"/>
      <c r="CG83" s="23"/>
      <c r="CH83" s="22"/>
      <c r="CI83" s="23"/>
    </row>
    <row r="84" spans="1:87">
      <c r="A84" s="24"/>
      <c r="B84" s="25" t="s">
        <v>251</v>
      </c>
      <c r="C84" s="26">
        <v>380</v>
      </c>
      <c r="D84" s="26">
        <v>723</v>
      </c>
      <c r="E84" s="26">
        <v>300</v>
      </c>
      <c r="F84" s="27">
        <v>2860000</v>
      </c>
      <c r="G84" s="28">
        <v>3009000</v>
      </c>
      <c r="H84" s="27">
        <v>2403000</v>
      </c>
      <c r="I84" s="28">
        <v>2552000</v>
      </c>
      <c r="J84" s="27">
        <v>3315000</v>
      </c>
      <c r="K84" s="28">
        <v>3464000</v>
      </c>
      <c r="L84" s="27">
        <v>2902000</v>
      </c>
      <c r="M84" s="28">
        <v>3051000</v>
      </c>
      <c r="N84" s="27">
        <v>4027000</v>
      </c>
      <c r="O84" s="28">
        <v>4176000</v>
      </c>
      <c r="P84" s="27">
        <v>2397000</v>
      </c>
      <c r="Q84" s="28">
        <v>2546000</v>
      </c>
      <c r="R84" s="27">
        <v>2968000</v>
      </c>
      <c r="S84" s="28">
        <v>3117000</v>
      </c>
      <c r="T84" s="29"/>
      <c r="U84" s="30"/>
      <c r="V84" s="27">
        <v>1973000</v>
      </c>
      <c r="W84" s="28">
        <v>2122000</v>
      </c>
      <c r="X84" s="27">
        <v>1889000</v>
      </c>
      <c r="Y84" s="28">
        <v>2038000</v>
      </c>
      <c r="Z84" s="27">
        <v>2085000</v>
      </c>
      <c r="AA84" s="28">
        <v>2234000</v>
      </c>
      <c r="AB84" s="27">
        <v>2130000</v>
      </c>
      <c r="AC84" s="28">
        <v>2279000</v>
      </c>
      <c r="AD84" s="27">
        <v>2151000</v>
      </c>
      <c r="AE84" s="28">
        <v>2300000</v>
      </c>
      <c r="AF84" s="27">
        <v>2230000</v>
      </c>
      <c r="AG84" s="28">
        <v>2379000</v>
      </c>
      <c r="AH84" s="27">
        <v>2230000</v>
      </c>
      <c r="AI84" s="28">
        <v>2379000</v>
      </c>
      <c r="AJ84" s="27">
        <v>2125000</v>
      </c>
      <c r="AK84" s="28">
        <v>2274000</v>
      </c>
      <c r="AL84" s="27">
        <v>2270000</v>
      </c>
      <c r="AM84" s="28">
        <v>2419000</v>
      </c>
      <c r="AN84" s="27">
        <v>1988000</v>
      </c>
      <c r="AO84" s="28">
        <v>2137000</v>
      </c>
      <c r="AP84" s="27">
        <v>2220000</v>
      </c>
      <c r="AQ84" s="28">
        <v>2369000</v>
      </c>
      <c r="AR84" s="27">
        <v>2278000</v>
      </c>
      <c r="AS84" s="28">
        <v>2427000</v>
      </c>
      <c r="AT84" s="27">
        <v>2220000</v>
      </c>
      <c r="AU84" s="28">
        <v>2369000</v>
      </c>
      <c r="AV84" s="27">
        <v>2238000</v>
      </c>
      <c r="AW84" s="28">
        <v>2387000</v>
      </c>
      <c r="AX84" s="27">
        <v>2223000</v>
      </c>
      <c r="AY84" s="28">
        <v>2372000</v>
      </c>
      <c r="AZ84" s="27">
        <v>2256000</v>
      </c>
      <c r="BA84" s="28">
        <v>2405000</v>
      </c>
      <c r="BB84" s="27">
        <v>2034000</v>
      </c>
      <c r="BC84" s="28">
        <v>2183000</v>
      </c>
      <c r="BD84" s="27">
        <v>2034000</v>
      </c>
      <c r="BE84" s="28">
        <v>2183000</v>
      </c>
      <c r="BF84" s="27">
        <v>2034000</v>
      </c>
      <c r="BG84" s="28">
        <v>2183000</v>
      </c>
      <c r="BH84" s="27">
        <v>2034000</v>
      </c>
      <c r="BI84" s="28">
        <v>2183000</v>
      </c>
      <c r="BJ84" s="27">
        <v>2030000</v>
      </c>
      <c r="BK84" s="28">
        <v>2179000</v>
      </c>
      <c r="BL84" s="27">
        <v>2055000</v>
      </c>
      <c r="BM84" s="28">
        <v>2204000</v>
      </c>
      <c r="BN84" s="27">
        <v>2055000</v>
      </c>
      <c r="BO84" s="28">
        <v>2204000</v>
      </c>
      <c r="BP84" s="27">
        <v>2050000</v>
      </c>
      <c r="BQ84" s="28">
        <v>2199000</v>
      </c>
      <c r="BR84" s="27">
        <v>2034000</v>
      </c>
      <c r="BS84" s="28">
        <v>2183000</v>
      </c>
      <c r="BT84" s="27">
        <v>2029000</v>
      </c>
      <c r="BU84" s="28">
        <v>2178000</v>
      </c>
      <c r="BV84" s="27">
        <v>2029000</v>
      </c>
      <c r="BW84" s="28">
        <v>2178000</v>
      </c>
      <c r="BX84" s="27">
        <v>2029000</v>
      </c>
      <c r="BY84" s="28">
        <v>2178000</v>
      </c>
      <c r="BZ84" s="27">
        <v>2033000</v>
      </c>
      <c r="CA84" s="28">
        <v>2182000</v>
      </c>
      <c r="CB84" s="27">
        <v>2008000</v>
      </c>
      <c r="CC84" s="28">
        <v>2157000</v>
      </c>
      <c r="CD84" s="27">
        <v>2008000</v>
      </c>
      <c r="CE84" s="28">
        <v>2157000</v>
      </c>
      <c r="CF84" s="27">
        <v>2033000</v>
      </c>
      <c r="CG84" s="28">
        <v>2182000</v>
      </c>
      <c r="CH84" s="27">
        <v>2181000</v>
      </c>
      <c r="CI84" s="28">
        <v>2330000</v>
      </c>
    </row>
    <row r="85" spans="1:87">
      <c r="A85" s="24"/>
      <c r="B85" s="25" t="s">
        <v>252</v>
      </c>
      <c r="C85" s="26">
        <v>380</v>
      </c>
      <c r="D85" s="26">
        <v>723</v>
      </c>
      <c r="E85" s="26">
        <v>450</v>
      </c>
      <c r="F85" s="27">
        <v>3707000</v>
      </c>
      <c r="G85" s="28">
        <v>3930000</v>
      </c>
      <c r="H85" s="27">
        <v>3022000</v>
      </c>
      <c r="I85" s="28">
        <v>3245000</v>
      </c>
      <c r="J85" s="27">
        <v>4389000</v>
      </c>
      <c r="K85" s="28">
        <v>4612000</v>
      </c>
      <c r="L85" s="27">
        <v>3770000</v>
      </c>
      <c r="M85" s="28">
        <v>3993000</v>
      </c>
      <c r="N85" s="27">
        <v>5457000</v>
      </c>
      <c r="O85" s="28">
        <v>5680000</v>
      </c>
      <c r="P85" s="27">
        <v>2899000</v>
      </c>
      <c r="Q85" s="28">
        <v>3122000</v>
      </c>
      <c r="R85" s="27">
        <v>4041000</v>
      </c>
      <c r="S85" s="28">
        <v>4264000</v>
      </c>
      <c r="T85" s="29"/>
      <c r="U85" s="30"/>
      <c r="V85" s="27">
        <v>2367000</v>
      </c>
      <c r="W85" s="28">
        <v>2590000</v>
      </c>
      <c r="X85" s="27">
        <v>2241000</v>
      </c>
      <c r="Y85" s="28">
        <v>2464000</v>
      </c>
      <c r="Z85" s="27">
        <v>2522000</v>
      </c>
      <c r="AA85" s="28">
        <v>2745000</v>
      </c>
      <c r="AB85" s="27">
        <v>2585000</v>
      </c>
      <c r="AC85" s="28">
        <v>2808000</v>
      </c>
      <c r="AD85" s="27">
        <v>2607000</v>
      </c>
      <c r="AE85" s="28">
        <v>2830000</v>
      </c>
      <c r="AF85" s="27">
        <v>2719000</v>
      </c>
      <c r="AG85" s="28">
        <v>2942000</v>
      </c>
      <c r="AH85" s="27">
        <v>2719000</v>
      </c>
      <c r="AI85" s="28">
        <v>2942000</v>
      </c>
      <c r="AJ85" s="27">
        <v>2580000</v>
      </c>
      <c r="AK85" s="28">
        <v>2803000</v>
      </c>
      <c r="AL85" s="27">
        <v>2796000</v>
      </c>
      <c r="AM85" s="28">
        <v>3019000</v>
      </c>
      <c r="AN85" s="27">
        <v>2378000</v>
      </c>
      <c r="AO85" s="28">
        <v>2601000</v>
      </c>
      <c r="AP85" s="27">
        <v>2718000</v>
      </c>
      <c r="AQ85" s="28">
        <v>2941000</v>
      </c>
      <c r="AR85" s="27">
        <v>2805000</v>
      </c>
      <c r="AS85" s="28">
        <v>3028000</v>
      </c>
      <c r="AT85" s="27">
        <v>2718000</v>
      </c>
      <c r="AU85" s="28">
        <v>2941000</v>
      </c>
      <c r="AV85" s="27">
        <v>2747000</v>
      </c>
      <c r="AW85" s="28">
        <v>2970000</v>
      </c>
      <c r="AX85" s="27">
        <v>2725000</v>
      </c>
      <c r="AY85" s="28">
        <v>2948000</v>
      </c>
      <c r="AZ85" s="27">
        <v>2775000</v>
      </c>
      <c r="BA85" s="28">
        <v>2998000</v>
      </c>
      <c r="BB85" s="27">
        <v>2457000</v>
      </c>
      <c r="BC85" s="28">
        <v>2680000</v>
      </c>
      <c r="BD85" s="27">
        <v>2457000</v>
      </c>
      <c r="BE85" s="28">
        <v>2680000</v>
      </c>
      <c r="BF85" s="27">
        <v>2457000</v>
      </c>
      <c r="BG85" s="28">
        <v>2680000</v>
      </c>
      <c r="BH85" s="27">
        <v>2457000</v>
      </c>
      <c r="BI85" s="28">
        <v>2680000</v>
      </c>
      <c r="BJ85" s="27">
        <v>2451000</v>
      </c>
      <c r="BK85" s="28">
        <v>2674000</v>
      </c>
      <c r="BL85" s="27">
        <v>2489000</v>
      </c>
      <c r="BM85" s="28">
        <v>2712000</v>
      </c>
      <c r="BN85" s="27">
        <v>2489000</v>
      </c>
      <c r="BO85" s="28">
        <v>2712000</v>
      </c>
      <c r="BP85" s="27">
        <v>2481000</v>
      </c>
      <c r="BQ85" s="28">
        <v>2704000</v>
      </c>
      <c r="BR85" s="27">
        <v>2457000</v>
      </c>
      <c r="BS85" s="28">
        <v>2680000</v>
      </c>
      <c r="BT85" s="27">
        <v>2450000</v>
      </c>
      <c r="BU85" s="28">
        <v>2673000</v>
      </c>
      <c r="BV85" s="27">
        <v>2450000</v>
      </c>
      <c r="BW85" s="28">
        <v>2673000</v>
      </c>
      <c r="BX85" s="27">
        <v>2450000</v>
      </c>
      <c r="BY85" s="28">
        <v>2673000</v>
      </c>
      <c r="BZ85" s="27">
        <v>2428000</v>
      </c>
      <c r="CA85" s="28">
        <v>2651000</v>
      </c>
      <c r="CB85" s="27">
        <v>2390000</v>
      </c>
      <c r="CC85" s="28">
        <v>2613000</v>
      </c>
      <c r="CD85" s="27">
        <v>2390000</v>
      </c>
      <c r="CE85" s="28">
        <v>2613000</v>
      </c>
      <c r="CF85" s="27">
        <v>2428000</v>
      </c>
      <c r="CG85" s="28">
        <v>2651000</v>
      </c>
      <c r="CH85" s="27">
        <v>2657000</v>
      </c>
      <c r="CI85" s="28">
        <v>2880000</v>
      </c>
    </row>
    <row r="86" spans="1:87">
      <c r="A86" s="24"/>
      <c r="B86" s="25" t="s">
        <v>253</v>
      </c>
      <c r="C86" s="26">
        <v>380</v>
      </c>
      <c r="D86" s="26">
        <v>723</v>
      </c>
      <c r="E86" s="26">
        <v>600</v>
      </c>
      <c r="F86" s="27">
        <v>4574000</v>
      </c>
      <c r="G86" s="28">
        <v>4871000</v>
      </c>
      <c r="H86" s="27">
        <v>3660000</v>
      </c>
      <c r="I86" s="28">
        <v>3957000</v>
      </c>
      <c r="J86" s="27">
        <v>5484000</v>
      </c>
      <c r="K86" s="28">
        <v>5781000</v>
      </c>
      <c r="L86" s="27">
        <v>4658000</v>
      </c>
      <c r="M86" s="28">
        <v>4955000</v>
      </c>
      <c r="N86" s="27">
        <v>6908000</v>
      </c>
      <c r="O86" s="28">
        <v>7205000</v>
      </c>
      <c r="P86" s="27">
        <v>3422000</v>
      </c>
      <c r="Q86" s="28">
        <v>3719000</v>
      </c>
      <c r="R86" s="27">
        <v>5135000</v>
      </c>
      <c r="S86" s="28">
        <v>5432000</v>
      </c>
      <c r="T86" s="29"/>
      <c r="U86" s="30"/>
      <c r="V86" s="27">
        <v>2781000</v>
      </c>
      <c r="W86" s="28">
        <v>3078000</v>
      </c>
      <c r="X86" s="27">
        <v>2613000</v>
      </c>
      <c r="Y86" s="28">
        <v>2910000</v>
      </c>
      <c r="Z86" s="27">
        <v>2980000</v>
      </c>
      <c r="AA86" s="28">
        <v>3277000</v>
      </c>
      <c r="AB86" s="27">
        <v>3059000</v>
      </c>
      <c r="AC86" s="28">
        <v>3356000</v>
      </c>
      <c r="AD86" s="27">
        <v>3083000</v>
      </c>
      <c r="AE86" s="28">
        <v>3380000</v>
      </c>
      <c r="AF86" s="27">
        <v>3228000</v>
      </c>
      <c r="AG86" s="28">
        <v>3525000</v>
      </c>
      <c r="AH86" s="27">
        <v>3228000</v>
      </c>
      <c r="AI86" s="28">
        <v>3525000</v>
      </c>
      <c r="AJ86" s="27">
        <v>3056000</v>
      </c>
      <c r="AK86" s="28">
        <v>3353000</v>
      </c>
      <c r="AL86" s="27">
        <v>3343000</v>
      </c>
      <c r="AM86" s="28">
        <v>3640000</v>
      </c>
      <c r="AN86" s="27">
        <v>2788000</v>
      </c>
      <c r="AO86" s="28">
        <v>3085000</v>
      </c>
      <c r="AP86" s="27">
        <v>3237000</v>
      </c>
      <c r="AQ86" s="28">
        <v>3534000</v>
      </c>
      <c r="AR86" s="27">
        <v>3352000</v>
      </c>
      <c r="AS86" s="28">
        <v>3649000</v>
      </c>
      <c r="AT86" s="27">
        <v>3237000</v>
      </c>
      <c r="AU86" s="28">
        <v>3534000</v>
      </c>
      <c r="AV86" s="27">
        <v>3277000</v>
      </c>
      <c r="AW86" s="28">
        <v>3574000</v>
      </c>
      <c r="AX86" s="27">
        <v>3247000</v>
      </c>
      <c r="AY86" s="28">
        <v>3544000</v>
      </c>
      <c r="AZ86" s="27">
        <v>3313000</v>
      </c>
      <c r="BA86" s="28">
        <v>3610000</v>
      </c>
      <c r="BB86" s="27">
        <v>2901000</v>
      </c>
      <c r="BC86" s="28">
        <v>3198000</v>
      </c>
      <c r="BD86" s="27">
        <v>2901000</v>
      </c>
      <c r="BE86" s="28">
        <v>3198000</v>
      </c>
      <c r="BF86" s="27">
        <v>2901000</v>
      </c>
      <c r="BG86" s="28">
        <v>3198000</v>
      </c>
      <c r="BH86" s="27">
        <v>2901000</v>
      </c>
      <c r="BI86" s="28">
        <v>3198000</v>
      </c>
      <c r="BJ86" s="27">
        <v>2893000</v>
      </c>
      <c r="BK86" s="28">
        <v>3190000</v>
      </c>
      <c r="BL86" s="27">
        <v>2943000</v>
      </c>
      <c r="BM86" s="28">
        <v>3240000</v>
      </c>
      <c r="BN86" s="27">
        <v>2943000</v>
      </c>
      <c r="BO86" s="28">
        <v>3240000</v>
      </c>
      <c r="BP86" s="27">
        <v>2932000</v>
      </c>
      <c r="BQ86" s="28">
        <v>3229000</v>
      </c>
      <c r="BR86" s="27">
        <v>2901000</v>
      </c>
      <c r="BS86" s="28">
        <v>3198000</v>
      </c>
      <c r="BT86" s="27">
        <v>2890000</v>
      </c>
      <c r="BU86" s="28">
        <v>3187000</v>
      </c>
      <c r="BV86" s="27">
        <v>2890000</v>
      </c>
      <c r="BW86" s="28">
        <v>3187000</v>
      </c>
      <c r="BX86" s="27">
        <v>2890000</v>
      </c>
      <c r="BY86" s="28">
        <v>3187000</v>
      </c>
      <c r="BZ86" s="27">
        <v>2843000</v>
      </c>
      <c r="CA86" s="28">
        <v>3140000</v>
      </c>
      <c r="CB86" s="27">
        <v>2792000</v>
      </c>
      <c r="CC86" s="28">
        <v>3089000</v>
      </c>
      <c r="CD86" s="27">
        <v>2792000</v>
      </c>
      <c r="CE86" s="28">
        <v>3089000</v>
      </c>
      <c r="CF86" s="27">
        <v>2843000</v>
      </c>
      <c r="CG86" s="28">
        <v>3140000</v>
      </c>
      <c r="CH86" s="27">
        <v>3153000</v>
      </c>
      <c r="CI86" s="28">
        <v>3450000</v>
      </c>
    </row>
    <row r="87" spans="1:87">
      <c r="A87" s="24"/>
      <c r="B87" s="25" t="s">
        <v>254</v>
      </c>
      <c r="C87" s="26">
        <v>380</v>
      </c>
      <c r="D87" s="26">
        <v>723</v>
      </c>
      <c r="E87" s="26">
        <v>900</v>
      </c>
      <c r="F87" s="27">
        <v>6645000</v>
      </c>
      <c r="G87" s="28">
        <v>7092000</v>
      </c>
      <c r="H87" s="27">
        <v>5275000</v>
      </c>
      <c r="I87" s="28">
        <v>5722000</v>
      </c>
      <c r="J87" s="27">
        <v>8010000</v>
      </c>
      <c r="K87" s="28">
        <v>8457000</v>
      </c>
      <c r="L87" s="27">
        <v>6771000</v>
      </c>
      <c r="M87" s="28">
        <v>7218000</v>
      </c>
      <c r="N87" s="27">
        <v>10146000</v>
      </c>
      <c r="O87" s="28">
        <v>10593000</v>
      </c>
      <c r="P87" s="27">
        <v>5136000</v>
      </c>
      <c r="Q87" s="28">
        <v>5583000</v>
      </c>
      <c r="R87" s="27">
        <v>7992000</v>
      </c>
      <c r="S87" s="28">
        <v>8439000</v>
      </c>
      <c r="T87" s="29"/>
      <c r="U87" s="30"/>
      <c r="V87" s="27">
        <v>3966000</v>
      </c>
      <c r="W87" s="28">
        <v>4413000</v>
      </c>
      <c r="X87" s="27">
        <v>3714000</v>
      </c>
      <c r="Y87" s="28">
        <v>4161000</v>
      </c>
      <c r="Z87" s="27">
        <v>4276000</v>
      </c>
      <c r="AA87" s="28">
        <v>4723000</v>
      </c>
      <c r="AB87" s="27">
        <v>4401000</v>
      </c>
      <c r="AC87" s="28">
        <v>4848000</v>
      </c>
      <c r="AD87" s="27">
        <v>4445000</v>
      </c>
      <c r="AE87" s="28">
        <v>4892000</v>
      </c>
      <c r="AF87" s="27">
        <v>4670000</v>
      </c>
      <c r="AG87" s="28">
        <v>5117000</v>
      </c>
      <c r="AH87" s="27">
        <v>4670000</v>
      </c>
      <c r="AI87" s="28">
        <v>5117000</v>
      </c>
      <c r="AJ87" s="27">
        <v>4392000</v>
      </c>
      <c r="AK87" s="28">
        <v>4839000</v>
      </c>
      <c r="AL87" s="27">
        <v>4824000</v>
      </c>
      <c r="AM87" s="28">
        <v>5271000</v>
      </c>
      <c r="AN87" s="27">
        <v>3988000</v>
      </c>
      <c r="AO87" s="28">
        <v>4435000</v>
      </c>
      <c r="AP87" s="27">
        <v>4668000</v>
      </c>
      <c r="AQ87" s="28">
        <v>5115000</v>
      </c>
      <c r="AR87" s="27">
        <v>4841000</v>
      </c>
      <c r="AS87" s="28">
        <v>5288000</v>
      </c>
      <c r="AT87" s="27">
        <v>4668000</v>
      </c>
      <c r="AU87" s="28">
        <v>5115000</v>
      </c>
      <c r="AV87" s="27">
        <v>4726000</v>
      </c>
      <c r="AW87" s="28">
        <v>5173000</v>
      </c>
      <c r="AX87" s="27">
        <v>4682000</v>
      </c>
      <c r="AY87" s="28">
        <v>5129000</v>
      </c>
      <c r="AZ87" s="27">
        <v>4781000</v>
      </c>
      <c r="BA87" s="28">
        <v>5228000</v>
      </c>
      <c r="BB87" s="27">
        <v>4146000</v>
      </c>
      <c r="BC87" s="28">
        <v>4593000</v>
      </c>
      <c r="BD87" s="27">
        <v>4146000</v>
      </c>
      <c r="BE87" s="28">
        <v>4593000</v>
      </c>
      <c r="BF87" s="27">
        <v>4146000</v>
      </c>
      <c r="BG87" s="28">
        <v>4593000</v>
      </c>
      <c r="BH87" s="27">
        <v>4146000</v>
      </c>
      <c r="BI87" s="28">
        <v>4593000</v>
      </c>
      <c r="BJ87" s="27">
        <v>4134000</v>
      </c>
      <c r="BK87" s="28">
        <v>4581000</v>
      </c>
      <c r="BL87" s="27">
        <v>4209000</v>
      </c>
      <c r="BM87" s="28">
        <v>4656000</v>
      </c>
      <c r="BN87" s="27">
        <v>4209000</v>
      </c>
      <c r="BO87" s="28">
        <v>4656000</v>
      </c>
      <c r="BP87" s="27">
        <v>4193000</v>
      </c>
      <c r="BQ87" s="28">
        <v>4640000</v>
      </c>
      <c r="BR87" s="27">
        <v>4146000</v>
      </c>
      <c r="BS87" s="28">
        <v>4593000</v>
      </c>
      <c r="BT87" s="27">
        <v>4131000</v>
      </c>
      <c r="BU87" s="28">
        <v>4578000</v>
      </c>
      <c r="BV87" s="27">
        <v>4131000</v>
      </c>
      <c r="BW87" s="28">
        <v>4578000</v>
      </c>
      <c r="BX87" s="27">
        <v>4131000</v>
      </c>
      <c r="BY87" s="28">
        <v>4578000</v>
      </c>
      <c r="BZ87" s="27">
        <v>4088000</v>
      </c>
      <c r="CA87" s="28">
        <v>4535000</v>
      </c>
      <c r="CB87" s="27">
        <v>4012000</v>
      </c>
      <c r="CC87" s="28">
        <v>4459000</v>
      </c>
      <c r="CD87" s="27">
        <v>4012000</v>
      </c>
      <c r="CE87" s="28">
        <v>4459000</v>
      </c>
      <c r="CF87" s="27">
        <v>4088000</v>
      </c>
      <c r="CG87" s="28">
        <v>4535000</v>
      </c>
      <c r="CH87" s="27">
        <v>4545000</v>
      </c>
      <c r="CI87" s="28">
        <v>4992000</v>
      </c>
    </row>
    <row r="88" spans="1:87">
      <c r="A88" s="24"/>
      <c r="B88" s="25" t="s">
        <v>255</v>
      </c>
      <c r="C88" s="26">
        <v>650</v>
      </c>
      <c r="D88" s="26">
        <v>723</v>
      </c>
      <c r="E88" s="26">
        <v>650</v>
      </c>
      <c r="F88" s="27">
        <v>6293000</v>
      </c>
      <c r="G88" s="28">
        <v>6616000</v>
      </c>
      <c r="H88" s="27">
        <v>5379000</v>
      </c>
      <c r="I88" s="28">
        <v>5702000</v>
      </c>
      <c r="J88" s="27">
        <v>7203000</v>
      </c>
      <c r="K88" s="28">
        <v>7526000</v>
      </c>
      <c r="L88" s="27">
        <v>6377000</v>
      </c>
      <c r="M88" s="28">
        <v>6700000</v>
      </c>
      <c r="N88" s="27">
        <v>8627000</v>
      </c>
      <c r="O88" s="28">
        <v>8950000</v>
      </c>
      <c r="P88" s="27">
        <v>5012000</v>
      </c>
      <c r="Q88" s="28">
        <v>5335000</v>
      </c>
      <c r="R88" s="27">
        <v>5469000</v>
      </c>
      <c r="S88" s="28">
        <v>5792000</v>
      </c>
      <c r="T88" s="29"/>
      <c r="U88" s="30"/>
      <c r="V88" s="27">
        <v>4520000</v>
      </c>
      <c r="W88" s="28">
        <v>4843000</v>
      </c>
      <c r="X88" s="27">
        <v>4352000</v>
      </c>
      <c r="Y88" s="28">
        <v>4675000</v>
      </c>
      <c r="Z88" s="27">
        <v>4743000</v>
      </c>
      <c r="AA88" s="28">
        <v>5066000</v>
      </c>
      <c r="AB88" s="27">
        <v>4834000</v>
      </c>
      <c r="AC88" s="28">
        <v>5157000</v>
      </c>
      <c r="AD88" s="27">
        <v>4875000</v>
      </c>
      <c r="AE88" s="28">
        <v>5198000</v>
      </c>
      <c r="AF88" s="27">
        <v>5034000</v>
      </c>
      <c r="AG88" s="28">
        <v>5357000</v>
      </c>
      <c r="AH88" s="27">
        <v>5034000</v>
      </c>
      <c r="AI88" s="28">
        <v>5357000</v>
      </c>
      <c r="AJ88" s="27">
        <v>4823000</v>
      </c>
      <c r="AK88" s="28">
        <v>5146000</v>
      </c>
      <c r="AL88" s="27">
        <v>5114000</v>
      </c>
      <c r="AM88" s="28">
        <v>5437000</v>
      </c>
      <c r="AN88" s="27">
        <v>4550000</v>
      </c>
      <c r="AO88" s="28">
        <v>4873000</v>
      </c>
      <c r="AP88" s="27">
        <v>5014000</v>
      </c>
      <c r="AQ88" s="28">
        <v>5337000</v>
      </c>
      <c r="AR88" s="27">
        <v>5129000</v>
      </c>
      <c r="AS88" s="28">
        <v>5452000</v>
      </c>
      <c r="AT88" s="27">
        <v>5014000</v>
      </c>
      <c r="AU88" s="28">
        <v>5337000</v>
      </c>
      <c r="AV88" s="27">
        <v>5049000</v>
      </c>
      <c r="AW88" s="28">
        <v>5372000</v>
      </c>
      <c r="AX88" s="27">
        <v>5020000</v>
      </c>
      <c r="AY88" s="28">
        <v>5343000</v>
      </c>
      <c r="AZ88" s="27">
        <v>5086000</v>
      </c>
      <c r="BA88" s="28">
        <v>5409000</v>
      </c>
      <c r="BB88" s="27">
        <v>4642000</v>
      </c>
      <c r="BC88" s="28">
        <v>4965000</v>
      </c>
      <c r="BD88" s="27">
        <v>4642000</v>
      </c>
      <c r="BE88" s="28">
        <v>4965000</v>
      </c>
      <c r="BF88" s="27">
        <v>4642000</v>
      </c>
      <c r="BG88" s="28">
        <v>4965000</v>
      </c>
      <c r="BH88" s="27">
        <v>4642000</v>
      </c>
      <c r="BI88" s="28">
        <v>4965000</v>
      </c>
      <c r="BJ88" s="27">
        <v>4634000</v>
      </c>
      <c r="BK88" s="28">
        <v>4957000</v>
      </c>
      <c r="BL88" s="27">
        <v>4683000</v>
      </c>
      <c r="BM88" s="28">
        <v>5006000</v>
      </c>
      <c r="BN88" s="27">
        <v>4683000</v>
      </c>
      <c r="BO88" s="28">
        <v>5006000</v>
      </c>
      <c r="BP88" s="27">
        <v>4673000</v>
      </c>
      <c r="BQ88" s="28">
        <v>4996000</v>
      </c>
      <c r="BR88" s="27">
        <v>4642000</v>
      </c>
      <c r="BS88" s="28">
        <v>4965000</v>
      </c>
      <c r="BT88" s="27">
        <v>4631000</v>
      </c>
      <c r="BU88" s="28">
        <v>4954000</v>
      </c>
      <c r="BV88" s="27">
        <v>4631000</v>
      </c>
      <c r="BW88" s="28">
        <v>4954000</v>
      </c>
      <c r="BX88" s="27">
        <v>4631000</v>
      </c>
      <c r="BY88" s="28">
        <v>4954000</v>
      </c>
      <c r="BZ88" s="27">
        <v>4640000</v>
      </c>
      <c r="CA88" s="28">
        <v>4963000</v>
      </c>
      <c r="CB88" s="27">
        <v>4590000</v>
      </c>
      <c r="CC88" s="28">
        <v>4913000</v>
      </c>
      <c r="CD88" s="27">
        <v>4590000</v>
      </c>
      <c r="CE88" s="28">
        <v>4913000</v>
      </c>
      <c r="CF88" s="27">
        <v>4640000</v>
      </c>
      <c r="CG88" s="28">
        <v>4963000</v>
      </c>
      <c r="CH88" s="27">
        <v>4935000</v>
      </c>
      <c r="CI88" s="28">
        <v>5258000</v>
      </c>
    </row>
    <row r="89" spans="1:87">
      <c r="A89" s="24"/>
      <c r="B89" s="25" t="s">
        <v>256</v>
      </c>
      <c r="C89" s="26">
        <v>380</v>
      </c>
      <c r="D89" s="26">
        <v>723</v>
      </c>
      <c r="E89" s="26">
        <v>1050</v>
      </c>
      <c r="F89" s="27">
        <v>5395000</v>
      </c>
      <c r="G89" s="28">
        <v>5916000</v>
      </c>
      <c r="H89" s="27">
        <v>4710000</v>
      </c>
      <c r="I89" s="28">
        <v>5231000</v>
      </c>
      <c r="J89" s="27">
        <v>6077000</v>
      </c>
      <c r="K89" s="28">
        <v>6598000</v>
      </c>
      <c r="L89" s="27">
        <v>5458000</v>
      </c>
      <c r="M89" s="28">
        <v>5979000</v>
      </c>
      <c r="N89" s="27">
        <v>7145000</v>
      </c>
      <c r="O89" s="28">
        <v>7666000</v>
      </c>
      <c r="P89" s="27">
        <v>4587000</v>
      </c>
      <c r="Q89" s="28">
        <v>5108000</v>
      </c>
      <c r="R89" s="27">
        <v>5729000</v>
      </c>
      <c r="S89" s="28">
        <v>6250000</v>
      </c>
      <c r="T89" s="29"/>
      <c r="U89" s="30"/>
      <c r="V89" s="27">
        <v>4055000</v>
      </c>
      <c r="W89" s="28">
        <v>4576000</v>
      </c>
      <c r="X89" s="27">
        <v>3929000</v>
      </c>
      <c r="Y89" s="28">
        <v>4450000</v>
      </c>
      <c r="Z89" s="27">
        <v>4210000</v>
      </c>
      <c r="AA89" s="28">
        <v>4731000</v>
      </c>
      <c r="AB89" s="27">
        <v>4273000</v>
      </c>
      <c r="AC89" s="28">
        <v>4794000</v>
      </c>
      <c r="AD89" s="27">
        <v>4295000</v>
      </c>
      <c r="AE89" s="28">
        <v>4816000</v>
      </c>
      <c r="AF89" s="27">
        <v>4407000</v>
      </c>
      <c r="AG89" s="28">
        <v>4928000</v>
      </c>
      <c r="AH89" s="27">
        <v>4407000</v>
      </c>
      <c r="AI89" s="28">
        <v>4928000</v>
      </c>
      <c r="AJ89" s="27">
        <v>4268000</v>
      </c>
      <c r="AK89" s="28">
        <v>4789000</v>
      </c>
      <c r="AL89" s="27">
        <v>4484000</v>
      </c>
      <c r="AM89" s="28">
        <v>5005000</v>
      </c>
      <c r="AN89" s="27">
        <v>4066000</v>
      </c>
      <c r="AO89" s="28">
        <v>4587000</v>
      </c>
      <c r="AP89" s="27">
        <v>4406000</v>
      </c>
      <c r="AQ89" s="28">
        <v>4927000</v>
      </c>
      <c r="AR89" s="27">
        <v>4493000</v>
      </c>
      <c r="AS89" s="28">
        <v>5014000</v>
      </c>
      <c r="AT89" s="27">
        <v>4406000</v>
      </c>
      <c r="AU89" s="28">
        <v>4927000</v>
      </c>
      <c r="AV89" s="27">
        <v>4435000</v>
      </c>
      <c r="AW89" s="28">
        <v>4956000</v>
      </c>
      <c r="AX89" s="27">
        <v>4413000</v>
      </c>
      <c r="AY89" s="28">
        <v>4934000</v>
      </c>
      <c r="AZ89" s="27">
        <v>4463000</v>
      </c>
      <c r="BA89" s="28">
        <v>4984000</v>
      </c>
      <c r="BB89" s="27">
        <v>4145000</v>
      </c>
      <c r="BC89" s="28">
        <v>4666000</v>
      </c>
      <c r="BD89" s="27">
        <v>4145000</v>
      </c>
      <c r="BE89" s="28">
        <v>4666000</v>
      </c>
      <c r="BF89" s="27">
        <v>4145000</v>
      </c>
      <c r="BG89" s="28">
        <v>4666000</v>
      </c>
      <c r="BH89" s="27">
        <v>4145000</v>
      </c>
      <c r="BI89" s="28">
        <v>4666000</v>
      </c>
      <c r="BJ89" s="27">
        <v>4139000</v>
      </c>
      <c r="BK89" s="28">
        <v>4660000</v>
      </c>
      <c r="BL89" s="27">
        <v>4177000</v>
      </c>
      <c r="BM89" s="28">
        <v>4698000</v>
      </c>
      <c r="BN89" s="27">
        <v>4177000</v>
      </c>
      <c r="BO89" s="28">
        <v>4698000</v>
      </c>
      <c r="BP89" s="27">
        <v>4169000</v>
      </c>
      <c r="BQ89" s="28">
        <v>4690000</v>
      </c>
      <c r="BR89" s="27">
        <v>4145000</v>
      </c>
      <c r="BS89" s="28">
        <v>4666000</v>
      </c>
      <c r="BT89" s="27">
        <v>4138000</v>
      </c>
      <c r="BU89" s="28">
        <v>4659000</v>
      </c>
      <c r="BV89" s="27">
        <v>4138000</v>
      </c>
      <c r="BW89" s="28">
        <v>4659000</v>
      </c>
      <c r="BX89" s="27">
        <v>4138000</v>
      </c>
      <c r="BY89" s="28">
        <v>4659000</v>
      </c>
      <c r="BZ89" s="27">
        <v>4116000</v>
      </c>
      <c r="CA89" s="28">
        <v>4637000</v>
      </c>
      <c r="CB89" s="27">
        <v>4078000</v>
      </c>
      <c r="CC89" s="28">
        <v>4599000</v>
      </c>
      <c r="CD89" s="27">
        <v>4078000</v>
      </c>
      <c r="CE89" s="28">
        <v>4599000</v>
      </c>
      <c r="CF89" s="27">
        <v>4116000</v>
      </c>
      <c r="CG89" s="28">
        <v>4637000</v>
      </c>
      <c r="CH89" s="27">
        <v>4345000</v>
      </c>
      <c r="CI89" s="28">
        <v>4866000</v>
      </c>
    </row>
    <row r="90" spans="1:87">
      <c r="A90" s="24"/>
      <c r="B90" s="25" t="s">
        <v>257</v>
      </c>
      <c r="C90" s="26">
        <v>380</v>
      </c>
      <c r="D90" s="26">
        <v>723</v>
      </c>
      <c r="E90" s="26">
        <v>300</v>
      </c>
      <c r="F90" s="27">
        <v>3058000</v>
      </c>
      <c r="G90" s="28">
        <v>3207000</v>
      </c>
      <c r="H90" s="27">
        <v>2601000</v>
      </c>
      <c r="I90" s="28">
        <v>2750000</v>
      </c>
      <c r="J90" s="27">
        <v>3513000</v>
      </c>
      <c r="K90" s="28">
        <v>3662000</v>
      </c>
      <c r="L90" s="27">
        <v>3100000</v>
      </c>
      <c r="M90" s="28">
        <v>3249000</v>
      </c>
      <c r="N90" s="27">
        <v>4225000</v>
      </c>
      <c r="O90" s="28">
        <v>4374000</v>
      </c>
      <c r="P90" s="27">
        <v>2595000</v>
      </c>
      <c r="Q90" s="28">
        <v>2744000</v>
      </c>
      <c r="R90" s="27">
        <v>3166000</v>
      </c>
      <c r="S90" s="28">
        <v>3315000</v>
      </c>
      <c r="T90" s="29"/>
      <c r="U90" s="30"/>
      <c r="V90" s="27">
        <v>2171000</v>
      </c>
      <c r="W90" s="28">
        <v>2320000</v>
      </c>
      <c r="X90" s="27">
        <v>2087000</v>
      </c>
      <c r="Y90" s="28">
        <v>2236000</v>
      </c>
      <c r="Z90" s="27">
        <v>2283000</v>
      </c>
      <c r="AA90" s="28">
        <v>2432000</v>
      </c>
      <c r="AB90" s="27">
        <v>2328000</v>
      </c>
      <c r="AC90" s="28">
        <v>2477000</v>
      </c>
      <c r="AD90" s="27">
        <v>2349000</v>
      </c>
      <c r="AE90" s="28">
        <v>2498000</v>
      </c>
      <c r="AF90" s="27">
        <v>2428000</v>
      </c>
      <c r="AG90" s="28">
        <v>2577000</v>
      </c>
      <c r="AH90" s="27">
        <v>2428000</v>
      </c>
      <c r="AI90" s="28">
        <v>2577000</v>
      </c>
      <c r="AJ90" s="27">
        <v>2323000</v>
      </c>
      <c r="AK90" s="28">
        <v>2472000</v>
      </c>
      <c r="AL90" s="27">
        <v>2468000</v>
      </c>
      <c r="AM90" s="28">
        <v>2617000</v>
      </c>
      <c r="AN90" s="27">
        <v>2186000</v>
      </c>
      <c r="AO90" s="28">
        <v>2335000</v>
      </c>
      <c r="AP90" s="27">
        <v>2418000</v>
      </c>
      <c r="AQ90" s="28">
        <v>2567000</v>
      </c>
      <c r="AR90" s="27">
        <v>2476000</v>
      </c>
      <c r="AS90" s="28">
        <v>2625000</v>
      </c>
      <c r="AT90" s="27">
        <v>2418000</v>
      </c>
      <c r="AU90" s="28">
        <v>2567000</v>
      </c>
      <c r="AV90" s="27">
        <v>2436000</v>
      </c>
      <c r="AW90" s="28">
        <v>2585000</v>
      </c>
      <c r="AX90" s="27">
        <v>2421000</v>
      </c>
      <c r="AY90" s="28">
        <v>2570000</v>
      </c>
      <c r="AZ90" s="27">
        <v>2454000</v>
      </c>
      <c r="BA90" s="28">
        <v>2603000</v>
      </c>
      <c r="BB90" s="27">
        <v>2232000</v>
      </c>
      <c r="BC90" s="28">
        <v>2381000</v>
      </c>
      <c r="BD90" s="27">
        <v>2232000</v>
      </c>
      <c r="BE90" s="28">
        <v>2381000</v>
      </c>
      <c r="BF90" s="27">
        <v>2232000</v>
      </c>
      <c r="BG90" s="28">
        <v>2381000</v>
      </c>
      <c r="BH90" s="27">
        <v>2232000</v>
      </c>
      <c r="BI90" s="28">
        <v>2381000</v>
      </c>
      <c r="BJ90" s="27">
        <v>2228000</v>
      </c>
      <c r="BK90" s="28">
        <v>2377000</v>
      </c>
      <c r="BL90" s="27">
        <v>2253000</v>
      </c>
      <c r="BM90" s="28">
        <v>2402000</v>
      </c>
      <c r="BN90" s="27">
        <v>2253000</v>
      </c>
      <c r="BO90" s="28">
        <v>2402000</v>
      </c>
      <c r="BP90" s="27">
        <v>2248000</v>
      </c>
      <c r="BQ90" s="28">
        <v>2397000</v>
      </c>
      <c r="BR90" s="27">
        <v>2232000</v>
      </c>
      <c r="BS90" s="28">
        <v>2381000</v>
      </c>
      <c r="BT90" s="27">
        <v>2227000</v>
      </c>
      <c r="BU90" s="28">
        <v>2376000</v>
      </c>
      <c r="BV90" s="27">
        <v>2227000</v>
      </c>
      <c r="BW90" s="28">
        <v>2376000</v>
      </c>
      <c r="BX90" s="27">
        <v>2227000</v>
      </c>
      <c r="BY90" s="28">
        <v>2376000</v>
      </c>
      <c r="BZ90" s="27">
        <v>2231000</v>
      </c>
      <c r="CA90" s="28">
        <v>2380000</v>
      </c>
      <c r="CB90" s="27">
        <v>2206000</v>
      </c>
      <c r="CC90" s="28">
        <v>2355000</v>
      </c>
      <c r="CD90" s="27">
        <v>2206000</v>
      </c>
      <c r="CE90" s="28">
        <v>2355000</v>
      </c>
      <c r="CF90" s="27">
        <v>2231000</v>
      </c>
      <c r="CG90" s="28">
        <v>2380000</v>
      </c>
      <c r="CH90" s="27">
        <v>2379000</v>
      </c>
      <c r="CI90" s="28">
        <v>2528000</v>
      </c>
    </row>
    <row r="91" spans="1:87">
      <c r="A91" s="24"/>
      <c r="B91" s="25" t="s">
        <v>258</v>
      </c>
      <c r="C91" s="26">
        <v>380</v>
      </c>
      <c r="D91" s="26">
        <v>723</v>
      </c>
      <c r="E91" s="26">
        <v>450</v>
      </c>
      <c r="F91" s="27">
        <v>4008000</v>
      </c>
      <c r="G91" s="28">
        <v>4232000</v>
      </c>
      <c r="H91" s="27">
        <v>3323000</v>
      </c>
      <c r="I91" s="28">
        <v>3547000</v>
      </c>
      <c r="J91" s="27">
        <v>4690000</v>
      </c>
      <c r="K91" s="28">
        <v>4914000</v>
      </c>
      <c r="L91" s="27">
        <v>4071000</v>
      </c>
      <c r="M91" s="28">
        <v>4295000</v>
      </c>
      <c r="N91" s="27">
        <v>5758000</v>
      </c>
      <c r="O91" s="28">
        <v>5982000</v>
      </c>
      <c r="P91" s="27">
        <v>3200000</v>
      </c>
      <c r="Q91" s="28">
        <v>3424000</v>
      </c>
      <c r="R91" s="27">
        <v>4342000</v>
      </c>
      <c r="S91" s="28">
        <v>4566000</v>
      </c>
      <c r="T91" s="29"/>
      <c r="U91" s="30"/>
      <c r="V91" s="27">
        <v>2668000</v>
      </c>
      <c r="W91" s="28">
        <v>2892000</v>
      </c>
      <c r="X91" s="27">
        <v>2542000</v>
      </c>
      <c r="Y91" s="28">
        <v>2766000</v>
      </c>
      <c r="Z91" s="27">
        <v>2823000</v>
      </c>
      <c r="AA91" s="28">
        <v>3047000</v>
      </c>
      <c r="AB91" s="27">
        <v>2886000</v>
      </c>
      <c r="AC91" s="28">
        <v>3110000</v>
      </c>
      <c r="AD91" s="27">
        <v>2908000</v>
      </c>
      <c r="AE91" s="28">
        <v>3132000</v>
      </c>
      <c r="AF91" s="27">
        <v>3020000</v>
      </c>
      <c r="AG91" s="28">
        <v>3244000</v>
      </c>
      <c r="AH91" s="27">
        <v>3020000</v>
      </c>
      <c r="AI91" s="28">
        <v>3244000</v>
      </c>
      <c r="AJ91" s="27">
        <v>2881000</v>
      </c>
      <c r="AK91" s="28">
        <v>3105000</v>
      </c>
      <c r="AL91" s="27">
        <v>3097000</v>
      </c>
      <c r="AM91" s="28">
        <v>3321000</v>
      </c>
      <c r="AN91" s="27">
        <v>2679000</v>
      </c>
      <c r="AO91" s="28">
        <v>2903000</v>
      </c>
      <c r="AP91" s="27">
        <v>3019000</v>
      </c>
      <c r="AQ91" s="28">
        <v>3243000</v>
      </c>
      <c r="AR91" s="27">
        <v>3106000</v>
      </c>
      <c r="AS91" s="28">
        <v>3330000</v>
      </c>
      <c r="AT91" s="27">
        <v>3019000</v>
      </c>
      <c r="AU91" s="28">
        <v>3243000</v>
      </c>
      <c r="AV91" s="27">
        <v>3048000</v>
      </c>
      <c r="AW91" s="28">
        <v>3272000</v>
      </c>
      <c r="AX91" s="27">
        <v>3026000</v>
      </c>
      <c r="AY91" s="28">
        <v>3250000</v>
      </c>
      <c r="AZ91" s="27">
        <v>3076000</v>
      </c>
      <c r="BA91" s="28">
        <v>3300000</v>
      </c>
      <c r="BB91" s="27">
        <v>2758000</v>
      </c>
      <c r="BC91" s="28">
        <v>2982000</v>
      </c>
      <c r="BD91" s="27">
        <v>2758000</v>
      </c>
      <c r="BE91" s="28">
        <v>2982000</v>
      </c>
      <c r="BF91" s="27">
        <v>2758000</v>
      </c>
      <c r="BG91" s="28">
        <v>2982000</v>
      </c>
      <c r="BH91" s="27">
        <v>2758000</v>
      </c>
      <c r="BI91" s="28">
        <v>2982000</v>
      </c>
      <c r="BJ91" s="27">
        <v>2752000</v>
      </c>
      <c r="BK91" s="28">
        <v>2976000</v>
      </c>
      <c r="BL91" s="27">
        <v>2790000</v>
      </c>
      <c r="BM91" s="28">
        <v>3014000</v>
      </c>
      <c r="BN91" s="27">
        <v>2790000</v>
      </c>
      <c r="BO91" s="28">
        <v>3014000</v>
      </c>
      <c r="BP91" s="27">
        <v>2782000</v>
      </c>
      <c r="BQ91" s="28">
        <v>3006000</v>
      </c>
      <c r="BR91" s="27">
        <v>2758000</v>
      </c>
      <c r="BS91" s="28">
        <v>2982000</v>
      </c>
      <c r="BT91" s="27">
        <v>2751000</v>
      </c>
      <c r="BU91" s="28">
        <v>2975000</v>
      </c>
      <c r="BV91" s="27">
        <v>2751000</v>
      </c>
      <c r="BW91" s="28">
        <v>2975000</v>
      </c>
      <c r="BX91" s="27">
        <v>2751000</v>
      </c>
      <c r="BY91" s="28">
        <v>2975000</v>
      </c>
      <c r="BZ91" s="27">
        <v>2729000</v>
      </c>
      <c r="CA91" s="28">
        <v>2953000</v>
      </c>
      <c r="CB91" s="27">
        <v>2691000</v>
      </c>
      <c r="CC91" s="28">
        <v>2915000</v>
      </c>
      <c r="CD91" s="27">
        <v>2691000</v>
      </c>
      <c r="CE91" s="28">
        <v>2915000</v>
      </c>
      <c r="CF91" s="27">
        <v>2729000</v>
      </c>
      <c r="CG91" s="28">
        <v>2953000</v>
      </c>
      <c r="CH91" s="27">
        <v>2958000</v>
      </c>
      <c r="CI91" s="28">
        <v>3182000</v>
      </c>
    </row>
    <row r="92" spans="1:87">
      <c r="A92" s="24"/>
      <c r="B92" s="25" t="s">
        <v>259</v>
      </c>
      <c r="C92" s="26">
        <v>380</v>
      </c>
      <c r="D92" s="26">
        <v>723</v>
      </c>
      <c r="E92" s="26">
        <v>600</v>
      </c>
      <c r="F92" s="27">
        <v>4979000</v>
      </c>
      <c r="G92" s="28">
        <v>5277000</v>
      </c>
      <c r="H92" s="27">
        <v>4065000</v>
      </c>
      <c r="I92" s="28">
        <v>4363000</v>
      </c>
      <c r="J92" s="27">
        <v>5889000</v>
      </c>
      <c r="K92" s="28">
        <v>6187000</v>
      </c>
      <c r="L92" s="27">
        <v>5063000</v>
      </c>
      <c r="M92" s="28">
        <v>5361000</v>
      </c>
      <c r="N92" s="27">
        <v>7313000</v>
      </c>
      <c r="O92" s="28">
        <v>7611000</v>
      </c>
      <c r="P92" s="27">
        <v>3827000</v>
      </c>
      <c r="Q92" s="28">
        <v>4125000</v>
      </c>
      <c r="R92" s="27">
        <v>5540000</v>
      </c>
      <c r="S92" s="28">
        <v>5838000</v>
      </c>
      <c r="T92" s="29"/>
      <c r="U92" s="30"/>
      <c r="V92" s="27">
        <v>3186000</v>
      </c>
      <c r="W92" s="28">
        <v>3484000</v>
      </c>
      <c r="X92" s="27">
        <v>3018000</v>
      </c>
      <c r="Y92" s="28">
        <v>3316000</v>
      </c>
      <c r="Z92" s="27">
        <v>3385000</v>
      </c>
      <c r="AA92" s="28">
        <v>3683000</v>
      </c>
      <c r="AB92" s="27">
        <v>3464000</v>
      </c>
      <c r="AC92" s="28">
        <v>3762000</v>
      </c>
      <c r="AD92" s="27">
        <v>3488000</v>
      </c>
      <c r="AE92" s="28">
        <v>3786000</v>
      </c>
      <c r="AF92" s="27">
        <v>3633000</v>
      </c>
      <c r="AG92" s="28">
        <v>3931000</v>
      </c>
      <c r="AH92" s="27">
        <v>3633000</v>
      </c>
      <c r="AI92" s="28">
        <v>3931000</v>
      </c>
      <c r="AJ92" s="27">
        <v>3461000</v>
      </c>
      <c r="AK92" s="28">
        <v>3759000</v>
      </c>
      <c r="AL92" s="27">
        <v>3748000</v>
      </c>
      <c r="AM92" s="28">
        <v>4046000</v>
      </c>
      <c r="AN92" s="27">
        <v>3193000</v>
      </c>
      <c r="AO92" s="28">
        <v>3491000</v>
      </c>
      <c r="AP92" s="27">
        <v>3642000</v>
      </c>
      <c r="AQ92" s="28">
        <v>3940000</v>
      </c>
      <c r="AR92" s="27">
        <v>3757000</v>
      </c>
      <c r="AS92" s="28">
        <v>4055000</v>
      </c>
      <c r="AT92" s="27">
        <v>3642000</v>
      </c>
      <c r="AU92" s="28">
        <v>3940000</v>
      </c>
      <c r="AV92" s="27">
        <v>3682000</v>
      </c>
      <c r="AW92" s="28">
        <v>3980000</v>
      </c>
      <c r="AX92" s="27">
        <v>3652000</v>
      </c>
      <c r="AY92" s="28">
        <v>3950000</v>
      </c>
      <c r="AZ92" s="27">
        <v>3718000</v>
      </c>
      <c r="BA92" s="28">
        <v>4016000</v>
      </c>
      <c r="BB92" s="27">
        <v>3306000</v>
      </c>
      <c r="BC92" s="28">
        <v>3604000</v>
      </c>
      <c r="BD92" s="27">
        <v>3306000</v>
      </c>
      <c r="BE92" s="28">
        <v>3604000</v>
      </c>
      <c r="BF92" s="27">
        <v>3306000</v>
      </c>
      <c r="BG92" s="28">
        <v>3604000</v>
      </c>
      <c r="BH92" s="27">
        <v>3306000</v>
      </c>
      <c r="BI92" s="28">
        <v>3604000</v>
      </c>
      <c r="BJ92" s="27">
        <v>3298000</v>
      </c>
      <c r="BK92" s="28">
        <v>3596000</v>
      </c>
      <c r="BL92" s="27">
        <v>3348000</v>
      </c>
      <c r="BM92" s="28">
        <v>3646000</v>
      </c>
      <c r="BN92" s="27">
        <v>3348000</v>
      </c>
      <c r="BO92" s="28">
        <v>3646000</v>
      </c>
      <c r="BP92" s="27">
        <v>3337000</v>
      </c>
      <c r="BQ92" s="28">
        <v>3635000</v>
      </c>
      <c r="BR92" s="27">
        <v>3306000</v>
      </c>
      <c r="BS92" s="28">
        <v>3604000</v>
      </c>
      <c r="BT92" s="27">
        <v>3295000</v>
      </c>
      <c r="BU92" s="28">
        <v>3593000</v>
      </c>
      <c r="BV92" s="27">
        <v>3295000</v>
      </c>
      <c r="BW92" s="28">
        <v>3593000</v>
      </c>
      <c r="BX92" s="27">
        <v>3295000</v>
      </c>
      <c r="BY92" s="28">
        <v>3593000</v>
      </c>
      <c r="BZ92" s="27">
        <v>3248000</v>
      </c>
      <c r="CA92" s="28">
        <v>3546000</v>
      </c>
      <c r="CB92" s="27">
        <v>3197000</v>
      </c>
      <c r="CC92" s="28">
        <v>3495000</v>
      </c>
      <c r="CD92" s="27">
        <v>3197000</v>
      </c>
      <c r="CE92" s="28">
        <v>3495000</v>
      </c>
      <c r="CF92" s="27">
        <v>3248000</v>
      </c>
      <c r="CG92" s="28">
        <v>3546000</v>
      </c>
      <c r="CH92" s="27">
        <v>3558000</v>
      </c>
      <c r="CI92" s="28">
        <v>3856000</v>
      </c>
    </row>
    <row r="93" spans="1:87">
      <c r="A93" s="24"/>
      <c r="B93" s="25" t="s">
        <v>260</v>
      </c>
      <c r="C93" s="26">
        <v>380</v>
      </c>
      <c r="D93" s="26">
        <v>723</v>
      </c>
      <c r="E93" s="26">
        <v>900</v>
      </c>
      <c r="F93" s="27">
        <v>7258000</v>
      </c>
      <c r="G93" s="28">
        <v>7705000</v>
      </c>
      <c r="H93" s="27">
        <v>5888000</v>
      </c>
      <c r="I93" s="28">
        <v>6335000</v>
      </c>
      <c r="J93" s="27">
        <v>8623000</v>
      </c>
      <c r="K93" s="28">
        <v>9070000</v>
      </c>
      <c r="L93" s="27">
        <v>7384000</v>
      </c>
      <c r="M93" s="28">
        <v>7831000</v>
      </c>
      <c r="N93" s="27">
        <v>10759000</v>
      </c>
      <c r="O93" s="28">
        <v>11206000</v>
      </c>
      <c r="P93" s="27">
        <v>5749000</v>
      </c>
      <c r="Q93" s="28">
        <v>6196000</v>
      </c>
      <c r="R93" s="27">
        <v>8605000</v>
      </c>
      <c r="S93" s="28">
        <v>9052000</v>
      </c>
      <c r="T93" s="29"/>
      <c r="U93" s="30"/>
      <c r="V93" s="27">
        <v>4579000</v>
      </c>
      <c r="W93" s="28">
        <v>5026000</v>
      </c>
      <c r="X93" s="27">
        <v>4327000</v>
      </c>
      <c r="Y93" s="28">
        <v>4774000</v>
      </c>
      <c r="Z93" s="27">
        <v>4889000</v>
      </c>
      <c r="AA93" s="28">
        <v>5336000</v>
      </c>
      <c r="AB93" s="27">
        <v>5014000</v>
      </c>
      <c r="AC93" s="28">
        <v>5461000</v>
      </c>
      <c r="AD93" s="27">
        <v>5058000</v>
      </c>
      <c r="AE93" s="28">
        <v>5505000</v>
      </c>
      <c r="AF93" s="27">
        <v>5283000</v>
      </c>
      <c r="AG93" s="28">
        <v>5730000</v>
      </c>
      <c r="AH93" s="27">
        <v>5283000</v>
      </c>
      <c r="AI93" s="28">
        <v>5730000</v>
      </c>
      <c r="AJ93" s="27">
        <v>5005000</v>
      </c>
      <c r="AK93" s="28">
        <v>5452000</v>
      </c>
      <c r="AL93" s="27">
        <v>5437000</v>
      </c>
      <c r="AM93" s="28">
        <v>5884000</v>
      </c>
      <c r="AN93" s="27">
        <v>4601000</v>
      </c>
      <c r="AO93" s="28">
        <v>5048000</v>
      </c>
      <c r="AP93" s="27">
        <v>5281000</v>
      </c>
      <c r="AQ93" s="28">
        <v>5728000</v>
      </c>
      <c r="AR93" s="27">
        <v>5454000</v>
      </c>
      <c r="AS93" s="28">
        <v>5901000</v>
      </c>
      <c r="AT93" s="27">
        <v>5281000</v>
      </c>
      <c r="AU93" s="28">
        <v>5728000</v>
      </c>
      <c r="AV93" s="27">
        <v>5339000</v>
      </c>
      <c r="AW93" s="28">
        <v>5786000</v>
      </c>
      <c r="AX93" s="27">
        <v>5295000</v>
      </c>
      <c r="AY93" s="28">
        <v>5742000</v>
      </c>
      <c r="AZ93" s="27">
        <v>5394000</v>
      </c>
      <c r="BA93" s="28">
        <v>5841000</v>
      </c>
      <c r="BB93" s="27">
        <v>4759000</v>
      </c>
      <c r="BC93" s="28">
        <v>5206000</v>
      </c>
      <c r="BD93" s="27">
        <v>4759000</v>
      </c>
      <c r="BE93" s="28">
        <v>5206000</v>
      </c>
      <c r="BF93" s="27">
        <v>4759000</v>
      </c>
      <c r="BG93" s="28">
        <v>5206000</v>
      </c>
      <c r="BH93" s="27">
        <v>4759000</v>
      </c>
      <c r="BI93" s="28">
        <v>5206000</v>
      </c>
      <c r="BJ93" s="27">
        <v>4747000</v>
      </c>
      <c r="BK93" s="28">
        <v>5194000</v>
      </c>
      <c r="BL93" s="27">
        <v>4822000</v>
      </c>
      <c r="BM93" s="28">
        <v>5269000</v>
      </c>
      <c r="BN93" s="27">
        <v>4822000</v>
      </c>
      <c r="BO93" s="28">
        <v>5269000</v>
      </c>
      <c r="BP93" s="27">
        <v>4806000</v>
      </c>
      <c r="BQ93" s="28">
        <v>5253000</v>
      </c>
      <c r="BR93" s="27">
        <v>4759000</v>
      </c>
      <c r="BS93" s="28">
        <v>5206000</v>
      </c>
      <c r="BT93" s="27">
        <v>4744000</v>
      </c>
      <c r="BU93" s="28">
        <v>5191000</v>
      </c>
      <c r="BV93" s="27">
        <v>4744000</v>
      </c>
      <c r="BW93" s="28">
        <v>5191000</v>
      </c>
      <c r="BX93" s="27">
        <v>4744000</v>
      </c>
      <c r="BY93" s="28">
        <v>5191000</v>
      </c>
      <c r="BZ93" s="27">
        <v>4701000</v>
      </c>
      <c r="CA93" s="28">
        <v>5148000</v>
      </c>
      <c r="CB93" s="27">
        <v>4625000</v>
      </c>
      <c r="CC93" s="28">
        <v>5072000</v>
      </c>
      <c r="CD93" s="27">
        <v>4625000</v>
      </c>
      <c r="CE93" s="28">
        <v>5072000</v>
      </c>
      <c r="CF93" s="27">
        <v>4701000</v>
      </c>
      <c r="CG93" s="28">
        <v>5148000</v>
      </c>
      <c r="CH93" s="27">
        <v>5158000</v>
      </c>
      <c r="CI93" s="28">
        <v>5605000</v>
      </c>
    </row>
    <row r="94" spans="1:87" ht="63" customHeight="1">
      <c r="A94" s="16" t="e">
        <f ca="1">_xludf.image("https://lh3.google.com/u/0/d/15SIuX2dOtFeBigv5Egba1vQNS43oAWDh",1)</f>
        <v>#NAME?</v>
      </c>
      <c r="B94" s="17" t="s">
        <v>261</v>
      </c>
      <c r="C94" s="147"/>
      <c r="D94" s="145"/>
      <c r="E94" s="146"/>
      <c r="F94" s="63"/>
      <c r="G94" s="64"/>
      <c r="H94" s="63"/>
      <c r="I94" s="64"/>
      <c r="J94" s="63"/>
      <c r="K94" s="64"/>
      <c r="L94" s="63"/>
      <c r="M94" s="64"/>
      <c r="N94" s="63"/>
      <c r="O94" s="64"/>
      <c r="P94" s="63"/>
      <c r="Q94" s="64"/>
      <c r="R94" s="63"/>
      <c r="S94" s="64"/>
      <c r="T94" s="63"/>
      <c r="U94" s="64"/>
      <c r="V94" s="63"/>
      <c r="W94" s="64"/>
      <c r="X94" s="63"/>
      <c r="Y94" s="64"/>
      <c r="Z94" s="63"/>
      <c r="AA94" s="64"/>
      <c r="AB94" s="63"/>
      <c r="AC94" s="64"/>
      <c r="AD94" s="63"/>
      <c r="AE94" s="64"/>
      <c r="AF94" s="63"/>
      <c r="AG94" s="64"/>
      <c r="AH94" s="63"/>
      <c r="AI94" s="64"/>
      <c r="AJ94" s="63"/>
      <c r="AK94" s="64"/>
      <c r="AL94" s="63"/>
      <c r="AM94" s="64"/>
      <c r="AN94" s="63"/>
      <c r="AO94" s="64"/>
      <c r="AP94" s="63"/>
      <c r="AQ94" s="64"/>
      <c r="AR94" s="63"/>
      <c r="AS94" s="64"/>
      <c r="AT94" s="63"/>
      <c r="AU94" s="64"/>
      <c r="AV94" s="63"/>
      <c r="AW94" s="64"/>
      <c r="AX94" s="63"/>
      <c r="AY94" s="64"/>
      <c r="AZ94" s="63"/>
      <c r="BA94" s="64"/>
      <c r="BB94" s="63"/>
      <c r="BC94" s="64"/>
      <c r="BD94" s="63"/>
      <c r="BE94" s="64"/>
      <c r="BF94" s="63"/>
      <c r="BG94" s="64"/>
      <c r="BH94" s="63"/>
      <c r="BI94" s="64"/>
      <c r="BJ94" s="63"/>
      <c r="BK94" s="64"/>
      <c r="BL94" s="63"/>
      <c r="BM94" s="64"/>
      <c r="BN94" s="63"/>
      <c r="BO94" s="64"/>
      <c r="BP94" s="63"/>
      <c r="BQ94" s="64"/>
      <c r="BR94" s="63"/>
      <c r="BS94" s="64"/>
      <c r="BT94" s="63"/>
      <c r="BU94" s="64"/>
      <c r="BV94" s="63"/>
      <c r="BW94" s="64"/>
      <c r="BX94" s="63"/>
      <c r="BY94" s="64"/>
      <c r="BZ94" s="63"/>
      <c r="CA94" s="64"/>
      <c r="CB94" s="63"/>
      <c r="CC94" s="64"/>
      <c r="CD94" s="63"/>
      <c r="CE94" s="64"/>
      <c r="CF94" s="63"/>
      <c r="CG94" s="64"/>
      <c r="CH94" s="63"/>
      <c r="CI94" s="64"/>
    </row>
    <row r="95" spans="1:87" ht="12.75">
      <c r="A95" s="20"/>
      <c r="B95" s="21" t="s">
        <v>262</v>
      </c>
      <c r="C95" s="65"/>
      <c r="D95" s="65"/>
      <c r="E95" s="66"/>
      <c r="F95" s="22"/>
      <c r="G95" s="23"/>
      <c r="H95" s="22"/>
      <c r="I95" s="23"/>
      <c r="J95" s="22"/>
      <c r="K95" s="23"/>
      <c r="L95" s="22"/>
      <c r="M95" s="23"/>
      <c r="N95" s="22"/>
      <c r="O95" s="23"/>
      <c r="P95" s="22"/>
      <c r="Q95" s="23"/>
      <c r="R95" s="22"/>
      <c r="S95" s="23"/>
      <c r="T95" s="22"/>
      <c r="U95" s="23"/>
      <c r="V95" s="22"/>
      <c r="W95" s="23"/>
      <c r="X95" s="22"/>
      <c r="Y95" s="23"/>
      <c r="Z95" s="22"/>
      <c r="AA95" s="23"/>
      <c r="AB95" s="22"/>
      <c r="AC95" s="23"/>
      <c r="AD95" s="22"/>
      <c r="AE95" s="23"/>
      <c r="AF95" s="22"/>
      <c r="AG95" s="23"/>
      <c r="AH95" s="22"/>
      <c r="AI95" s="23"/>
      <c r="AJ95" s="22"/>
      <c r="AK95" s="23"/>
      <c r="AL95" s="22"/>
      <c r="AM95" s="23"/>
      <c r="AN95" s="22"/>
      <c r="AO95" s="23"/>
      <c r="AP95" s="22"/>
      <c r="AQ95" s="23"/>
      <c r="AR95" s="22"/>
      <c r="AS95" s="23"/>
      <c r="AT95" s="22"/>
      <c r="AU95" s="23"/>
      <c r="AV95" s="22"/>
      <c r="AW95" s="23"/>
      <c r="AX95" s="22"/>
      <c r="AY95" s="23"/>
      <c r="AZ95" s="22"/>
      <c r="BA95" s="23"/>
      <c r="BB95" s="22"/>
      <c r="BC95" s="23"/>
      <c r="BD95" s="22"/>
      <c r="BE95" s="23"/>
      <c r="BF95" s="22"/>
      <c r="BG95" s="23"/>
      <c r="BH95" s="22"/>
      <c r="BI95" s="23"/>
      <c r="BJ95" s="22"/>
      <c r="BK95" s="23"/>
      <c r="BL95" s="22"/>
      <c r="BM95" s="23"/>
      <c r="BN95" s="22"/>
      <c r="BO95" s="23"/>
      <c r="BP95" s="22"/>
      <c r="BQ95" s="23"/>
      <c r="BR95" s="22"/>
      <c r="BS95" s="23"/>
      <c r="BT95" s="22"/>
      <c r="BU95" s="23"/>
      <c r="BV95" s="22"/>
      <c r="BW95" s="23"/>
      <c r="BX95" s="22"/>
      <c r="BY95" s="23"/>
      <c r="BZ95" s="22"/>
      <c r="CA95" s="23"/>
      <c r="CB95" s="22"/>
      <c r="CC95" s="23"/>
      <c r="CD95" s="22"/>
      <c r="CE95" s="23"/>
      <c r="CF95" s="22"/>
      <c r="CG95" s="23"/>
      <c r="CH95" s="22"/>
      <c r="CI95" s="23"/>
    </row>
    <row r="96" spans="1:87">
      <c r="A96" s="24"/>
      <c r="B96" s="25" t="s">
        <v>263</v>
      </c>
      <c r="C96" s="26">
        <v>380</v>
      </c>
      <c r="D96" s="26">
        <v>978</v>
      </c>
      <c r="E96" s="26">
        <v>300</v>
      </c>
      <c r="F96" s="27">
        <v>3708000</v>
      </c>
      <c r="G96" s="28">
        <v>3857000</v>
      </c>
      <c r="H96" s="27">
        <v>3090000</v>
      </c>
      <c r="I96" s="28">
        <v>3239000</v>
      </c>
      <c r="J96" s="27">
        <v>4323000</v>
      </c>
      <c r="K96" s="28">
        <v>4472000</v>
      </c>
      <c r="L96" s="27">
        <v>3764000</v>
      </c>
      <c r="M96" s="28">
        <v>3913000</v>
      </c>
      <c r="N96" s="27">
        <v>5286000</v>
      </c>
      <c r="O96" s="28">
        <v>5435000</v>
      </c>
      <c r="P96" s="27">
        <v>3018000</v>
      </c>
      <c r="Q96" s="28">
        <v>3167000</v>
      </c>
      <c r="R96" s="27">
        <v>3843000</v>
      </c>
      <c r="S96" s="28">
        <v>3992000</v>
      </c>
      <c r="T96" s="29"/>
      <c r="U96" s="30"/>
      <c r="V96" s="27">
        <v>2506000</v>
      </c>
      <c r="W96" s="28">
        <v>2655000</v>
      </c>
      <c r="X96" s="27">
        <v>2392000</v>
      </c>
      <c r="Y96" s="28">
        <v>2541000</v>
      </c>
      <c r="Z96" s="27">
        <v>2653000</v>
      </c>
      <c r="AA96" s="28">
        <v>2802000</v>
      </c>
      <c r="AB96" s="27">
        <v>2713000</v>
      </c>
      <c r="AC96" s="28">
        <v>2862000</v>
      </c>
      <c r="AD96" s="27">
        <v>2738000</v>
      </c>
      <c r="AE96" s="28">
        <v>2887000</v>
      </c>
      <c r="AF96" s="27">
        <v>2844000</v>
      </c>
      <c r="AG96" s="28">
        <v>2993000</v>
      </c>
      <c r="AH96" s="27">
        <v>2844000</v>
      </c>
      <c r="AI96" s="28">
        <v>2993000</v>
      </c>
      <c r="AJ96" s="27">
        <v>2706000</v>
      </c>
      <c r="AK96" s="28">
        <v>2855000</v>
      </c>
      <c r="AL96" s="27">
        <v>2903000</v>
      </c>
      <c r="AM96" s="28">
        <v>3052000</v>
      </c>
      <c r="AN96" s="27">
        <v>2523000</v>
      </c>
      <c r="AO96" s="28">
        <v>2672000</v>
      </c>
      <c r="AP96" s="27">
        <v>2834000</v>
      </c>
      <c r="AQ96" s="28">
        <v>2983000</v>
      </c>
      <c r="AR96" s="27">
        <v>2912000</v>
      </c>
      <c r="AS96" s="28">
        <v>3061000</v>
      </c>
      <c r="AT96" s="27">
        <v>2834000</v>
      </c>
      <c r="AU96" s="28">
        <v>2983000</v>
      </c>
      <c r="AV96" s="27">
        <v>2859000</v>
      </c>
      <c r="AW96" s="28">
        <v>3008000</v>
      </c>
      <c r="AX96" s="27">
        <v>2839000</v>
      </c>
      <c r="AY96" s="28">
        <v>2988000</v>
      </c>
      <c r="AZ96" s="27">
        <v>2883000</v>
      </c>
      <c r="BA96" s="28">
        <v>3032000</v>
      </c>
      <c r="BB96" s="27">
        <v>2587000</v>
      </c>
      <c r="BC96" s="28">
        <v>2736000</v>
      </c>
      <c r="BD96" s="27">
        <v>2587000</v>
      </c>
      <c r="BE96" s="28">
        <v>2736000</v>
      </c>
      <c r="BF96" s="27">
        <v>2587000</v>
      </c>
      <c r="BG96" s="28">
        <v>2736000</v>
      </c>
      <c r="BH96" s="27">
        <v>2587000</v>
      </c>
      <c r="BI96" s="28">
        <v>2736000</v>
      </c>
      <c r="BJ96" s="27">
        <v>2582000</v>
      </c>
      <c r="BK96" s="28">
        <v>2731000</v>
      </c>
      <c r="BL96" s="27">
        <v>2616000</v>
      </c>
      <c r="BM96" s="28">
        <v>2765000</v>
      </c>
      <c r="BN96" s="27">
        <v>2616000</v>
      </c>
      <c r="BO96" s="28">
        <v>2765000</v>
      </c>
      <c r="BP96" s="27">
        <v>2609000</v>
      </c>
      <c r="BQ96" s="28">
        <v>2758000</v>
      </c>
      <c r="BR96" s="27">
        <v>2587000</v>
      </c>
      <c r="BS96" s="28">
        <v>2736000</v>
      </c>
      <c r="BT96" s="27">
        <v>2580000</v>
      </c>
      <c r="BU96" s="28">
        <v>2729000</v>
      </c>
      <c r="BV96" s="27">
        <v>2580000</v>
      </c>
      <c r="BW96" s="28">
        <v>2729000</v>
      </c>
      <c r="BX96" s="27">
        <v>2580000</v>
      </c>
      <c r="BY96" s="28">
        <v>2729000</v>
      </c>
      <c r="BZ96" s="27">
        <v>2578000</v>
      </c>
      <c r="CA96" s="28">
        <v>2727000</v>
      </c>
      <c r="CB96" s="27">
        <v>2544000</v>
      </c>
      <c r="CC96" s="28">
        <v>2693000</v>
      </c>
      <c r="CD96" s="27">
        <v>2544000</v>
      </c>
      <c r="CE96" s="28">
        <v>2693000</v>
      </c>
      <c r="CF96" s="27">
        <v>2578000</v>
      </c>
      <c r="CG96" s="28">
        <v>2727000</v>
      </c>
      <c r="CH96" s="27">
        <v>2780000</v>
      </c>
      <c r="CI96" s="28">
        <v>2929000</v>
      </c>
    </row>
    <row r="97" spans="1:87">
      <c r="A97" s="24"/>
      <c r="B97" s="25" t="s">
        <v>264</v>
      </c>
      <c r="C97" s="26">
        <v>380</v>
      </c>
      <c r="D97" s="26">
        <v>978</v>
      </c>
      <c r="E97" s="26">
        <v>450</v>
      </c>
      <c r="F97" s="27">
        <v>4848000</v>
      </c>
      <c r="G97" s="28">
        <v>5072000</v>
      </c>
      <c r="H97" s="27">
        <v>3921000</v>
      </c>
      <c r="I97" s="28">
        <v>4145000</v>
      </c>
      <c r="J97" s="27">
        <v>5771000</v>
      </c>
      <c r="K97" s="28">
        <v>5995000</v>
      </c>
      <c r="L97" s="27">
        <v>4933000</v>
      </c>
      <c r="M97" s="28">
        <v>5157000</v>
      </c>
      <c r="N97" s="27">
        <v>7216000</v>
      </c>
      <c r="O97" s="28">
        <v>7440000</v>
      </c>
      <c r="P97" s="27">
        <v>3666000</v>
      </c>
      <c r="Q97" s="28">
        <v>3890000</v>
      </c>
      <c r="R97" s="27">
        <v>5316000</v>
      </c>
      <c r="S97" s="28">
        <v>5540000</v>
      </c>
      <c r="T97" s="29"/>
      <c r="U97" s="30"/>
      <c r="V97" s="27">
        <v>3032000</v>
      </c>
      <c r="W97" s="28">
        <v>3256000</v>
      </c>
      <c r="X97" s="27">
        <v>2861000</v>
      </c>
      <c r="Y97" s="28">
        <v>3085000</v>
      </c>
      <c r="Z97" s="27">
        <v>3236000</v>
      </c>
      <c r="AA97" s="28">
        <v>3460000</v>
      </c>
      <c r="AB97" s="27">
        <v>3318000</v>
      </c>
      <c r="AC97" s="28">
        <v>3542000</v>
      </c>
      <c r="AD97" s="27">
        <v>3344000</v>
      </c>
      <c r="AE97" s="28">
        <v>3568000</v>
      </c>
      <c r="AF97" s="27">
        <v>3493000</v>
      </c>
      <c r="AG97" s="28">
        <v>3717000</v>
      </c>
      <c r="AH97" s="27">
        <v>3493000</v>
      </c>
      <c r="AI97" s="28">
        <v>3717000</v>
      </c>
      <c r="AJ97" s="27">
        <v>3314000</v>
      </c>
      <c r="AK97" s="28">
        <v>3538000</v>
      </c>
      <c r="AL97" s="27">
        <v>3605000</v>
      </c>
      <c r="AM97" s="28">
        <v>3829000</v>
      </c>
      <c r="AN97" s="27">
        <v>3041000</v>
      </c>
      <c r="AO97" s="28">
        <v>3265000</v>
      </c>
      <c r="AP97" s="27">
        <v>3498000</v>
      </c>
      <c r="AQ97" s="28">
        <v>3722000</v>
      </c>
      <c r="AR97" s="27">
        <v>3615000</v>
      </c>
      <c r="AS97" s="28">
        <v>3839000</v>
      </c>
      <c r="AT97" s="27">
        <v>3498000</v>
      </c>
      <c r="AU97" s="28">
        <v>3722000</v>
      </c>
      <c r="AV97" s="27">
        <v>3538000</v>
      </c>
      <c r="AW97" s="28">
        <v>3762000</v>
      </c>
      <c r="AX97" s="27">
        <v>3509000</v>
      </c>
      <c r="AY97" s="28">
        <v>3733000</v>
      </c>
      <c r="AZ97" s="27">
        <v>3576000</v>
      </c>
      <c r="BA97" s="28">
        <v>3800000</v>
      </c>
      <c r="BB97" s="27">
        <v>3153000</v>
      </c>
      <c r="BC97" s="28">
        <v>3377000</v>
      </c>
      <c r="BD97" s="27">
        <v>3153000</v>
      </c>
      <c r="BE97" s="28">
        <v>3377000</v>
      </c>
      <c r="BF97" s="27">
        <v>3153000</v>
      </c>
      <c r="BG97" s="28">
        <v>3377000</v>
      </c>
      <c r="BH97" s="27">
        <v>3153000</v>
      </c>
      <c r="BI97" s="28">
        <v>3377000</v>
      </c>
      <c r="BJ97" s="27">
        <v>3145000</v>
      </c>
      <c r="BK97" s="28">
        <v>3369000</v>
      </c>
      <c r="BL97" s="27">
        <v>3196000</v>
      </c>
      <c r="BM97" s="28">
        <v>3420000</v>
      </c>
      <c r="BN97" s="27">
        <v>3196000</v>
      </c>
      <c r="BO97" s="28">
        <v>3420000</v>
      </c>
      <c r="BP97" s="27">
        <v>3185000</v>
      </c>
      <c r="BQ97" s="28">
        <v>3409000</v>
      </c>
      <c r="BR97" s="27">
        <v>3153000</v>
      </c>
      <c r="BS97" s="28">
        <v>3377000</v>
      </c>
      <c r="BT97" s="27">
        <v>3143000</v>
      </c>
      <c r="BU97" s="28">
        <v>3367000</v>
      </c>
      <c r="BV97" s="27">
        <v>3143000</v>
      </c>
      <c r="BW97" s="28">
        <v>3367000</v>
      </c>
      <c r="BX97" s="27">
        <v>3143000</v>
      </c>
      <c r="BY97" s="28">
        <v>3367000</v>
      </c>
      <c r="BZ97" s="27">
        <v>3101000</v>
      </c>
      <c r="CA97" s="28">
        <v>3325000</v>
      </c>
      <c r="CB97" s="27">
        <v>3050000</v>
      </c>
      <c r="CC97" s="28">
        <v>3274000</v>
      </c>
      <c r="CD97" s="27">
        <v>3050000</v>
      </c>
      <c r="CE97" s="28">
        <v>3274000</v>
      </c>
      <c r="CF97" s="27">
        <v>3101000</v>
      </c>
      <c r="CG97" s="28">
        <v>3325000</v>
      </c>
      <c r="CH97" s="27">
        <v>3414000</v>
      </c>
      <c r="CI97" s="28">
        <v>3638000</v>
      </c>
    </row>
    <row r="98" spans="1:87">
      <c r="A98" s="24"/>
      <c r="B98" s="25" t="s">
        <v>265</v>
      </c>
      <c r="C98" s="26">
        <v>380</v>
      </c>
      <c r="D98" s="26">
        <v>978</v>
      </c>
      <c r="E98" s="26">
        <v>600</v>
      </c>
      <c r="F98" s="27">
        <v>6010000</v>
      </c>
      <c r="G98" s="28">
        <v>6307000</v>
      </c>
      <c r="H98" s="27">
        <v>4774000</v>
      </c>
      <c r="I98" s="28">
        <v>5071000</v>
      </c>
      <c r="J98" s="27">
        <v>7241000</v>
      </c>
      <c r="K98" s="28">
        <v>7538000</v>
      </c>
      <c r="L98" s="27">
        <v>6123000</v>
      </c>
      <c r="M98" s="28">
        <v>6420000</v>
      </c>
      <c r="N98" s="27">
        <v>9167000</v>
      </c>
      <c r="O98" s="28">
        <v>9464000</v>
      </c>
      <c r="P98" s="27">
        <v>4335000</v>
      </c>
      <c r="Q98" s="28">
        <v>4632000</v>
      </c>
      <c r="R98" s="27">
        <v>6810000</v>
      </c>
      <c r="S98" s="28">
        <v>7107000</v>
      </c>
      <c r="T98" s="29"/>
      <c r="U98" s="30"/>
      <c r="V98" s="27">
        <v>3579000</v>
      </c>
      <c r="W98" s="28">
        <v>3876000</v>
      </c>
      <c r="X98" s="27">
        <v>3351000</v>
      </c>
      <c r="Y98" s="28">
        <v>3648000</v>
      </c>
      <c r="Z98" s="27">
        <v>3840000</v>
      </c>
      <c r="AA98" s="28">
        <v>4137000</v>
      </c>
      <c r="AB98" s="27">
        <v>3944000</v>
      </c>
      <c r="AC98" s="28">
        <v>4241000</v>
      </c>
      <c r="AD98" s="27">
        <v>3972000</v>
      </c>
      <c r="AE98" s="28">
        <v>4269000</v>
      </c>
      <c r="AF98" s="27">
        <v>4164000</v>
      </c>
      <c r="AG98" s="28">
        <v>4461000</v>
      </c>
      <c r="AH98" s="27">
        <v>4164000</v>
      </c>
      <c r="AI98" s="28">
        <v>4461000</v>
      </c>
      <c r="AJ98" s="27">
        <v>3942000</v>
      </c>
      <c r="AK98" s="28">
        <v>4239000</v>
      </c>
      <c r="AL98" s="27">
        <v>4329000</v>
      </c>
      <c r="AM98" s="28">
        <v>4626000</v>
      </c>
      <c r="AN98" s="27">
        <v>3580000</v>
      </c>
      <c r="AO98" s="28">
        <v>3877000</v>
      </c>
      <c r="AP98" s="27">
        <v>4184000</v>
      </c>
      <c r="AQ98" s="28">
        <v>4481000</v>
      </c>
      <c r="AR98" s="27">
        <v>4340000</v>
      </c>
      <c r="AS98" s="28">
        <v>4637000</v>
      </c>
      <c r="AT98" s="27">
        <v>4184000</v>
      </c>
      <c r="AU98" s="28">
        <v>4481000</v>
      </c>
      <c r="AV98" s="27">
        <v>4239000</v>
      </c>
      <c r="AW98" s="28">
        <v>4536000</v>
      </c>
      <c r="AX98" s="27">
        <v>4199000</v>
      </c>
      <c r="AY98" s="28">
        <v>4496000</v>
      </c>
      <c r="AZ98" s="27">
        <v>4289000</v>
      </c>
      <c r="BA98" s="28">
        <v>4586000</v>
      </c>
      <c r="BB98" s="27">
        <v>3740000</v>
      </c>
      <c r="BC98" s="28">
        <v>4037000</v>
      </c>
      <c r="BD98" s="27">
        <v>3740000</v>
      </c>
      <c r="BE98" s="28">
        <v>4037000</v>
      </c>
      <c r="BF98" s="27">
        <v>3740000</v>
      </c>
      <c r="BG98" s="28">
        <v>4037000</v>
      </c>
      <c r="BH98" s="27">
        <v>3740000</v>
      </c>
      <c r="BI98" s="28">
        <v>4037000</v>
      </c>
      <c r="BJ98" s="27">
        <v>3729000</v>
      </c>
      <c r="BK98" s="28">
        <v>4026000</v>
      </c>
      <c r="BL98" s="27">
        <v>3797000</v>
      </c>
      <c r="BM98" s="28">
        <v>4094000</v>
      </c>
      <c r="BN98" s="27">
        <v>3797000</v>
      </c>
      <c r="BO98" s="28">
        <v>4094000</v>
      </c>
      <c r="BP98" s="27">
        <v>3782000</v>
      </c>
      <c r="BQ98" s="28">
        <v>4079000</v>
      </c>
      <c r="BR98" s="27">
        <v>3740000</v>
      </c>
      <c r="BS98" s="28">
        <v>4037000</v>
      </c>
      <c r="BT98" s="27">
        <v>3726000</v>
      </c>
      <c r="BU98" s="28">
        <v>4023000</v>
      </c>
      <c r="BV98" s="27">
        <v>3726000</v>
      </c>
      <c r="BW98" s="28">
        <v>4023000</v>
      </c>
      <c r="BX98" s="27">
        <v>3726000</v>
      </c>
      <c r="BY98" s="28">
        <v>4023000</v>
      </c>
      <c r="BZ98" s="27">
        <v>3645000</v>
      </c>
      <c r="CA98" s="28">
        <v>3942000</v>
      </c>
      <c r="CB98" s="27">
        <v>3577000</v>
      </c>
      <c r="CC98" s="28">
        <v>3874000</v>
      </c>
      <c r="CD98" s="27">
        <v>3577000</v>
      </c>
      <c r="CE98" s="28">
        <v>3874000</v>
      </c>
      <c r="CF98" s="27">
        <v>3645000</v>
      </c>
      <c r="CG98" s="28">
        <v>3942000</v>
      </c>
      <c r="CH98" s="27">
        <v>4068000</v>
      </c>
      <c r="CI98" s="28">
        <v>4365000</v>
      </c>
    </row>
    <row r="99" spans="1:87">
      <c r="A99" s="24"/>
      <c r="B99" s="25" t="s">
        <v>266</v>
      </c>
      <c r="C99" s="26">
        <v>380</v>
      </c>
      <c r="D99" s="26">
        <v>978</v>
      </c>
      <c r="E99" s="26">
        <v>900</v>
      </c>
      <c r="F99" s="27">
        <v>8669000</v>
      </c>
      <c r="G99" s="28">
        <v>9115000</v>
      </c>
      <c r="H99" s="27">
        <v>6815000</v>
      </c>
      <c r="I99" s="28">
        <v>7261000</v>
      </c>
      <c r="J99" s="27">
        <v>10515000</v>
      </c>
      <c r="K99" s="28">
        <v>10961000</v>
      </c>
      <c r="L99" s="27">
        <v>8839000</v>
      </c>
      <c r="M99" s="28">
        <v>9285000</v>
      </c>
      <c r="N99" s="27">
        <v>13405000</v>
      </c>
      <c r="O99" s="28">
        <v>13851000</v>
      </c>
      <c r="P99" s="27">
        <v>6458000</v>
      </c>
      <c r="Q99" s="28">
        <v>6904000</v>
      </c>
      <c r="R99" s="27">
        <v>10584000</v>
      </c>
      <c r="S99" s="28">
        <v>11030000</v>
      </c>
      <c r="T99" s="29"/>
      <c r="U99" s="30"/>
      <c r="V99" s="27">
        <v>5037000</v>
      </c>
      <c r="W99" s="28">
        <v>5483000</v>
      </c>
      <c r="X99" s="27">
        <v>4695000</v>
      </c>
      <c r="Y99" s="28">
        <v>5141000</v>
      </c>
      <c r="Z99" s="27">
        <v>5445000</v>
      </c>
      <c r="AA99" s="28">
        <v>5891000</v>
      </c>
      <c r="AB99" s="27">
        <v>5608000</v>
      </c>
      <c r="AC99" s="28">
        <v>6054000</v>
      </c>
      <c r="AD99" s="27">
        <v>5661000</v>
      </c>
      <c r="AE99" s="28">
        <v>6107000</v>
      </c>
      <c r="AF99" s="27">
        <v>5959000</v>
      </c>
      <c r="AG99" s="28">
        <v>6405000</v>
      </c>
      <c r="AH99" s="27">
        <v>5959000</v>
      </c>
      <c r="AI99" s="28">
        <v>6405000</v>
      </c>
      <c r="AJ99" s="27">
        <v>5600000</v>
      </c>
      <c r="AK99" s="28">
        <v>6046000</v>
      </c>
      <c r="AL99" s="27">
        <v>6183000</v>
      </c>
      <c r="AM99" s="28">
        <v>6629000</v>
      </c>
      <c r="AN99" s="27">
        <v>5055000</v>
      </c>
      <c r="AO99" s="28">
        <v>5501000</v>
      </c>
      <c r="AP99" s="27">
        <v>5969000</v>
      </c>
      <c r="AQ99" s="28">
        <v>6415000</v>
      </c>
      <c r="AR99" s="27">
        <v>6203000</v>
      </c>
      <c r="AS99" s="28">
        <v>6649000</v>
      </c>
      <c r="AT99" s="27">
        <v>5969000</v>
      </c>
      <c r="AU99" s="28">
        <v>6415000</v>
      </c>
      <c r="AV99" s="27">
        <v>6049000</v>
      </c>
      <c r="AW99" s="28">
        <v>6495000</v>
      </c>
      <c r="AX99" s="27">
        <v>5990000</v>
      </c>
      <c r="AY99" s="28">
        <v>6436000</v>
      </c>
      <c r="AZ99" s="27">
        <v>6124000</v>
      </c>
      <c r="BA99" s="28">
        <v>6570000</v>
      </c>
      <c r="BB99" s="27">
        <v>5279000</v>
      </c>
      <c r="BC99" s="28">
        <v>5725000</v>
      </c>
      <c r="BD99" s="27">
        <v>5279000</v>
      </c>
      <c r="BE99" s="28">
        <v>5725000</v>
      </c>
      <c r="BF99" s="27">
        <v>5279000</v>
      </c>
      <c r="BG99" s="28">
        <v>5725000</v>
      </c>
      <c r="BH99" s="27">
        <v>5279000</v>
      </c>
      <c r="BI99" s="28">
        <v>5725000</v>
      </c>
      <c r="BJ99" s="27">
        <v>5263000</v>
      </c>
      <c r="BK99" s="28">
        <v>5709000</v>
      </c>
      <c r="BL99" s="27">
        <v>5364000</v>
      </c>
      <c r="BM99" s="28">
        <v>5810000</v>
      </c>
      <c r="BN99" s="27">
        <v>5364000</v>
      </c>
      <c r="BO99" s="28">
        <v>5810000</v>
      </c>
      <c r="BP99" s="27">
        <v>5343000</v>
      </c>
      <c r="BQ99" s="28">
        <v>5789000</v>
      </c>
      <c r="BR99" s="27">
        <v>5279000</v>
      </c>
      <c r="BS99" s="28">
        <v>5725000</v>
      </c>
      <c r="BT99" s="27">
        <v>5258000</v>
      </c>
      <c r="BU99" s="28">
        <v>5704000</v>
      </c>
      <c r="BV99" s="27">
        <v>5258000</v>
      </c>
      <c r="BW99" s="28">
        <v>5704000</v>
      </c>
      <c r="BX99" s="27">
        <v>5258000</v>
      </c>
      <c r="BY99" s="28">
        <v>5704000</v>
      </c>
      <c r="BZ99" s="27">
        <v>5175000</v>
      </c>
      <c r="CA99" s="28">
        <v>5621000</v>
      </c>
      <c r="CB99" s="27">
        <v>5072000</v>
      </c>
      <c r="CC99" s="28">
        <v>5518000</v>
      </c>
      <c r="CD99" s="27">
        <v>5072000</v>
      </c>
      <c r="CE99" s="28">
        <v>5518000</v>
      </c>
      <c r="CF99" s="27">
        <v>5175000</v>
      </c>
      <c r="CG99" s="28">
        <v>5621000</v>
      </c>
      <c r="CH99" s="27">
        <v>5800000</v>
      </c>
      <c r="CI99" s="28">
        <v>6246000</v>
      </c>
    </row>
    <row r="100" spans="1:87">
      <c r="A100" s="24"/>
      <c r="B100" s="25" t="s">
        <v>267</v>
      </c>
      <c r="C100" s="26">
        <v>650</v>
      </c>
      <c r="D100" s="26">
        <v>978</v>
      </c>
      <c r="E100" s="26">
        <v>650</v>
      </c>
      <c r="F100" s="27">
        <v>8107000</v>
      </c>
      <c r="G100" s="28">
        <v>8430000</v>
      </c>
      <c r="H100" s="27">
        <v>6871000</v>
      </c>
      <c r="I100" s="28">
        <v>7194000</v>
      </c>
      <c r="J100" s="27">
        <v>9338000</v>
      </c>
      <c r="K100" s="28">
        <v>9661000</v>
      </c>
      <c r="L100" s="27">
        <v>8220000</v>
      </c>
      <c r="M100" s="28">
        <v>8543000</v>
      </c>
      <c r="N100" s="27">
        <v>11264000</v>
      </c>
      <c r="O100" s="28">
        <v>11587000</v>
      </c>
      <c r="P100" s="27">
        <v>6316000</v>
      </c>
      <c r="Q100" s="28">
        <v>6639000</v>
      </c>
      <c r="R100" s="27">
        <v>6977000</v>
      </c>
      <c r="S100" s="28">
        <v>7300000</v>
      </c>
      <c r="T100" s="29"/>
      <c r="U100" s="30"/>
      <c r="V100" s="27">
        <v>5703000</v>
      </c>
      <c r="W100" s="28">
        <v>6026000</v>
      </c>
      <c r="X100" s="27">
        <v>5475000</v>
      </c>
      <c r="Y100" s="28">
        <v>5798000</v>
      </c>
      <c r="Z100" s="27">
        <v>5998000</v>
      </c>
      <c r="AA100" s="28">
        <v>6321000</v>
      </c>
      <c r="AB100" s="27">
        <v>6117000</v>
      </c>
      <c r="AC100" s="28">
        <v>6440000</v>
      </c>
      <c r="AD100" s="27">
        <v>6167000</v>
      </c>
      <c r="AE100" s="28">
        <v>6490000</v>
      </c>
      <c r="AF100" s="27">
        <v>6379000</v>
      </c>
      <c r="AG100" s="28">
        <v>6702000</v>
      </c>
      <c r="AH100" s="27">
        <v>6379000</v>
      </c>
      <c r="AI100" s="28">
        <v>6702000</v>
      </c>
      <c r="AJ100" s="27">
        <v>6104000</v>
      </c>
      <c r="AK100" s="28">
        <v>6427000</v>
      </c>
      <c r="AL100" s="27">
        <v>6497000</v>
      </c>
      <c r="AM100" s="28">
        <v>6820000</v>
      </c>
      <c r="AN100" s="27">
        <v>5737000</v>
      </c>
      <c r="AO100" s="28">
        <v>6060000</v>
      </c>
      <c r="AP100" s="27">
        <v>6359000</v>
      </c>
      <c r="AQ100" s="28">
        <v>6682000</v>
      </c>
      <c r="AR100" s="27">
        <v>6516000</v>
      </c>
      <c r="AS100" s="28">
        <v>6839000</v>
      </c>
      <c r="AT100" s="27">
        <v>6359000</v>
      </c>
      <c r="AU100" s="28">
        <v>6682000</v>
      </c>
      <c r="AV100" s="27">
        <v>6409000</v>
      </c>
      <c r="AW100" s="28">
        <v>6732000</v>
      </c>
      <c r="AX100" s="27">
        <v>6369000</v>
      </c>
      <c r="AY100" s="28">
        <v>6692000</v>
      </c>
      <c r="AZ100" s="27">
        <v>6458000</v>
      </c>
      <c r="BA100" s="28">
        <v>6781000</v>
      </c>
      <c r="BB100" s="27">
        <v>5866000</v>
      </c>
      <c r="BC100" s="28">
        <v>6189000</v>
      </c>
      <c r="BD100" s="27">
        <v>5866000</v>
      </c>
      <c r="BE100" s="28">
        <v>6189000</v>
      </c>
      <c r="BF100" s="27">
        <v>5866000</v>
      </c>
      <c r="BG100" s="28">
        <v>6189000</v>
      </c>
      <c r="BH100" s="27">
        <v>5866000</v>
      </c>
      <c r="BI100" s="28">
        <v>6189000</v>
      </c>
      <c r="BJ100" s="27">
        <v>5856000</v>
      </c>
      <c r="BK100" s="28">
        <v>6179000</v>
      </c>
      <c r="BL100" s="27">
        <v>5923000</v>
      </c>
      <c r="BM100" s="28">
        <v>6246000</v>
      </c>
      <c r="BN100" s="27">
        <v>5923000</v>
      </c>
      <c r="BO100" s="28">
        <v>6246000</v>
      </c>
      <c r="BP100" s="27">
        <v>5909000</v>
      </c>
      <c r="BQ100" s="28">
        <v>6232000</v>
      </c>
      <c r="BR100" s="27">
        <v>5866000</v>
      </c>
      <c r="BS100" s="28">
        <v>6189000</v>
      </c>
      <c r="BT100" s="27">
        <v>5852000</v>
      </c>
      <c r="BU100" s="28">
        <v>6175000</v>
      </c>
      <c r="BV100" s="27">
        <v>5852000</v>
      </c>
      <c r="BW100" s="28">
        <v>6175000</v>
      </c>
      <c r="BX100" s="27">
        <v>5852000</v>
      </c>
      <c r="BY100" s="28">
        <v>6175000</v>
      </c>
      <c r="BZ100" s="27">
        <v>5848000</v>
      </c>
      <c r="CA100" s="28">
        <v>6171000</v>
      </c>
      <c r="CB100" s="27">
        <v>5780000</v>
      </c>
      <c r="CC100" s="28">
        <v>6103000</v>
      </c>
      <c r="CD100" s="27">
        <v>5780000</v>
      </c>
      <c r="CE100" s="28">
        <v>6103000</v>
      </c>
      <c r="CF100" s="27">
        <v>5848000</v>
      </c>
      <c r="CG100" s="28">
        <v>6171000</v>
      </c>
      <c r="CH100" s="27">
        <v>6251000</v>
      </c>
      <c r="CI100" s="28">
        <v>6574000</v>
      </c>
    </row>
    <row r="101" spans="1:87">
      <c r="A101" s="24"/>
      <c r="B101" s="25" t="s">
        <v>268</v>
      </c>
      <c r="C101" s="26">
        <v>380</v>
      </c>
      <c r="D101" s="26">
        <v>978</v>
      </c>
      <c r="E101" s="26">
        <v>1050</v>
      </c>
      <c r="F101" s="27">
        <v>7032000</v>
      </c>
      <c r="G101" s="28">
        <v>7553000</v>
      </c>
      <c r="H101" s="27">
        <v>6105000</v>
      </c>
      <c r="I101" s="28">
        <v>6626000</v>
      </c>
      <c r="J101" s="27">
        <v>7955000</v>
      </c>
      <c r="K101" s="28">
        <v>8476000</v>
      </c>
      <c r="L101" s="27">
        <v>7117000</v>
      </c>
      <c r="M101" s="28">
        <v>7638000</v>
      </c>
      <c r="N101" s="27">
        <v>9400000</v>
      </c>
      <c r="O101" s="28">
        <v>9921000</v>
      </c>
      <c r="P101" s="27">
        <v>5850000</v>
      </c>
      <c r="Q101" s="28">
        <v>6371000</v>
      </c>
      <c r="R101" s="27">
        <v>7500000</v>
      </c>
      <c r="S101" s="28">
        <v>8021000</v>
      </c>
      <c r="T101" s="29"/>
      <c r="U101" s="30"/>
      <c r="V101" s="27">
        <v>5216000</v>
      </c>
      <c r="W101" s="28">
        <v>5737000</v>
      </c>
      <c r="X101" s="27">
        <v>5045000</v>
      </c>
      <c r="Y101" s="28">
        <v>5566000</v>
      </c>
      <c r="Z101" s="27">
        <v>5420000</v>
      </c>
      <c r="AA101" s="28">
        <v>5941000</v>
      </c>
      <c r="AB101" s="27">
        <v>5502000</v>
      </c>
      <c r="AC101" s="28">
        <v>6023000</v>
      </c>
      <c r="AD101" s="27">
        <v>5528000</v>
      </c>
      <c r="AE101" s="28">
        <v>6049000</v>
      </c>
      <c r="AF101" s="27">
        <v>5677000</v>
      </c>
      <c r="AG101" s="28">
        <v>6198000</v>
      </c>
      <c r="AH101" s="27">
        <v>5677000</v>
      </c>
      <c r="AI101" s="28">
        <v>6198000</v>
      </c>
      <c r="AJ101" s="27">
        <v>5498000</v>
      </c>
      <c r="AK101" s="28">
        <v>6019000</v>
      </c>
      <c r="AL101" s="27">
        <v>5789000</v>
      </c>
      <c r="AM101" s="28">
        <v>6310000</v>
      </c>
      <c r="AN101" s="27">
        <v>5225000</v>
      </c>
      <c r="AO101" s="28">
        <v>5746000</v>
      </c>
      <c r="AP101" s="27">
        <v>5682000</v>
      </c>
      <c r="AQ101" s="28">
        <v>6203000</v>
      </c>
      <c r="AR101" s="27">
        <v>5799000</v>
      </c>
      <c r="AS101" s="28">
        <v>6320000</v>
      </c>
      <c r="AT101" s="27">
        <v>5682000</v>
      </c>
      <c r="AU101" s="28">
        <v>6203000</v>
      </c>
      <c r="AV101" s="27">
        <v>5722000</v>
      </c>
      <c r="AW101" s="28">
        <v>6243000</v>
      </c>
      <c r="AX101" s="27">
        <v>5693000</v>
      </c>
      <c r="AY101" s="28">
        <v>6214000</v>
      </c>
      <c r="AZ101" s="27">
        <v>5760000</v>
      </c>
      <c r="BA101" s="28">
        <v>6281000</v>
      </c>
      <c r="BB101" s="27">
        <v>5337000</v>
      </c>
      <c r="BC101" s="28">
        <v>5858000</v>
      </c>
      <c r="BD101" s="27">
        <v>5337000</v>
      </c>
      <c r="BE101" s="28">
        <v>5858000</v>
      </c>
      <c r="BF101" s="27">
        <v>5337000</v>
      </c>
      <c r="BG101" s="28">
        <v>5858000</v>
      </c>
      <c r="BH101" s="27">
        <v>5337000</v>
      </c>
      <c r="BI101" s="28">
        <v>5858000</v>
      </c>
      <c r="BJ101" s="27">
        <v>5329000</v>
      </c>
      <c r="BK101" s="28">
        <v>5850000</v>
      </c>
      <c r="BL101" s="27">
        <v>5380000</v>
      </c>
      <c r="BM101" s="28">
        <v>5901000</v>
      </c>
      <c r="BN101" s="27">
        <v>5380000</v>
      </c>
      <c r="BO101" s="28">
        <v>5901000</v>
      </c>
      <c r="BP101" s="27">
        <v>5369000</v>
      </c>
      <c r="BQ101" s="28">
        <v>5890000</v>
      </c>
      <c r="BR101" s="27">
        <v>5337000</v>
      </c>
      <c r="BS101" s="28">
        <v>5858000</v>
      </c>
      <c r="BT101" s="27">
        <v>5327000</v>
      </c>
      <c r="BU101" s="28">
        <v>5848000</v>
      </c>
      <c r="BV101" s="27">
        <v>5327000</v>
      </c>
      <c r="BW101" s="28">
        <v>5848000</v>
      </c>
      <c r="BX101" s="27">
        <v>5327000</v>
      </c>
      <c r="BY101" s="28">
        <v>5848000</v>
      </c>
      <c r="BZ101" s="27">
        <v>5285000</v>
      </c>
      <c r="CA101" s="28">
        <v>5806000</v>
      </c>
      <c r="CB101" s="27">
        <v>5234000</v>
      </c>
      <c r="CC101" s="28">
        <v>5755000</v>
      </c>
      <c r="CD101" s="27">
        <v>5234000</v>
      </c>
      <c r="CE101" s="28">
        <v>5755000</v>
      </c>
      <c r="CF101" s="27">
        <v>5285000</v>
      </c>
      <c r="CG101" s="28">
        <v>5806000</v>
      </c>
      <c r="CH101" s="27">
        <v>5598000</v>
      </c>
      <c r="CI101" s="28">
        <v>6119000</v>
      </c>
    </row>
    <row r="102" spans="1:87">
      <c r="A102" s="24"/>
      <c r="B102" s="25" t="s">
        <v>269</v>
      </c>
      <c r="C102" s="26">
        <v>380</v>
      </c>
      <c r="D102" s="26">
        <v>978</v>
      </c>
      <c r="E102" s="26">
        <v>300</v>
      </c>
      <c r="F102" s="27">
        <v>4103000</v>
      </c>
      <c r="G102" s="28">
        <v>4252000</v>
      </c>
      <c r="H102" s="27">
        <v>3485000</v>
      </c>
      <c r="I102" s="28">
        <v>3634000</v>
      </c>
      <c r="J102" s="27">
        <v>4718000</v>
      </c>
      <c r="K102" s="28">
        <v>4867000</v>
      </c>
      <c r="L102" s="27">
        <v>4159000</v>
      </c>
      <c r="M102" s="28">
        <v>4308000</v>
      </c>
      <c r="N102" s="27">
        <v>5681000</v>
      </c>
      <c r="O102" s="28">
        <v>5830000</v>
      </c>
      <c r="P102" s="27">
        <v>3413000</v>
      </c>
      <c r="Q102" s="28">
        <v>3562000</v>
      </c>
      <c r="R102" s="27">
        <v>4238000</v>
      </c>
      <c r="S102" s="28">
        <v>4387000</v>
      </c>
      <c r="T102" s="29"/>
      <c r="U102" s="30"/>
      <c r="V102" s="27">
        <v>2901000</v>
      </c>
      <c r="W102" s="28">
        <v>3050000</v>
      </c>
      <c r="X102" s="27">
        <v>2787000</v>
      </c>
      <c r="Y102" s="28">
        <v>2936000</v>
      </c>
      <c r="Z102" s="27">
        <v>3048000</v>
      </c>
      <c r="AA102" s="28">
        <v>3197000</v>
      </c>
      <c r="AB102" s="27">
        <v>3108000</v>
      </c>
      <c r="AC102" s="28">
        <v>3257000</v>
      </c>
      <c r="AD102" s="27">
        <v>3133000</v>
      </c>
      <c r="AE102" s="28">
        <v>3282000</v>
      </c>
      <c r="AF102" s="27">
        <v>3239000</v>
      </c>
      <c r="AG102" s="28">
        <v>3388000</v>
      </c>
      <c r="AH102" s="27">
        <v>3239000</v>
      </c>
      <c r="AI102" s="28">
        <v>3388000</v>
      </c>
      <c r="AJ102" s="27">
        <v>3101000</v>
      </c>
      <c r="AK102" s="28">
        <v>3250000</v>
      </c>
      <c r="AL102" s="27">
        <v>3298000</v>
      </c>
      <c r="AM102" s="28">
        <v>3447000</v>
      </c>
      <c r="AN102" s="27">
        <v>2918000</v>
      </c>
      <c r="AO102" s="28">
        <v>3067000</v>
      </c>
      <c r="AP102" s="27">
        <v>3229000</v>
      </c>
      <c r="AQ102" s="28">
        <v>3378000</v>
      </c>
      <c r="AR102" s="27">
        <v>3307000</v>
      </c>
      <c r="AS102" s="28">
        <v>3456000</v>
      </c>
      <c r="AT102" s="27">
        <v>3229000</v>
      </c>
      <c r="AU102" s="28">
        <v>3378000</v>
      </c>
      <c r="AV102" s="27">
        <v>3254000</v>
      </c>
      <c r="AW102" s="28">
        <v>3403000</v>
      </c>
      <c r="AX102" s="27">
        <v>3234000</v>
      </c>
      <c r="AY102" s="28">
        <v>3383000</v>
      </c>
      <c r="AZ102" s="27">
        <v>3278000</v>
      </c>
      <c r="BA102" s="28">
        <v>3427000</v>
      </c>
      <c r="BB102" s="27">
        <v>2982000</v>
      </c>
      <c r="BC102" s="28">
        <v>3131000</v>
      </c>
      <c r="BD102" s="27">
        <v>2982000</v>
      </c>
      <c r="BE102" s="28">
        <v>3131000</v>
      </c>
      <c r="BF102" s="27">
        <v>2982000</v>
      </c>
      <c r="BG102" s="28">
        <v>3131000</v>
      </c>
      <c r="BH102" s="27">
        <v>2982000</v>
      </c>
      <c r="BI102" s="28">
        <v>3131000</v>
      </c>
      <c r="BJ102" s="27">
        <v>2977000</v>
      </c>
      <c r="BK102" s="28">
        <v>3126000</v>
      </c>
      <c r="BL102" s="27">
        <v>3011000</v>
      </c>
      <c r="BM102" s="28">
        <v>3160000</v>
      </c>
      <c r="BN102" s="27">
        <v>3011000</v>
      </c>
      <c r="BO102" s="28">
        <v>3160000</v>
      </c>
      <c r="BP102" s="27">
        <v>3004000</v>
      </c>
      <c r="BQ102" s="28">
        <v>3153000</v>
      </c>
      <c r="BR102" s="27">
        <v>2982000</v>
      </c>
      <c r="BS102" s="28">
        <v>3131000</v>
      </c>
      <c r="BT102" s="27">
        <v>2975000</v>
      </c>
      <c r="BU102" s="28">
        <v>3124000</v>
      </c>
      <c r="BV102" s="27">
        <v>2975000</v>
      </c>
      <c r="BW102" s="28">
        <v>3124000</v>
      </c>
      <c r="BX102" s="27">
        <v>2975000</v>
      </c>
      <c r="BY102" s="28">
        <v>3124000</v>
      </c>
      <c r="BZ102" s="27">
        <v>2973000</v>
      </c>
      <c r="CA102" s="28">
        <v>3122000</v>
      </c>
      <c r="CB102" s="27">
        <v>2939000</v>
      </c>
      <c r="CC102" s="28">
        <v>3088000</v>
      </c>
      <c r="CD102" s="27">
        <v>2939000</v>
      </c>
      <c r="CE102" s="28">
        <v>3088000</v>
      </c>
      <c r="CF102" s="27">
        <v>2973000</v>
      </c>
      <c r="CG102" s="28">
        <v>3122000</v>
      </c>
      <c r="CH102" s="27">
        <v>3175000</v>
      </c>
      <c r="CI102" s="28">
        <v>3324000</v>
      </c>
    </row>
    <row r="103" spans="1:87">
      <c r="A103" s="24"/>
      <c r="B103" s="25" t="s">
        <v>270</v>
      </c>
      <c r="C103" s="26">
        <v>380</v>
      </c>
      <c r="D103" s="26">
        <v>978</v>
      </c>
      <c r="E103" s="26">
        <v>450</v>
      </c>
      <c r="F103" s="27">
        <v>5451000</v>
      </c>
      <c r="G103" s="28">
        <v>5674000</v>
      </c>
      <c r="H103" s="27">
        <v>4524000</v>
      </c>
      <c r="I103" s="28">
        <v>4747000</v>
      </c>
      <c r="J103" s="27">
        <v>6374000</v>
      </c>
      <c r="K103" s="28">
        <v>6597000</v>
      </c>
      <c r="L103" s="27">
        <v>5536000</v>
      </c>
      <c r="M103" s="28">
        <v>5759000</v>
      </c>
      <c r="N103" s="27">
        <v>7819000</v>
      </c>
      <c r="O103" s="28">
        <v>8042000</v>
      </c>
      <c r="P103" s="27">
        <v>4269000</v>
      </c>
      <c r="Q103" s="28">
        <v>4492000</v>
      </c>
      <c r="R103" s="27">
        <v>5919000</v>
      </c>
      <c r="S103" s="28">
        <v>6142000</v>
      </c>
      <c r="T103" s="29"/>
      <c r="U103" s="30"/>
      <c r="V103" s="27">
        <v>3635000</v>
      </c>
      <c r="W103" s="28">
        <v>3858000</v>
      </c>
      <c r="X103" s="27">
        <v>3464000</v>
      </c>
      <c r="Y103" s="28">
        <v>3687000</v>
      </c>
      <c r="Z103" s="27">
        <v>3839000</v>
      </c>
      <c r="AA103" s="28">
        <v>4062000</v>
      </c>
      <c r="AB103" s="27">
        <v>3921000</v>
      </c>
      <c r="AC103" s="28">
        <v>4144000</v>
      </c>
      <c r="AD103" s="27">
        <v>3947000</v>
      </c>
      <c r="AE103" s="28">
        <v>4170000</v>
      </c>
      <c r="AF103" s="27">
        <v>4096000</v>
      </c>
      <c r="AG103" s="28">
        <v>4319000</v>
      </c>
      <c r="AH103" s="27">
        <v>4096000</v>
      </c>
      <c r="AI103" s="28">
        <v>4319000</v>
      </c>
      <c r="AJ103" s="27">
        <v>3917000</v>
      </c>
      <c r="AK103" s="28">
        <v>4140000</v>
      </c>
      <c r="AL103" s="27">
        <v>4208000</v>
      </c>
      <c r="AM103" s="28">
        <v>4431000</v>
      </c>
      <c r="AN103" s="27">
        <v>3644000</v>
      </c>
      <c r="AO103" s="28">
        <v>3867000</v>
      </c>
      <c r="AP103" s="27">
        <v>4101000</v>
      </c>
      <c r="AQ103" s="28">
        <v>4324000</v>
      </c>
      <c r="AR103" s="27">
        <v>4218000</v>
      </c>
      <c r="AS103" s="28">
        <v>4441000</v>
      </c>
      <c r="AT103" s="27">
        <v>4101000</v>
      </c>
      <c r="AU103" s="28">
        <v>4324000</v>
      </c>
      <c r="AV103" s="27">
        <v>4141000</v>
      </c>
      <c r="AW103" s="28">
        <v>4364000</v>
      </c>
      <c r="AX103" s="27">
        <v>4112000</v>
      </c>
      <c r="AY103" s="28">
        <v>4335000</v>
      </c>
      <c r="AZ103" s="27">
        <v>4179000</v>
      </c>
      <c r="BA103" s="28">
        <v>4402000</v>
      </c>
      <c r="BB103" s="27">
        <v>3756000</v>
      </c>
      <c r="BC103" s="28">
        <v>3979000</v>
      </c>
      <c r="BD103" s="27">
        <v>3756000</v>
      </c>
      <c r="BE103" s="28">
        <v>3979000</v>
      </c>
      <c r="BF103" s="27">
        <v>3756000</v>
      </c>
      <c r="BG103" s="28">
        <v>3979000</v>
      </c>
      <c r="BH103" s="27">
        <v>3756000</v>
      </c>
      <c r="BI103" s="28">
        <v>3979000</v>
      </c>
      <c r="BJ103" s="27">
        <v>3748000</v>
      </c>
      <c r="BK103" s="28">
        <v>3971000</v>
      </c>
      <c r="BL103" s="27">
        <v>3799000</v>
      </c>
      <c r="BM103" s="28">
        <v>4022000</v>
      </c>
      <c r="BN103" s="27">
        <v>3799000</v>
      </c>
      <c r="BO103" s="28">
        <v>4022000</v>
      </c>
      <c r="BP103" s="27">
        <v>3788000</v>
      </c>
      <c r="BQ103" s="28">
        <v>4011000</v>
      </c>
      <c r="BR103" s="27">
        <v>3756000</v>
      </c>
      <c r="BS103" s="28">
        <v>3979000</v>
      </c>
      <c r="BT103" s="27">
        <v>3746000</v>
      </c>
      <c r="BU103" s="28">
        <v>3969000</v>
      </c>
      <c r="BV103" s="27">
        <v>3746000</v>
      </c>
      <c r="BW103" s="28">
        <v>3969000</v>
      </c>
      <c r="BX103" s="27">
        <v>3746000</v>
      </c>
      <c r="BY103" s="28">
        <v>3969000</v>
      </c>
      <c r="BZ103" s="27">
        <v>3704000</v>
      </c>
      <c r="CA103" s="28">
        <v>3927000</v>
      </c>
      <c r="CB103" s="27">
        <v>3653000</v>
      </c>
      <c r="CC103" s="28">
        <v>3876000</v>
      </c>
      <c r="CD103" s="27">
        <v>3653000</v>
      </c>
      <c r="CE103" s="28">
        <v>3876000</v>
      </c>
      <c r="CF103" s="27">
        <v>3704000</v>
      </c>
      <c r="CG103" s="28">
        <v>3927000</v>
      </c>
      <c r="CH103" s="27">
        <v>4017000</v>
      </c>
      <c r="CI103" s="28">
        <v>4240000</v>
      </c>
    </row>
    <row r="104" spans="1:87">
      <c r="A104" s="24"/>
      <c r="B104" s="25" t="s">
        <v>271</v>
      </c>
      <c r="C104" s="26">
        <v>380</v>
      </c>
      <c r="D104" s="26">
        <v>978</v>
      </c>
      <c r="E104" s="26">
        <v>600</v>
      </c>
      <c r="F104" s="27">
        <v>6820000</v>
      </c>
      <c r="G104" s="28">
        <v>7118000</v>
      </c>
      <c r="H104" s="27">
        <v>5584000</v>
      </c>
      <c r="I104" s="28">
        <v>5882000</v>
      </c>
      <c r="J104" s="27">
        <v>8051000</v>
      </c>
      <c r="K104" s="28">
        <v>8349000</v>
      </c>
      <c r="L104" s="27">
        <v>6933000</v>
      </c>
      <c r="M104" s="28">
        <v>7231000</v>
      </c>
      <c r="N104" s="27">
        <v>9977000</v>
      </c>
      <c r="O104" s="28">
        <v>10275000</v>
      </c>
      <c r="P104" s="27">
        <v>5145000</v>
      </c>
      <c r="Q104" s="28">
        <v>5443000</v>
      </c>
      <c r="R104" s="27">
        <v>7620000</v>
      </c>
      <c r="S104" s="28">
        <v>7918000</v>
      </c>
      <c r="T104" s="29"/>
      <c r="U104" s="30"/>
      <c r="V104" s="27">
        <v>4389000</v>
      </c>
      <c r="W104" s="28">
        <v>4687000</v>
      </c>
      <c r="X104" s="27">
        <v>4161000</v>
      </c>
      <c r="Y104" s="28">
        <v>4459000</v>
      </c>
      <c r="Z104" s="27">
        <v>4650000</v>
      </c>
      <c r="AA104" s="28">
        <v>4948000</v>
      </c>
      <c r="AB104" s="27">
        <v>4754000</v>
      </c>
      <c r="AC104" s="28">
        <v>5052000</v>
      </c>
      <c r="AD104" s="27">
        <v>4782000</v>
      </c>
      <c r="AE104" s="28">
        <v>5080000</v>
      </c>
      <c r="AF104" s="27">
        <v>4974000</v>
      </c>
      <c r="AG104" s="28">
        <v>5272000</v>
      </c>
      <c r="AH104" s="27">
        <v>4974000</v>
      </c>
      <c r="AI104" s="28">
        <v>5272000</v>
      </c>
      <c r="AJ104" s="27">
        <v>4752000</v>
      </c>
      <c r="AK104" s="28">
        <v>5050000</v>
      </c>
      <c r="AL104" s="27">
        <v>5139000</v>
      </c>
      <c r="AM104" s="28">
        <v>5437000</v>
      </c>
      <c r="AN104" s="27">
        <v>4390000</v>
      </c>
      <c r="AO104" s="28">
        <v>4688000</v>
      </c>
      <c r="AP104" s="27">
        <v>4994000</v>
      </c>
      <c r="AQ104" s="28">
        <v>5292000</v>
      </c>
      <c r="AR104" s="27">
        <v>5150000</v>
      </c>
      <c r="AS104" s="28">
        <v>5448000</v>
      </c>
      <c r="AT104" s="27">
        <v>4994000</v>
      </c>
      <c r="AU104" s="28">
        <v>5292000</v>
      </c>
      <c r="AV104" s="27">
        <v>5049000</v>
      </c>
      <c r="AW104" s="28">
        <v>5347000</v>
      </c>
      <c r="AX104" s="27">
        <v>5009000</v>
      </c>
      <c r="AY104" s="28">
        <v>5307000</v>
      </c>
      <c r="AZ104" s="27">
        <v>5099000</v>
      </c>
      <c r="BA104" s="28">
        <v>5397000</v>
      </c>
      <c r="BB104" s="27">
        <v>4550000</v>
      </c>
      <c r="BC104" s="28">
        <v>4848000</v>
      </c>
      <c r="BD104" s="27">
        <v>4550000</v>
      </c>
      <c r="BE104" s="28">
        <v>4848000</v>
      </c>
      <c r="BF104" s="27">
        <v>4550000</v>
      </c>
      <c r="BG104" s="28">
        <v>4848000</v>
      </c>
      <c r="BH104" s="27">
        <v>4550000</v>
      </c>
      <c r="BI104" s="28">
        <v>4848000</v>
      </c>
      <c r="BJ104" s="27">
        <v>4539000</v>
      </c>
      <c r="BK104" s="28">
        <v>4837000</v>
      </c>
      <c r="BL104" s="27">
        <v>4607000</v>
      </c>
      <c r="BM104" s="28">
        <v>4905000</v>
      </c>
      <c r="BN104" s="27">
        <v>4607000</v>
      </c>
      <c r="BO104" s="28">
        <v>4905000</v>
      </c>
      <c r="BP104" s="27">
        <v>4592000</v>
      </c>
      <c r="BQ104" s="28">
        <v>4890000</v>
      </c>
      <c r="BR104" s="27">
        <v>4550000</v>
      </c>
      <c r="BS104" s="28">
        <v>4848000</v>
      </c>
      <c r="BT104" s="27">
        <v>4536000</v>
      </c>
      <c r="BU104" s="28">
        <v>4834000</v>
      </c>
      <c r="BV104" s="27">
        <v>4536000</v>
      </c>
      <c r="BW104" s="28">
        <v>4834000</v>
      </c>
      <c r="BX104" s="27">
        <v>4536000</v>
      </c>
      <c r="BY104" s="28">
        <v>4834000</v>
      </c>
      <c r="BZ104" s="27">
        <v>4455000</v>
      </c>
      <c r="CA104" s="28">
        <v>4753000</v>
      </c>
      <c r="CB104" s="27">
        <v>4387000</v>
      </c>
      <c r="CC104" s="28">
        <v>4685000</v>
      </c>
      <c r="CD104" s="27">
        <v>4387000</v>
      </c>
      <c r="CE104" s="28">
        <v>4685000</v>
      </c>
      <c r="CF104" s="27">
        <v>4455000</v>
      </c>
      <c r="CG104" s="28">
        <v>4753000</v>
      </c>
      <c r="CH104" s="27">
        <v>4878000</v>
      </c>
      <c r="CI104" s="28">
        <v>5176000</v>
      </c>
    </row>
    <row r="105" spans="1:87">
      <c r="A105" s="24"/>
      <c r="B105" s="25" t="s">
        <v>272</v>
      </c>
      <c r="C105" s="26">
        <v>380</v>
      </c>
      <c r="D105" s="26">
        <v>978</v>
      </c>
      <c r="E105" s="26">
        <v>900</v>
      </c>
      <c r="F105" s="27">
        <v>9895000</v>
      </c>
      <c r="G105" s="28">
        <v>10341000</v>
      </c>
      <c r="H105" s="27">
        <v>8041000</v>
      </c>
      <c r="I105" s="28">
        <v>8487000</v>
      </c>
      <c r="J105" s="27">
        <v>11741000</v>
      </c>
      <c r="K105" s="28">
        <v>12187000</v>
      </c>
      <c r="L105" s="27">
        <v>10065000</v>
      </c>
      <c r="M105" s="28">
        <v>10511000</v>
      </c>
      <c r="N105" s="27">
        <v>14631000</v>
      </c>
      <c r="O105" s="28">
        <v>15077000</v>
      </c>
      <c r="P105" s="27">
        <v>7684000</v>
      </c>
      <c r="Q105" s="28">
        <v>8130000</v>
      </c>
      <c r="R105" s="27">
        <v>11810000</v>
      </c>
      <c r="S105" s="28">
        <v>12256000</v>
      </c>
      <c r="T105" s="29"/>
      <c r="U105" s="30"/>
      <c r="V105" s="27">
        <v>6263000</v>
      </c>
      <c r="W105" s="28">
        <v>6709000</v>
      </c>
      <c r="X105" s="27">
        <v>5921000</v>
      </c>
      <c r="Y105" s="28">
        <v>6367000</v>
      </c>
      <c r="Z105" s="27">
        <v>6671000</v>
      </c>
      <c r="AA105" s="28">
        <v>7117000</v>
      </c>
      <c r="AB105" s="27">
        <v>6834000</v>
      </c>
      <c r="AC105" s="28">
        <v>7280000</v>
      </c>
      <c r="AD105" s="27">
        <v>6887000</v>
      </c>
      <c r="AE105" s="28">
        <v>7333000</v>
      </c>
      <c r="AF105" s="27">
        <v>7185000</v>
      </c>
      <c r="AG105" s="28">
        <v>7631000</v>
      </c>
      <c r="AH105" s="27">
        <v>7185000</v>
      </c>
      <c r="AI105" s="28">
        <v>7631000</v>
      </c>
      <c r="AJ105" s="27">
        <v>6826000</v>
      </c>
      <c r="AK105" s="28">
        <v>7272000</v>
      </c>
      <c r="AL105" s="27">
        <v>7409000</v>
      </c>
      <c r="AM105" s="28">
        <v>7855000</v>
      </c>
      <c r="AN105" s="27">
        <v>6281000</v>
      </c>
      <c r="AO105" s="28">
        <v>6727000</v>
      </c>
      <c r="AP105" s="27">
        <v>7195000</v>
      </c>
      <c r="AQ105" s="28">
        <v>7641000</v>
      </c>
      <c r="AR105" s="27">
        <v>7429000</v>
      </c>
      <c r="AS105" s="28">
        <v>7875000</v>
      </c>
      <c r="AT105" s="27">
        <v>7195000</v>
      </c>
      <c r="AU105" s="28">
        <v>7641000</v>
      </c>
      <c r="AV105" s="27">
        <v>7275000</v>
      </c>
      <c r="AW105" s="28">
        <v>7721000</v>
      </c>
      <c r="AX105" s="27">
        <v>7216000</v>
      </c>
      <c r="AY105" s="28">
        <v>7662000</v>
      </c>
      <c r="AZ105" s="27">
        <v>7350000</v>
      </c>
      <c r="BA105" s="28">
        <v>7796000</v>
      </c>
      <c r="BB105" s="27">
        <v>6505000</v>
      </c>
      <c r="BC105" s="28">
        <v>6951000</v>
      </c>
      <c r="BD105" s="27">
        <v>6505000</v>
      </c>
      <c r="BE105" s="28">
        <v>6951000</v>
      </c>
      <c r="BF105" s="27">
        <v>6505000</v>
      </c>
      <c r="BG105" s="28">
        <v>6951000</v>
      </c>
      <c r="BH105" s="27">
        <v>6505000</v>
      </c>
      <c r="BI105" s="28">
        <v>6951000</v>
      </c>
      <c r="BJ105" s="27">
        <v>6489000</v>
      </c>
      <c r="BK105" s="28">
        <v>6935000</v>
      </c>
      <c r="BL105" s="27">
        <v>6590000</v>
      </c>
      <c r="BM105" s="28">
        <v>7036000</v>
      </c>
      <c r="BN105" s="27">
        <v>6590000</v>
      </c>
      <c r="BO105" s="28">
        <v>7036000</v>
      </c>
      <c r="BP105" s="27">
        <v>6569000</v>
      </c>
      <c r="BQ105" s="28">
        <v>7015000</v>
      </c>
      <c r="BR105" s="27">
        <v>6505000</v>
      </c>
      <c r="BS105" s="28">
        <v>6951000</v>
      </c>
      <c r="BT105" s="27">
        <v>6484000</v>
      </c>
      <c r="BU105" s="28">
        <v>6930000</v>
      </c>
      <c r="BV105" s="27">
        <v>6484000</v>
      </c>
      <c r="BW105" s="28">
        <v>6930000</v>
      </c>
      <c r="BX105" s="27">
        <v>6484000</v>
      </c>
      <c r="BY105" s="28">
        <v>6930000</v>
      </c>
      <c r="BZ105" s="27">
        <v>6401000</v>
      </c>
      <c r="CA105" s="28">
        <v>6847000</v>
      </c>
      <c r="CB105" s="27">
        <v>6298000</v>
      </c>
      <c r="CC105" s="28">
        <v>6744000</v>
      </c>
      <c r="CD105" s="27">
        <v>6298000</v>
      </c>
      <c r="CE105" s="28">
        <v>6744000</v>
      </c>
      <c r="CF105" s="27">
        <v>6401000</v>
      </c>
      <c r="CG105" s="28">
        <v>6847000</v>
      </c>
      <c r="CH105" s="27">
        <v>7026000</v>
      </c>
      <c r="CI105" s="28">
        <v>7472000</v>
      </c>
    </row>
    <row r="106" spans="1:87" ht="63" customHeight="1">
      <c r="A106" s="16" t="e">
        <f ca="1">_xludf.image("https://lh3.google.com/u/0/d/15SIuX2dOtFeBigv5Egba1vQNS43oAWDh",1)</f>
        <v>#NAME?</v>
      </c>
      <c r="B106" s="17" t="s">
        <v>273</v>
      </c>
      <c r="C106" s="147"/>
      <c r="D106" s="145"/>
      <c r="E106" s="146"/>
      <c r="F106" s="63"/>
      <c r="G106" s="64"/>
      <c r="H106" s="63"/>
      <c r="I106" s="64"/>
      <c r="J106" s="63"/>
      <c r="K106" s="64"/>
      <c r="L106" s="63"/>
      <c r="M106" s="64"/>
      <c r="N106" s="63"/>
      <c r="O106" s="64"/>
      <c r="P106" s="63"/>
      <c r="Q106" s="64"/>
      <c r="R106" s="63"/>
      <c r="S106" s="64"/>
      <c r="T106" s="63"/>
      <c r="U106" s="64"/>
      <c r="V106" s="63"/>
      <c r="W106" s="64"/>
      <c r="X106" s="63"/>
      <c r="Y106" s="64"/>
      <c r="Z106" s="63"/>
      <c r="AA106" s="64"/>
      <c r="AB106" s="63"/>
      <c r="AC106" s="64"/>
      <c r="AD106" s="63"/>
      <c r="AE106" s="64"/>
      <c r="AF106" s="63"/>
      <c r="AG106" s="64"/>
      <c r="AH106" s="63"/>
      <c r="AI106" s="64"/>
      <c r="AJ106" s="63"/>
      <c r="AK106" s="64"/>
      <c r="AL106" s="63"/>
      <c r="AM106" s="64"/>
      <c r="AN106" s="63"/>
      <c r="AO106" s="64"/>
      <c r="AP106" s="63"/>
      <c r="AQ106" s="64"/>
      <c r="AR106" s="63"/>
      <c r="AS106" s="64"/>
      <c r="AT106" s="63"/>
      <c r="AU106" s="64"/>
      <c r="AV106" s="63"/>
      <c r="AW106" s="64"/>
      <c r="AX106" s="63"/>
      <c r="AY106" s="64"/>
      <c r="AZ106" s="63"/>
      <c r="BA106" s="64"/>
      <c r="BB106" s="63"/>
      <c r="BC106" s="64"/>
      <c r="BD106" s="63"/>
      <c r="BE106" s="64"/>
      <c r="BF106" s="63"/>
      <c r="BG106" s="64"/>
      <c r="BH106" s="63"/>
      <c r="BI106" s="64"/>
      <c r="BJ106" s="63"/>
      <c r="BK106" s="64"/>
      <c r="BL106" s="63"/>
      <c r="BM106" s="64"/>
      <c r="BN106" s="63"/>
      <c r="BO106" s="64"/>
      <c r="BP106" s="63"/>
      <c r="BQ106" s="64"/>
      <c r="BR106" s="63"/>
      <c r="BS106" s="64"/>
      <c r="BT106" s="63"/>
      <c r="BU106" s="64"/>
      <c r="BV106" s="63"/>
      <c r="BW106" s="64"/>
      <c r="BX106" s="63"/>
      <c r="BY106" s="64"/>
      <c r="BZ106" s="63"/>
      <c r="CA106" s="64"/>
      <c r="CB106" s="63"/>
      <c r="CC106" s="64"/>
      <c r="CD106" s="63"/>
      <c r="CE106" s="64"/>
      <c r="CF106" s="63"/>
      <c r="CG106" s="64"/>
      <c r="CH106" s="63"/>
      <c r="CI106" s="64"/>
    </row>
    <row r="107" spans="1:87" ht="12.75">
      <c r="A107" s="20"/>
      <c r="B107" s="21" t="s">
        <v>274</v>
      </c>
      <c r="C107" s="65"/>
      <c r="D107" s="65"/>
      <c r="E107" s="66"/>
      <c r="F107" s="22"/>
      <c r="G107" s="23"/>
      <c r="H107" s="22"/>
      <c r="I107" s="23"/>
      <c r="J107" s="22"/>
      <c r="K107" s="23"/>
      <c r="L107" s="22"/>
      <c r="M107" s="23"/>
      <c r="N107" s="22"/>
      <c r="O107" s="23"/>
      <c r="P107" s="22"/>
      <c r="Q107" s="23"/>
      <c r="R107" s="22"/>
      <c r="S107" s="23"/>
      <c r="T107" s="22"/>
      <c r="U107" s="23"/>
      <c r="V107" s="22"/>
      <c r="W107" s="23"/>
      <c r="X107" s="22"/>
      <c r="Y107" s="23"/>
      <c r="Z107" s="22"/>
      <c r="AA107" s="23"/>
      <c r="AB107" s="22"/>
      <c r="AC107" s="23"/>
      <c r="AD107" s="22"/>
      <c r="AE107" s="23"/>
      <c r="AF107" s="22"/>
      <c r="AG107" s="23"/>
      <c r="AH107" s="22"/>
      <c r="AI107" s="23"/>
      <c r="AJ107" s="22"/>
      <c r="AK107" s="23"/>
      <c r="AL107" s="22"/>
      <c r="AM107" s="23"/>
      <c r="AN107" s="22"/>
      <c r="AO107" s="23"/>
      <c r="AP107" s="22"/>
      <c r="AQ107" s="23"/>
      <c r="AR107" s="22"/>
      <c r="AS107" s="23"/>
      <c r="AT107" s="22"/>
      <c r="AU107" s="23"/>
      <c r="AV107" s="22"/>
      <c r="AW107" s="23"/>
      <c r="AX107" s="22"/>
      <c r="AY107" s="23"/>
      <c r="AZ107" s="22"/>
      <c r="BA107" s="23"/>
      <c r="BB107" s="22"/>
      <c r="BC107" s="23"/>
      <c r="BD107" s="22"/>
      <c r="BE107" s="23"/>
      <c r="BF107" s="22"/>
      <c r="BG107" s="23"/>
      <c r="BH107" s="22"/>
      <c r="BI107" s="23"/>
      <c r="BJ107" s="22"/>
      <c r="BK107" s="23"/>
      <c r="BL107" s="22"/>
      <c r="BM107" s="23"/>
      <c r="BN107" s="22"/>
      <c r="BO107" s="23"/>
      <c r="BP107" s="22"/>
      <c r="BQ107" s="23"/>
      <c r="BR107" s="22"/>
      <c r="BS107" s="23"/>
      <c r="BT107" s="22"/>
      <c r="BU107" s="23"/>
      <c r="BV107" s="22"/>
      <c r="BW107" s="23"/>
      <c r="BX107" s="22"/>
      <c r="BY107" s="23"/>
      <c r="BZ107" s="22"/>
      <c r="CA107" s="23"/>
      <c r="CB107" s="22"/>
      <c r="CC107" s="23"/>
      <c r="CD107" s="22"/>
      <c r="CE107" s="23"/>
      <c r="CF107" s="22"/>
      <c r="CG107" s="23"/>
      <c r="CH107" s="22"/>
      <c r="CI107" s="23"/>
    </row>
    <row r="108" spans="1:87">
      <c r="A108" s="24"/>
      <c r="B108" s="25" t="s">
        <v>275</v>
      </c>
      <c r="C108" s="26">
        <v>380</v>
      </c>
      <c r="D108" s="26">
        <v>1200</v>
      </c>
      <c r="E108" s="26">
        <v>300</v>
      </c>
      <c r="F108" s="27">
        <v>4644000</v>
      </c>
      <c r="G108" s="28">
        <v>4793000</v>
      </c>
      <c r="H108" s="27">
        <v>3886000</v>
      </c>
      <c r="I108" s="28">
        <v>4035000</v>
      </c>
      <c r="J108" s="27">
        <v>5399000</v>
      </c>
      <c r="K108" s="28">
        <v>5548000</v>
      </c>
      <c r="L108" s="27">
        <v>4714000</v>
      </c>
      <c r="M108" s="28">
        <v>4863000</v>
      </c>
      <c r="N108" s="27">
        <v>6581000</v>
      </c>
      <c r="O108" s="28">
        <v>6730000</v>
      </c>
      <c r="P108" s="27">
        <v>3757000</v>
      </c>
      <c r="Q108" s="28">
        <v>3906000</v>
      </c>
      <c r="R108" s="27">
        <v>4804000</v>
      </c>
      <c r="S108" s="28">
        <v>4953000</v>
      </c>
      <c r="T108" s="29"/>
      <c r="U108" s="30"/>
      <c r="V108" s="27">
        <v>3167000</v>
      </c>
      <c r="W108" s="28">
        <v>3316000</v>
      </c>
      <c r="X108" s="27">
        <v>3028000</v>
      </c>
      <c r="Y108" s="28">
        <v>3177000</v>
      </c>
      <c r="Z108" s="27">
        <v>3346000</v>
      </c>
      <c r="AA108" s="28">
        <v>3495000</v>
      </c>
      <c r="AB108" s="27">
        <v>3418000</v>
      </c>
      <c r="AC108" s="28">
        <v>3567000</v>
      </c>
      <c r="AD108" s="27">
        <v>3447000</v>
      </c>
      <c r="AE108" s="28">
        <v>3596000</v>
      </c>
      <c r="AF108" s="27">
        <v>3576000</v>
      </c>
      <c r="AG108" s="28">
        <v>3725000</v>
      </c>
      <c r="AH108" s="27">
        <v>3576000</v>
      </c>
      <c r="AI108" s="28">
        <v>3725000</v>
      </c>
      <c r="AJ108" s="27">
        <v>3411000</v>
      </c>
      <c r="AK108" s="28">
        <v>3560000</v>
      </c>
      <c r="AL108" s="27">
        <v>3651000</v>
      </c>
      <c r="AM108" s="28">
        <v>3800000</v>
      </c>
      <c r="AN108" s="27">
        <v>3186000</v>
      </c>
      <c r="AO108" s="28">
        <v>3335000</v>
      </c>
      <c r="AP108" s="27">
        <v>3566000</v>
      </c>
      <c r="AQ108" s="28">
        <v>3715000</v>
      </c>
      <c r="AR108" s="27">
        <v>3662000</v>
      </c>
      <c r="AS108" s="28">
        <v>3811000</v>
      </c>
      <c r="AT108" s="27">
        <v>3566000</v>
      </c>
      <c r="AU108" s="28">
        <v>3715000</v>
      </c>
      <c r="AV108" s="27">
        <v>3597000</v>
      </c>
      <c r="AW108" s="28">
        <v>3746000</v>
      </c>
      <c r="AX108" s="27">
        <v>3573000</v>
      </c>
      <c r="AY108" s="28">
        <v>3722000</v>
      </c>
      <c r="AZ108" s="27">
        <v>3628000</v>
      </c>
      <c r="BA108" s="28">
        <v>3777000</v>
      </c>
      <c r="BB108" s="27">
        <v>3267000</v>
      </c>
      <c r="BC108" s="28">
        <v>3416000</v>
      </c>
      <c r="BD108" s="27">
        <v>3267000</v>
      </c>
      <c r="BE108" s="28">
        <v>3416000</v>
      </c>
      <c r="BF108" s="27">
        <v>3267000</v>
      </c>
      <c r="BG108" s="28">
        <v>3416000</v>
      </c>
      <c r="BH108" s="27">
        <v>3267000</v>
      </c>
      <c r="BI108" s="28">
        <v>3416000</v>
      </c>
      <c r="BJ108" s="27">
        <v>3261000</v>
      </c>
      <c r="BK108" s="28">
        <v>3410000</v>
      </c>
      <c r="BL108" s="27">
        <v>3302000</v>
      </c>
      <c r="BM108" s="28">
        <v>3451000</v>
      </c>
      <c r="BN108" s="27">
        <v>3302000</v>
      </c>
      <c r="BO108" s="28">
        <v>3451000</v>
      </c>
      <c r="BP108" s="27">
        <v>3294000</v>
      </c>
      <c r="BQ108" s="28">
        <v>3443000</v>
      </c>
      <c r="BR108" s="27">
        <v>3267000</v>
      </c>
      <c r="BS108" s="28">
        <v>3416000</v>
      </c>
      <c r="BT108" s="27">
        <v>3259000</v>
      </c>
      <c r="BU108" s="28">
        <v>3408000</v>
      </c>
      <c r="BV108" s="27">
        <v>3259000</v>
      </c>
      <c r="BW108" s="28">
        <v>3408000</v>
      </c>
      <c r="BX108" s="27">
        <v>3259000</v>
      </c>
      <c r="BY108" s="28">
        <v>3408000</v>
      </c>
      <c r="BZ108" s="27">
        <v>3251000</v>
      </c>
      <c r="CA108" s="28">
        <v>3400000</v>
      </c>
      <c r="CB108" s="27">
        <v>3209000</v>
      </c>
      <c r="CC108" s="28">
        <v>3358000</v>
      </c>
      <c r="CD108" s="27">
        <v>3209000</v>
      </c>
      <c r="CE108" s="28">
        <v>3358000</v>
      </c>
      <c r="CF108" s="27">
        <v>3251000</v>
      </c>
      <c r="CG108" s="28">
        <v>3400000</v>
      </c>
      <c r="CH108" s="27">
        <v>3500000</v>
      </c>
      <c r="CI108" s="28">
        <v>3649000</v>
      </c>
    </row>
    <row r="109" spans="1:87">
      <c r="A109" s="24"/>
      <c r="B109" s="25" t="s">
        <v>276</v>
      </c>
      <c r="C109" s="26">
        <v>380</v>
      </c>
      <c r="D109" s="26">
        <v>1200</v>
      </c>
      <c r="E109" s="26">
        <v>450</v>
      </c>
      <c r="F109" s="27">
        <v>6052000</v>
      </c>
      <c r="G109" s="28">
        <v>6275000</v>
      </c>
      <c r="H109" s="27">
        <v>4914000</v>
      </c>
      <c r="I109" s="28">
        <v>5137000</v>
      </c>
      <c r="J109" s="27">
        <v>7184000</v>
      </c>
      <c r="K109" s="28">
        <v>7407000</v>
      </c>
      <c r="L109" s="27">
        <v>6156000</v>
      </c>
      <c r="M109" s="28">
        <v>6379000</v>
      </c>
      <c r="N109" s="27">
        <v>8957000</v>
      </c>
      <c r="O109" s="28">
        <v>9180000</v>
      </c>
      <c r="P109" s="27">
        <v>4543000</v>
      </c>
      <c r="Q109" s="28">
        <v>4766000</v>
      </c>
      <c r="R109" s="27">
        <v>6636000</v>
      </c>
      <c r="S109" s="28">
        <v>6859000</v>
      </c>
      <c r="T109" s="29"/>
      <c r="U109" s="30"/>
      <c r="V109" s="27">
        <v>3820000</v>
      </c>
      <c r="W109" s="28">
        <v>4043000</v>
      </c>
      <c r="X109" s="27">
        <v>3611000</v>
      </c>
      <c r="Y109" s="28">
        <v>3834000</v>
      </c>
      <c r="Z109" s="27">
        <v>4067000</v>
      </c>
      <c r="AA109" s="28">
        <v>4290000</v>
      </c>
      <c r="AB109" s="27">
        <v>4166000</v>
      </c>
      <c r="AC109" s="28">
        <v>4389000</v>
      </c>
      <c r="AD109" s="27">
        <v>4196000</v>
      </c>
      <c r="AE109" s="28">
        <v>4419000</v>
      </c>
      <c r="AF109" s="27">
        <v>4377000</v>
      </c>
      <c r="AG109" s="28">
        <v>4600000</v>
      </c>
      <c r="AH109" s="27">
        <v>4377000</v>
      </c>
      <c r="AI109" s="28">
        <v>4600000</v>
      </c>
      <c r="AJ109" s="27">
        <v>4162000</v>
      </c>
      <c r="AK109" s="28">
        <v>4385000</v>
      </c>
      <c r="AL109" s="27">
        <v>4519000</v>
      </c>
      <c r="AM109" s="28">
        <v>4742000</v>
      </c>
      <c r="AN109" s="27">
        <v>3828000</v>
      </c>
      <c r="AO109" s="28">
        <v>4051000</v>
      </c>
      <c r="AP109" s="27">
        <v>4387000</v>
      </c>
      <c r="AQ109" s="28">
        <v>4610000</v>
      </c>
      <c r="AR109" s="27">
        <v>4531000</v>
      </c>
      <c r="AS109" s="28">
        <v>4754000</v>
      </c>
      <c r="AT109" s="27">
        <v>4387000</v>
      </c>
      <c r="AU109" s="28">
        <v>4610000</v>
      </c>
      <c r="AV109" s="27">
        <v>4437000</v>
      </c>
      <c r="AW109" s="28">
        <v>4660000</v>
      </c>
      <c r="AX109" s="27">
        <v>4400000</v>
      </c>
      <c r="AY109" s="28">
        <v>4623000</v>
      </c>
      <c r="AZ109" s="27">
        <v>4483000</v>
      </c>
      <c r="BA109" s="28">
        <v>4706000</v>
      </c>
      <c r="BB109" s="27">
        <v>3969000</v>
      </c>
      <c r="BC109" s="28">
        <v>4192000</v>
      </c>
      <c r="BD109" s="27">
        <v>3969000</v>
      </c>
      <c r="BE109" s="28">
        <v>4192000</v>
      </c>
      <c r="BF109" s="27">
        <v>3969000</v>
      </c>
      <c r="BG109" s="28">
        <v>4192000</v>
      </c>
      <c r="BH109" s="27">
        <v>3969000</v>
      </c>
      <c r="BI109" s="28">
        <v>4192000</v>
      </c>
      <c r="BJ109" s="27">
        <v>3959000</v>
      </c>
      <c r="BK109" s="28">
        <v>4182000</v>
      </c>
      <c r="BL109" s="27">
        <v>4021000</v>
      </c>
      <c r="BM109" s="28">
        <v>4244000</v>
      </c>
      <c r="BN109" s="27">
        <v>4021000</v>
      </c>
      <c r="BO109" s="28">
        <v>4244000</v>
      </c>
      <c r="BP109" s="27">
        <v>4008000</v>
      </c>
      <c r="BQ109" s="28">
        <v>4231000</v>
      </c>
      <c r="BR109" s="27">
        <v>3969000</v>
      </c>
      <c r="BS109" s="28">
        <v>4192000</v>
      </c>
      <c r="BT109" s="27">
        <v>3956000</v>
      </c>
      <c r="BU109" s="28">
        <v>4179000</v>
      </c>
      <c r="BV109" s="27">
        <v>3956000</v>
      </c>
      <c r="BW109" s="28">
        <v>4179000</v>
      </c>
      <c r="BX109" s="27">
        <v>3956000</v>
      </c>
      <c r="BY109" s="28">
        <v>4179000</v>
      </c>
      <c r="BZ109" s="27">
        <v>3897000</v>
      </c>
      <c r="CA109" s="28">
        <v>4120000</v>
      </c>
      <c r="CB109" s="27">
        <v>3834000</v>
      </c>
      <c r="CC109" s="28">
        <v>4057000</v>
      </c>
      <c r="CD109" s="27">
        <v>3834000</v>
      </c>
      <c r="CE109" s="28">
        <v>4057000</v>
      </c>
      <c r="CF109" s="27">
        <v>3897000</v>
      </c>
      <c r="CG109" s="28">
        <v>4120000</v>
      </c>
      <c r="CH109" s="27">
        <v>4282000</v>
      </c>
      <c r="CI109" s="28">
        <v>4505000</v>
      </c>
    </row>
    <row r="110" spans="1:87">
      <c r="A110" s="24"/>
      <c r="B110" s="25" t="s">
        <v>277</v>
      </c>
      <c r="C110" s="26">
        <v>380</v>
      </c>
      <c r="D110" s="26">
        <v>1200</v>
      </c>
      <c r="E110" s="26">
        <v>600</v>
      </c>
      <c r="F110" s="27">
        <v>7478000</v>
      </c>
      <c r="G110" s="28">
        <v>7776000</v>
      </c>
      <c r="H110" s="27">
        <v>5962000</v>
      </c>
      <c r="I110" s="28">
        <v>6260000</v>
      </c>
      <c r="J110" s="27">
        <v>8989000</v>
      </c>
      <c r="K110" s="28">
        <v>9287000</v>
      </c>
      <c r="L110" s="27">
        <v>7618000</v>
      </c>
      <c r="M110" s="28">
        <v>7916000</v>
      </c>
      <c r="N110" s="27">
        <v>11352000</v>
      </c>
      <c r="O110" s="28">
        <v>11650000</v>
      </c>
      <c r="P110" s="27">
        <v>5348000</v>
      </c>
      <c r="Q110" s="28">
        <v>5646000</v>
      </c>
      <c r="R110" s="27">
        <v>8487000</v>
      </c>
      <c r="S110" s="28">
        <v>8785000</v>
      </c>
      <c r="T110" s="29"/>
      <c r="U110" s="30"/>
      <c r="V110" s="27">
        <v>4492000</v>
      </c>
      <c r="W110" s="28">
        <v>4790000</v>
      </c>
      <c r="X110" s="27">
        <v>4213000</v>
      </c>
      <c r="Y110" s="28">
        <v>4511000</v>
      </c>
      <c r="Z110" s="27">
        <v>4808000</v>
      </c>
      <c r="AA110" s="28">
        <v>5106000</v>
      </c>
      <c r="AB110" s="27">
        <v>4933000</v>
      </c>
      <c r="AC110" s="28">
        <v>5231000</v>
      </c>
      <c r="AD110" s="27">
        <v>4964000</v>
      </c>
      <c r="AE110" s="28">
        <v>5262000</v>
      </c>
      <c r="AF110" s="27">
        <v>5197000</v>
      </c>
      <c r="AG110" s="28">
        <v>5495000</v>
      </c>
      <c r="AH110" s="27">
        <v>5197000</v>
      </c>
      <c r="AI110" s="28">
        <v>5495000</v>
      </c>
      <c r="AJ110" s="27">
        <v>4932000</v>
      </c>
      <c r="AK110" s="28">
        <v>5230000</v>
      </c>
      <c r="AL110" s="27">
        <v>5406000</v>
      </c>
      <c r="AM110" s="28">
        <v>5704000</v>
      </c>
      <c r="AN110" s="27">
        <v>4489000</v>
      </c>
      <c r="AO110" s="28">
        <v>4787000</v>
      </c>
      <c r="AP110" s="27">
        <v>5227000</v>
      </c>
      <c r="AQ110" s="28">
        <v>5525000</v>
      </c>
      <c r="AR110" s="27">
        <v>5418000</v>
      </c>
      <c r="AS110" s="28">
        <v>5716000</v>
      </c>
      <c r="AT110" s="27">
        <v>5227000</v>
      </c>
      <c r="AU110" s="28">
        <v>5525000</v>
      </c>
      <c r="AV110" s="27">
        <v>5296000</v>
      </c>
      <c r="AW110" s="28">
        <v>5594000</v>
      </c>
      <c r="AX110" s="27">
        <v>5247000</v>
      </c>
      <c r="AY110" s="28">
        <v>5545000</v>
      </c>
      <c r="AZ110" s="27">
        <v>5357000</v>
      </c>
      <c r="BA110" s="28">
        <v>5655000</v>
      </c>
      <c r="BB110" s="27">
        <v>4689000</v>
      </c>
      <c r="BC110" s="28">
        <v>4987000</v>
      </c>
      <c r="BD110" s="27">
        <v>4689000</v>
      </c>
      <c r="BE110" s="28">
        <v>4987000</v>
      </c>
      <c r="BF110" s="27">
        <v>4689000</v>
      </c>
      <c r="BG110" s="28">
        <v>4987000</v>
      </c>
      <c r="BH110" s="27">
        <v>4689000</v>
      </c>
      <c r="BI110" s="28">
        <v>4987000</v>
      </c>
      <c r="BJ110" s="27">
        <v>4676000</v>
      </c>
      <c r="BK110" s="28">
        <v>4974000</v>
      </c>
      <c r="BL110" s="27">
        <v>4759000</v>
      </c>
      <c r="BM110" s="28">
        <v>5057000</v>
      </c>
      <c r="BN110" s="27">
        <v>4759000</v>
      </c>
      <c r="BO110" s="28">
        <v>5057000</v>
      </c>
      <c r="BP110" s="27">
        <v>4741000</v>
      </c>
      <c r="BQ110" s="28">
        <v>5039000</v>
      </c>
      <c r="BR110" s="27">
        <v>4689000</v>
      </c>
      <c r="BS110" s="28">
        <v>4987000</v>
      </c>
      <c r="BT110" s="27">
        <v>4672000</v>
      </c>
      <c r="BU110" s="28">
        <v>4970000</v>
      </c>
      <c r="BV110" s="27">
        <v>4672000</v>
      </c>
      <c r="BW110" s="28">
        <v>4970000</v>
      </c>
      <c r="BX110" s="27">
        <v>4672000</v>
      </c>
      <c r="BY110" s="28">
        <v>4970000</v>
      </c>
      <c r="BZ110" s="27">
        <v>4562000</v>
      </c>
      <c r="CA110" s="28">
        <v>4860000</v>
      </c>
      <c r="CB110" s="27">
        <v>4478000</v>
      </c>
      <c r="CC110" s="28">
        <v>4776000</v>
      </c>
      <c r="CD110" s="27">
        <v>4478000</v>
      </c>
      <c r="CE110" s="28">
        <v>4776000</v>
      </c>
      <c r="CF110" s="27">
        <v>4562000</v>
      </c>
      <c r="CG110" s="28">
        <v>4860000</v>
      </c>
      <c r="CH110" s="27">
        <v>5084000</v>
      </c>
      <c r="CI110" s="28">
        <v>5382000</v>
      </c>
    </row>
    <row r="111" spans="1:87">
      <c r="A111" s="24"/>
      <c r="B111" s="25" t="s">
        <v>278</v>
      </c>
      <c r="C111" s="26">
        <v>380</v>
      </c>
      <c r="D111" s="26">
        <v>1200</v>
      </c>
      <c r="E111" s="26">
        <v>900</v>
      </c>
      <c r="F111" s="27">
        <v>10851000</v>
      </c>
      <c r="G111" s="28">
        <v>11297000</v>
      </c>
      <c r="H111" s="27">
        <v>8576000</v>
      </c>
      <c r="I111" s="28">
        <v>9022000</v>
      </c>
      <c r="J111" s="27">
        <v>13116000</v>
      </c>
      <c r="K111" s="28">
        <v>13562000</v>
      </c>
      <c r="L111" s="27">
        <v>11060000</v>
      </c>
      <c r="M111" s="28">
        <v>11506000</v>
      </c>
      <c r="N111" s="27">
        <v>16662000</v>
      </c>
      <c r="O111" s="28">
        <v>17108000</v>
      </c>
      <c r="P111" s="27">
        <v>8029000</v>
      </c>
      <c r="Q111" s="28">
        <v>8475000</v>
      </c>
      <c r="R111" s="27">
        <v>13261000</v>
      </c>
      <c r="S111" s="28">
        <v>13707000</v>
      </c>
      <c r="T111" s="29"/>
      <c r="U111" s="30"/>
      <c r="V111" s="27">
        <v>6388000</v>
      </c>
      <c r="W111" s="28">
        <v>6834000</v>
      </c>
      <c r="X111" s="27">
        <v>5969000</v>
      </c>
      <c r="Y111" s="28">
        <v>6415000</v>
      </c>
      <c r="Z111" s="27">
        <v>6882000</v>
      </c>
      <c r="AA111" s="28">
        <v>7328000</v>
      </c>
      <c r="AB111" s="27">
        <v>7079000</v>
      </c>
      <c r="AC111" s="28">
        <v>7525000</v>
      </c>
      <c r="AD111" s="27">
        <v>7140000</v>
      </c>
      <c r="AE111" s="28">
        <v>7586000</v>
      </c>
      <c r="AF111" s="27">
        <v>7502000</v>
      </c>
      <c r="AG111" s="28">
        <v>7948000</v>
      </c>
      <c r="AH111" s="27">
        <v>7502000</v>
      </c>
      <c r="AI111" s="28">
        <v>7948000</v>
      </c>
      <c r="AJ111" s="27">
        <v>7071000</v>
      </c>
      <c r="AK111" s="28">
        <v>7517000</v>
      </c>
      <c r="AL111" s="27">
        <v>7785000</v>
      </c>
      <c r="AM111" s="28">
        <v>8231000</v>
      </c>
      <c r="AN111" s="27">
        <v>6404000</v>
      </c>
      <c r="AO111" s="28">
        <v>6850000</v>
      </c>
      <c r="AP111" s="27">
        <v>7522000</v>
      </c>
      <c r="AQ111" s="28">
        <v>7968000</v>
      </c>
      <c r="AR111" s="27">
        <v>7809000</v>
      </c>
      <c r="AS111" s="28">
        <v>8255000</v>
      </c>
      <c r="AT111" s="27">
        <v>7522000</v>
      </c>
      <c r="AU111" s="28">
        <v>7968000</v>
      </c>
      <c r="AV111" s="27">
        <v>7621000</v>
      </c>
      <c r="AW111" s="28">
        <v>8067000</v>
      </c>
      <c r="AX111" s="27">
        <v>7548000</v>
      </c>
      <c r="AY111" s="28">
        <v>7994000</v>
      </c>
      <c r="AZ111" s="27">
        <v>7713000</v>
      </c>
      <c r="BA111" s="28">
        <v>8159000</v>
      </c>
      <c r="BB111" s="27">
        <v>6685000</v>
      </c>
      <c r="BC111" s="28">
        <v>7131000</v>
      </c>
      <c r="BD111" s="27">
        <v>6685000</v>
      </c>
      <c r="BE111" s="28">
        <v>7131000</v>
      </c>
      <c r="BF111" s="27">
        <v>6685000</v>
      </c>
      <c r="BG111" s="28">
        <v>7131000</v>
      </c>
      <c r="BH111" s="27">
        <v>6685000</v>
      </c>
      <c r="BI111" s="28">
        <v>7131000</v>
      </c>
      <c r="BJ111" s="27">
        <v>6666000</v>
      </c>
      <c r="BK111" s="28">
        <v>7112000</v>
      </c>
      <c r="BL111" s="27">
        <v>6790000</v>
      </c>
      <c r="BM111" s="28">
        <v>7236000</v>
      </c>
      <c r="BN111" s="27">
        <v>6790000</v>
      </c>
      <c r="BO111" s="28">
        <v>7236000</v>
      </c>
      <c r="BP111" s="27">
        <v>6763000</v>
      </c>
      <c r="BQ111" s="28">
        <v>7209000</v>
      </c>
      <c r="BR111" s="27">
        <v>6685000</v>
      </c>
      <c r="BS111" s="28">
        <v>7131000</v>
      </c>
      <c r="BT111" s="27">
        <v>6659000</v>
      </c>
      <c r="BU111" s="28">
        <v>7105000</v>
      </c>
      <c r="BV111" s="27">
        <v>6659000</v>
      </c>
      <c r="BW111" s="28">
        <v>7105000</v>
      </c>
      <c r="BX111" s="27">
        <v>6659000</v>
      </c>
      <c r="BY111" s="28">
        <v>7105000</v>
      </c>
      <c r="BZ111" s="27">
        <v>6541000</v>
      </c>
      <c r="CA111" s="28">
        <v>6987000</v>
      </c>
      <c r="CB111" s="27">
        <v>6416000</v>
      </c>
      <c r="CC111" s="28">
        <v>6862000</v>
      </c>
      <c r="CD111" s="27">
        <v>6416000</v>
      </c>
      <c r="CE111" s="28">
        <v>6862000</v>
      </c>
      <c r="CF111" s="27">
        <v>6541000</v>
      </c>
      <c r="CG111" s="28">
        <v>6987000</v>
      </c>
      <c r="CH111" s="27">
        <v>7312000</v>
      </c>
      <c r="CI111" s="28">
        <v>7758000</v>
      </c>
    </row>
    <row r="112" spans="1:87">
      <c r="A112" s="24"/>
      <c r="B112" s="25" t="s">
        <v>279</v>
      </c>
      <c r="C112" s="26">
        <v>650</v>
      </c>
      <c r="D112" s="26">
        <v>1200</v>
      </c>
      <c r="E112" s="26">
        <v>650</v>
      </c>
      <c r="F112" s="27">
        <v>10199000</v>
      </c>
      <c r="G112" s="28">
        <v>10521000</v>
      </c>
      <c r="H112" s="27">
        <v>8683000</v>
      </c>
      <c r="I112" s="28">
        <v>9005000</v>
      </c>
      <c r="J112" s="27">
        <v>11710000</v>
      </c>
      <c r="K112" s="28">
        <v>12032000</v>
      </c>
      <c r="L112" s="27">
        <v>10339000</v>
      </c>
      <c r="M112" s="28">
        <v>10661000</v>
      </c>
      <c r="N112" s="27">
        <v>14073000</v>
      </c>
      <c r="O112" s="28">
        <v>14395000</v>
      </c>
      <c r="P112" s="27">
        <v>7965000</v>
      </c>
      <c r="Q112" s="28">
        <v>8287000</v>
      </c>
      <c r="R112" s="27">
        <v>8803000</v>
      </c>
      <c r="S112" s="28">
        <v>9125000</v>
      </c>
      <c r="T112" s="29"/>
      <c r="U112" s="30"/>
      <c r="V112" s="27">
        <v>7246000</v>
      </c>
      <c r="W112" s="28">
        <v>7568000</v>
      </c>
      <c r="X112" s="27">
        <v>6967000</v>
      </c>
      <c r="Y112" s="28">
        <v>7289000</v>
      </c>
      <c r="Z112" s="27">
        <v>7603000</v>
      </c>
      <c r="AA112" s="28">
        <v>7925000</v>
      </c>
      <c r="AB112" s="27">
        <v>7747000</v>
      </c>
      <c r="AC112" s="28">
        <v>8069000</v>
      </c>
      <c r="AD112" s="27">
        <v>7806000</v>
      </c>
      <c r="AE112" s="28">
        <v>8128000</v>
      </c>
      <c r="AF112" s="27">
        <v>8063000</v>
      </c>
      <c r="AG112" s="28">
        <v>8385000</v>
      </c>
      <c r="AH112" s="27">
        <v>8063000</v>
      </c>
      <c r="AI112" s="28">
        <v>8385000</v>
      </c>
      <c r="AJ112" s="27">
        <v>7733000</v>
      </c>
      <c r="AK112" s="28">
        <v>8055000</v>
      </c>
      <c r="AL112" s="27">
        <v>8214000</v>
      </c>
      <c r="AM112" s="28">
        <v>8536000</v>
      </c>
      <c r="AN112" s="27">
        <v>7283000</v>
      </c>
      <c r="AO112" s="28">
        <v>7605000</v>
      </c>
      <c r="AP112" s="27">
        <v>8044000</v>
      </c>
      <c r="AQ112" s="28">
        <v>8366000</v>
      </c>
      <c r="AR112" s="27">
        <v>8236000</v>
      </c>
      <c r="AS112" s="28">
        <v>8558000</v>
      </c>
      <c r="AT112" s="27">
        <v>8044000</v>
      </c>
      <c r="AU112" s="28">
        <v>8366000</v>
      </c>
      <c r="AV112" s="27">
        <v>8106000</v>
      </c>
      <c r="AW112" s="28">
        <v>8428000</v>
      </c>
      <c r="AX112" s="27">
        <v>8057000</v>
      </c>
      <c r="AY112" s="28">
        <v>8379000</v>
      </c>
      <c r="AZ112" s="27">
        <v>8167000</v>
      </c>
      <c r="BA112" s="28">
        <v>8489000</v>
      </c>
      <c r="BB112" s="27">
        <v>7446000</v>
      </c>
      <c r="BC112" s="28">
        <v>7768000</v>
      </c>
      <c r="BD112" s="27">
        <v>7446000</v>
      </c>
      <c r="BE112" s="28">
        <v>7768000</v>
      </c>
      <c r="BF112" s="27">
        <v>7446000</v>
      </c>
      <c r="BG112" s="28">
        <v>7768000</v>
      </c>
      <c r="BH112" s="27">
        <v>7446000</v>
      </c>
      <c r="BI112" s="28">
        <v>7768000</v>
      </c>
      <c r="BJ112" s="27">
        <v>7433000</v>
      </c>
      <c r="BK112" s="28">
        <v>7755000</v>
      </c>
      <c r="BL112" s="27">
        <v>7516000</v>
      </c>
      <c r="BM112" s="28">
        <v>7838000</v>
      </c>
      <c r="BN112" s="27">
        <v>7516000</v>
      </c>
      <c r="BO112" s="28">
        <v>7838000</v>
      </c>
      <c r="BP112" s="27">
        <v>7499000</v>
      </c>
      <c r="BQ112" s="28">
        <v>7821000</v>
      </c>
      <c r="BR112" s="27">
        <v>7446000</v>
      </c>
      <c r="BS112" s="28">
        <v>7768000</v>
      </c>
      <c r="BT112" s="27">
        <v>7429000</v>
      </c>
      <c r="BU112" s="28">
        <v>7751000</v>
      </c>
      <c r="BV112" s="27">
        <v>7429000</v>
      </c>
      <c r="BW112" s="28">
        <v>7751000</v>
      </c>
      <c r="BX112" s="27">
        <v>7429000</v>
      </c>
      <c r="BY112" s="28">
        <v>7751000</v>
      </c>
      <c r="BZ112" s="27">
        <v>7413000</v>
      </c>
      <c r="CA112" s="28">
        <v>7735000</v>
      </c>
      <c r="CB112" s="27">
        <v>7330000</v>
      </c>
      <c r="CC112" s="28">
        <v>7652000</v>
      </c>
      <c r="CD112" s="27">
        <v>7330000</v>
      </c>
      <c r="CE112" s="28">
        <v>7652000</v>
      </c>
      <c r="CF112" s="27">
        <v>7413000</v>
      </c>
      <c r="CG112" s="28">
        <v>7735000</v>
      </c>
      <c r="CH112" s="27">
        <v>7911000</v>
      </c>
      <c r="CI112" s="28">
        <v>8233000</v>
      </c>
    </row>
    <row r="113" spans="1:87">
      <c r="A113" s="24"/>
      <c r="B113" s="25" t="s">
        <v>280</v>
      </c>
      <c r="C113" s="26">
        <v>380</v>
      </c>
      <c r="D113" s="26">
        <v>1200</v>
      </c>
      <c r="E113" s="26">
        <v>1050</v>
      </c>
      <c r="F113" s="27">
        <v>8786000</v>
      </c>
      <c r="G113" s="28">
        <v>9307000</v>
      </c>
      <c r="H113" s="27">
        <v>7648000</v>
      </c>
      <c r="I113" s="28">
        <v>8169000</v>
      </c>
      <c r="J113" s="27">
        <v>9918000</v>
      </c>
      <c r="K113" s="28">
        <v>10439000</v>
      </c>
      <c r="L113" s="27">
        <v>8890000</v>
      </c>
      <c r="M113" s="28">
        <v>9411000</v>
      </c>
      <c r="N113" s="27">
        <v>11691000</v>
      </c>
      <c r="O113" s="28">
        <v>12212000</v>
      </c>
      <c r="P113" s="27">
        <v>7277000</v>
      </c>
      <c r="Q113" s="28">
        <v>7798000</v>
      </c>
      <c r="R113" s="27">
        <v>9370000</v>
      </c>
      <c r="S113" s="28">
        <v>9891000</v>
      </c>
      <c r="T113" s="29"/>
      <c r="U113" s="30"/>
      <c r="V113" s="27">
        <v>6554000</v>
      </c>
      <c r="W113" s="28">
        <v>7075000</v>
      </c>
      <c r="X113" s="27">
        <v>6345000</v>
      </c>
      <c r="Y113" s="28">
        <v>6866000</v>
      </c>
      <c r="Z113" s="27">
        <v>6801000</v>
      </c>
      <c r="AA113" s="28">
        <v>7322000</v>
      </c>
      <c r="AB113" s="27">
        <v>6900000</v>
      </c>
      <c r="AC113" s="28">
        <v>7421000</v>
      </c>
      <c r="AD113" s="27">
        <v>6930000</v>
      </c>
      <c r="AE113" s="28">
        <v>7451000</v>
      </c>
      <c r="AF113" s="27">
        <v>7111000</v>
      </c>
      <c r="AG113" s="28">
        <v>7632000</v>
      </c>
      <c r="AH113" s="27">
        <v>7111000</v>
      </c>
      <c r="AI113" s="28">
        <v>7632000</v>
      </c>
      <c r="AJ113" s="27">
        <v>6896000</v>
      </c>
      <c r="AK113" s="28">
        <v>7417000</v>
      </c>
      <c r="AL113" s="27">
        <v>7253000</v>
      </c>
      <c r="AM113" s="28">
        <v>7774000</v>
      </c>
      <c r="AN113" s="27">
        <v>6562000</v>
      </c>
      <c r="AO113" s="28">
        <v>7083000</v>
      </c>
      <c r="AP113" s="27">
        <v>7121000</v>
      </c>
      <c r="AQ113" s="28">
        <v>7642000</v>
      </c>
      <c r="AR113" s="27">
        <v>7265000</v>
      </c>
      <c r="AS113" s="28">
        <v>7786000</v>
      </c>
      <c r="AT113" s="27">
        <v>7121000</v>
      </c>
      <c r="AU113" s="28">
        <v>7642000</v>
      </c>
      <c r="AV113" s="27">
        <v>7171000</v>
      </c>
      <c r="AW113" s="28">
        <v>7692000</v>
      </c>
      <c r="AX113" s="27">
        <v>7134000</v>
      </c>
      <c r="AY113" s="28">
        <v>7655000</v>
      </c>
      <c r="AZ113" s="27">
        <v>7217000</v>
      </c>
      <c r="BA113" s="28">
        <v>7738000</v>
      </c>
      <c r="BB113" s="27">
        <v>6703000</v>
      </c>
      <c r="BC113" s="28">
        <v>7224000</v>
      </c>
      <c r="BD113" s="27">
        <v>6703000</v>
      </c>
      <c r="BE113" s="28">
        <v>7224000</v>
      </c>
      <c r="BF113" s="27">
        <v>6703000</v>
      </c>
      <c r="BG113" s="28">
        <v>7224000</v>
      </c>
      <c r="BH113" s="27">
        <v>6703000</v>
      </c>
      <c r="BI113" s="28">
        <v>7224000</v>
      </c>
      <c r="BJ113" s="27">
        <v>6693000</v>
      </c>
      <c r="BK113" s="28">
        <v>7214000</v>
      </c>
      <c r="BL113" s="27">
        <v>6755000</v>
      </c>
      <c r="BM113" s="28">
        <v>7276000</v>
      </c>
      <c r="BN113" s="27">
        <v>6755000</v>
      </c>
      <c r="BO113" s="28">
        <v>7276000</v>
      </c>
      <c r="BP113" s="27">
        <v>6742000</v>
      </c>
      <c r="BQ113" s="28">
        <v>7263000</v>
      </c>
      <c r="BR113" s="27">
        <v>6703000</v>
      </c>
      <c r="BS113" s="28">
        <v>7224000</v>
      </c>
      <c r="BT113" s="27">
        <v>6690000</v>
      </c>
      <c r="BU113" s="28">
        <v>7211000</v>
      </c>
      <c r="BV113" s="27">
        <v>6690000</v>
      </c>
      <c r="BW113" s="28">
        <v>7211000</v>
      </c>
      <c r="BX113" s="27">
        <v>6690000</v>
      </c>
      <c r="BY113" s="28">
        <v>7211000</v>
      </c>
      <c r="BZ113" s="27">
        <v>6631000</v>
      </c>
      <c r="CA113" s="28">
        <v>7152000</v>
      </c>
      <c r="CB113" s="27">
        <v>6568000</v>
      </c>
      <c r="CC113" s="28">
        <v>7089000</v>
      </c>
      <c r="CD113" s="27">
        <v>6568000</v>
      </c>
      <c r="CE113" s="28">
        <v>7089000</v>
      </c>
      <c r="CF113" s="27">
        <v>6631000</v>
      </c>
      <c r="CG113" s="28">
        <v>7152000</v>
      </c>
      <c r="CH113" s="27">
        <v>7016000</v>
      </c>
      <c r="CI113" s="28">
        <v>7537000</v>
      </c>
    </row>
    <row r="114" spans="1:87">
      <c r="A114" s="24"/>
      <c r="B114" s="25" t="s">
        <v>281</v>
      </c>
      <c r="C114" s="26">
        <v>380</v>
      </c>
      <c r="D114" s="26">
        <v>1200</v>
      </c>
      <c r="E114" s="26">
        <v>300</v>
      </c>
      <c r="F114" s="27">
        <v>5237000</v>
      </c>
      <c r="G114" s="28">
        <v>5386000</v>
      </c>
      <c r="H114" s="27">
        <v>4479000</v>
      </c>
      <c r="I114" s="28">
        <v>4628000</v>
      </c>
      <c r="J114" s="27">
        <v>5992000</v>
      </c>
      <c r="K114" s="28">
        <v>6141000</v>
      </c>
      <c r="L114" s="27">
        <v>5307000</v>
      </c>
      <c r="M114" s="28">
        <v>5456000</v>
      </c>
      <c r="N114" s="27">
        <v>7174000</v>
      </c>
      <c r="O114" s="28">
        <v>7323000</v>
      </c>
      <c r="P114" s="27">
        <v>4350000</v>
      </c>
      <c r="Q114" s="28">
        <v>4499000</v>
      </c>
      <c r="R114" s="27">
        <v>5397000</v>
      </c>
      <c r="S114" s="28">
        <v>5546000</v>
      </c>
      <c r="T114" s="29"/>
      <c r="U114" s="30"/>
      <c r="V114" s="27">
        <v>3760000</v>
      </c>
      <c r="W114" s="28">
        <v>3909000</v>
      </c>
      <c r="X114" s="27">
        <v>3621000</v>
      </c>
      <c r="Y114" s="28">
        <v>3770000</v>
      </c>
      <c r="Z114" s="27">
        <v>3939000</v>
      </c>
      <c r="AA114" s="28">
        <v>4088000</v>
      </c>
      <c r="AB114" s="27">
        <v>4011000</v>
      </c>
      <c r="AC114" s="28">
        <v>4160000</v>
      </c>
      <c r="AD114" s="27">
        <v>4040000</v>
      </c>
      <c r="AE114" s="28">
        <v>4189000</v>
      </c>
      <c r="AF114" s="27">
        <v>4169000</v>
      </c>
      <c r="AG114" s="28">
        <v>4318000</v>
      </c>
      <c r="AH114" s="27">
        <v>4169000</v>
      </c>
      <c r="AI114" s="28">
        <v>4318000</v>
      </c>
      <c r="AJ114" s="27">
        <v>4004000</v>
      </c>
      <c r="AK114" s="28">
        <v>4153000</v>
      </c>
      <c r="AL114" s="27">
        <v>4244000</v>
      </c>
      <c r="AM114" s="28">
        <v>4393000</v>
      </c>
      <c r="AN114" s="27">
        <v>3779000</v>
      </c>
      <c r="AO114" s="28">
        <v>3928000</v>
      </c>
      <c r="AP114" s="27">
        <v>4159000</v>
      </c>
      <c r="AQ114" s="28">
        <v>4308000</v>
      </c>
      <c r="AR114" s="27">
        <v>4255000</v>
      </c>
      <c r="AS114" s="28">
        <v>4404000</v>
      </c>
      <c r="AT114" s="27">
        <v>4159000</v>
      </c>
      <c r="AU114" s="28">
        <v>4308000</v>
      </c>
      <c r="AV114" s="27">
        <v>4190000</v>
      </c>
      <c r="AW114" s="28">
        <v>4339000</v>
      </c>
      <c r="AX114" s="27">
        <v>4166000</v>
      </c>
      <c r="AY114" s="28">
        <v>4315000</v>
      </c>
      <c r="AZ114" s="27">
        <v>4221000</v>
      </c>
      <c r="BA114" s="28">
        <v>4370000</v>
      </c>
      <c r="BB114" s="27">
        <v>3860000</v>
      </c>
      <c r="BC114" s="28">
        <v>4009000</v>
      </c>
      <c r="BD114" s="27">
        <v>3860000</v>
      </c>
      <c r="BE114" s="28">
        <v>4009000</v>
      </c>
      <c r="BF114" s="27">
        <v>3860000</v>
      </c>
      <c r="BG114" s="28">
        <v>4009000</v>
      </c>
      <c r="BH114" s="27">
        <v>3860000</v>
      </c>
      <c r="BI114" s="28">
        <v>4009000</v>
      </c>
      <c r="BJ114" s="27">
        <v>3854000</v>
      </c>
      <c r="BK114" s="28">
        <v>4003000</v>
      </c>
      <c r="BL114" s="27">
        <v>3895000</v>
      </c>
      <c r="BM114" s="28">
        <v>4044000</v>
      </c>
      <c r="BN114" s="27">
        <v>3895000</v>
      </c>
      <c r="BO114" s="28">
        <v>4044000</v>
      </c>
      <c r="BP114" s="27">
        <v>3887000</v>
      </c>
      <c r="BQ114" s="28">
        <v>4036000</v>
      </c>
      <c r="BR114" s="27">
        <v>3860000</v>
      </c>
      <c r="BS114" s="28">
        <v>4009000</v>
      </c>
      <c r="BT114" s="27">
        <v>3852000</v>
      </c>
      <c r="BU114" s="28">
        <v>4001000</v>
      </c>
      <c r="BV114" s="27">
        <v>3852000</v>
      </c>
      <c r="BW114" s="28">
        <v>4001000</v>
      </c>
      <c r="BX114" s="27">
        <v>3852000</v>
      </c>
      <c r="BY114" s="28">
        <v>4001000</v>
      </c>
      <c r="BZ114" s="27">
        <v>3844000</v>
      </c>
      <c r="CA114" s="28">
        <v>3993000</v>
      </c>
      <c r="CB114" s="27">
        <v>3802000</v>
      </c>
      <c r="CC114" s="28">
        <v>3951000</v>
      </c>
      <c r="CD114" s="27">
        <v>3802000</v>
      </c>
      <c r="CE114" s="28">
        <v>3951000</v>
      </c>
      <c r="CF114" s="27">
        <v>3844000</v>
      </c>
      <c r="CG114" s="28">
        <v>3993000</v>
      </c>
      <c r="CH114" s="27">
        <v>4093000</v>
      </c>
      <c r="CI114" s="28">
        <v>4242000</v>
      </c>
    </row>
    <row r="115" spans="1:87">
      <c r="A115" s="24"/>
      <c r="B115" s="25" t="s">
        <v>282</v>
      </c>
      <c r="C115" s="26">
        <v>380</v>
      </c>
      <c r="D115" s="26">
        <v>1200</v>
      </c>
      <c r="E115" s="26">
        <v>450</v>
      </c>
      <c r="F115" s="27">
        <v>6956000</v>
      </c>
      <c r="G115" s="28">
        <v>7179000</v>
      </c>
      <c r="H115" s="27">
        <v>5818000</v>
      </c>
      <c r="I115" s="28">
        <v>6041000</v>
      </c>
      <c r="J115" s="27">
        <v>8088000</v>
      </c>
      <c r="K115" s="28">
        <v>8311000</v>
      </c>
      <c r="L115" s="27">
        <v>7060000</v>
      </c>
      <c r="M115" s="28">
        <v>7283000</v>
      </c>
      <c r="N115" s="27">
        <v>9861000</v>
      </c>
      <c r="O115" s="28">
        <v>10084000</v>
      </c>
      <c r="P115" s="27">
        <v>5447000</v>
      </c>
      <c r="Q115" s="28">
        <v>5670000</v>
      </c>
      <c r="R115" s="27">
        <v>7540000</v>
      </c>
      <c r="S115" s="28">
        <v>7763000</v>
      </c>
      <c r="T115" s="29"/>
      <c r="U115" s="30"/>
      <c r="V115" s="27">
        <v>4724000</v>
      </c>
      <c r="W115" s="28">
        <v>4947000</v>
      </c>
      <c r="X115" s="27">
        <v>4515000</v>
      </c>
      <c r="Y115" s="28">
        <v>4738000</v>
      </c>
      <c r="Z115" s="27">
        <v>4971000</v>
      </c>
      <c r="AA115" s="28">
        <v>5194000</v>
      </c>
      <c r="AB115" s="27">
        <v>5070000</v>
      </c>
      <c r="AC115" s="28">
        <v>5293000</v>
      </c>
      <c r="AD115" s="27">
        <v>5100000</v>
      </c>
      <c r="AE115" s="28">
        <v>5323000</v>
      </c>
      <c r="AF115" s="27">
        <v>5281000</v>
      </c>
      <c r="AG115" s="28">
        <v>5504000</v>
      </c>
      <c r="AH115" s="27">
        <v>5281000</v>
      </c>
      <c r="AI115" s="28">
        <v>5504000</v>
      </c>
      <c r="AJ115" s="27">
        <v>5066000</v>
      </c>
      <c r="AK115" s="28">
        <v>5289000</v>
      </c>
      <c r="AL115" s="27">
        <v>5423000</v>
      </c>
      <c r="AM115" s="28">
        <v>5646000</v>
      </c>
      <c r="AN115" s="27">
        <v>4732000</v>
      </c>
      <c r="AO115" s="28">
        <v>4955000</v>
      </c>
      <c r="AP115" s="27">
        <v>5291000</v>
      </c>
      <c r="AQ115" s="28">
        <v>5514000</v>
      </c>
      <c r="AR115" s="27">
        <v>5435000</v>
      </c>
      <c r="AS115" s="28">
        <v>5658000</v>
      </c>
      <c r="AT115" s="27">
        <v>5291000</v>
      </c>
      <c r="AU115" s="28">
        <v>5514000</v>
      </c>
      <c r="AV115" s="27">
        <v>5341000</v>
      </c>
      <c r="AW115" s="28">
        <v>5564000</v>
      </c>
      <c r="AX115" s="27">
        <v>5304000</v>
      </c>
      <c r="AY115" s="28">
        <v>5527000</v>
      </c>
      <c r="AZ115" s="27">
        <v>5387000</v>
      </c>
      <c r="BA115" s="28">
        <v>5610000</v>
      </c>
      <c r="BB115" s="27">
        <v>4873000</v>
      </c>
      <c r="BC115" s="28">
        <v>5096000</v>
      </c>
      <c r="BD115" s="27">
        <v>4873000</v>
      </c>
      <c r="BE115" s="28">
        <v>5096000</v>
      </c>
      <c r="BF115" s="27">
        <v>4873000</v>
      </c>
      <c r="BG115" s="28">
        <v>5096000</v>
      </c>
      <c r="BH115" s="27">
        <v>4873000</v>
      </c>
      <c r="BI115" s="28">
        <v>5096000</v>
      </c>
      <c r="BJ115" s="27">
        <v>4863000</v>
      </c>
      <c r="BK115" s="28">
        <v>5086000</v>
      </c>
      <c r="BL115" s="27">
        <v>4925000</v>
      </c>
      <c r="BM115" s="28">
        <v>5148000</v>
      </c>
      <c r="BN115" s="27">
        <v>4925000</v>
      </c>
      <c r="BO115" s="28">
        <v>5148000</v>
      </c>
      <c r="BP115" s="27">
        <v>4912000</v>
      </c>
      <c r="BQ115" s="28">
        <v>5135000</v>
      </c>
      <c r="BR115" s="27">
        <v>4873000</v>
      </c>
      <c r="BS115" s="28">
        <v>5096000</v>
      </c>
      <c r="BT115" s="27">
        <v>4860000</v>
      </c>
      <c r="BU115" s="28">
        <v>5083000</v>
      </c>
      <c r="BV115" s="27">
        <v>4860000</v>
      </c>
      <c r="BW115" s="28">
        <v>5083000</v>
      </c>
      <c r="BX115" s="27">
        <v>4860000</v>
      </c>
      <c r="BY115" s="28">
        <v>5083000</v>
      </c>
      <c r="BZ115" s="27">
        <v>4801000</v>
      </c>
      <c r="CA115" s="28">
        <v>5024000</v>
      </c>
      <c r="CB115" s="27">
        <v>4738000</v>
      </c>
      <c r="CC115" s="28">
        <v>4961000</v>
      </c>
      <c r="CD115" s="27">
        <v>4738000</v>
      </c>
      <c r="CE115" s="28">
        <v>4961000</v>
      </c>
      <c r="CF115" s="27">
        <v>4801000</v>
      </c>
      <c r="CG115" s="28">
        <v>5024000</v>
      </c>
      <c r="CH115" s="27">
        <v>5186000</v>
      </c>
      <c r="CI115" s="28">
        <v>5409000</v>
      </c>
    </row>
    <row r="116" spans="1:87">
      <c r="A116" s="24"/>
      <c r="B116" s="25" t="s">
        <v>283</v>
      </c>
      <c r="C116" s="26">
        <v>380</v>
      </c>
      <c r="D116" s="26">
        <v>1200</v>
      </c>
      <c r="E116" s="26">
        <v>600</v>
      </c>
      <c r="F116" s="27">
        <v>8694000</v>
      </c>
      <c r="G116" s="28">
        <v>8992000</v>
      </c>
      <c r="H116" s="27">
        <v>7178000</v>
      </c>
      <c r="I116" s="28">
        <v>7476000</v>
      </c>
      <c r="J116" s="27">
        <v>10205000</v>
      </c>
      <c r="K116" s="28">
        <v>10503000</v>
      </c>
      <c r="L116" s="27">
        <v>8834000</v>
      </c>
      <c r="M116" s="28">
        <v>9132000</v>
      </c>
      <c r="N116" s="27">
        <v>12568000</v>
      </c>
      <c r="O116" s="28">
        <v>12866000</v>
      </c>
      <c r="P116" s="27">
        <v>6564000</v>
      </c>
      <c r="Q116" s="28">
        <v>6862000</v>
      </c>
      <c r="R116" s="27">
        <v>9703000</v>
      </c>
      <c r="S116" s="28">
        <v>10001000</v>
      </c>
      <c r="T116" s="29"/>
      <c r="U116" s="30"/>
      <c r="V116" s="27">
        <v>5708000</v>
      </c>
      <c r="W116" s="28">
        <v>6006000</v>
      </c>
      <c r="X116" s="27">
        <v>5429000</v>
      </c>
      <c r="Y116" s="28">
        <v>5727000</v>
      </c>
      <c r="Z116" s="27">
        <v>6024000</v>
      </c>
      <c r="AA116" s="28">
        <v>6322000</v>
      </c>
      <c r="AB116" s="27">
        <v>6149000</v>
      </c>
      <c r="AC116" s="28">
        <v>6447000</v>
      </c>
      <c r="AD116" s="27">
        <v>6180000</v>
      </c>
      <c r="AE116" s="28">
        <v>6478000</v>
      </c>
      <c r="AF116" s="27">
        <v>6413000</v>
      </c>
      <c r="AG116" s="28">
        <v>6711000</v>
      </c>
      <c r="AH116" s="27">
        <v>6413000</v>
      </c>
      <c r="AI116" s="28">
        <v>6711000</v>
      </c>
      <c r="AJ116" s="27">
        <v>6148000</v>
      </c>
      <c r="AK116" s="28">
        <v>6446000</v>
      </c>
      <c r="AL116" s="27">
        <v>6622000</v>
      </c>
      <c r="AM116" s="28">
        <v>6920000</v>
      </c>
      <c r="AN116" s="27">
        <v>5705000</v>
      </c>
      <c r="AO116" s="28">
        <v>6003000</v>
      </c>
      <c r="AP116" s="27">
        <v>6443000</v>
      </c>
      <c r="AQ116" s="28">
        <v>6741000</v>
      </c>
      <c r="AR116" s="27">
        <v>6634000</v>
      </c>
      <c r="AS116" s="28">
        <v>6932000</v>
      </c>
      <c r="AT116" s="27">
        <v>6443000</v>
      </c>
      <c r="AU116" s="28">
        <v>6741000</v>
      </c>
      <c r="AV116" s="27">
        <v>6512000</v>
      </c>
      <c r="AW116" s="28">
        <v>6810000</v>
      </c>
      <c r="AX116" s="27">
        <v>6463000</v>
      </c>
      <c r="AY116" s="28">
        <v>6761000</v>
      </c>
      <c r="AZ116" s="27">
        <v>6573000</v>
      </c>
      <c r="BA116" s="28">
        <v>6871000</v>
      </c>
      <c r="BB116" s="27">
        <v>5905000</v>
      </c>
      <c r="BC116" s="28">
        <v>6203000</v>
      </c>
      <c r="BD116" s="27">
        <v>5905000</v>
      </c>
      <c r="BE116" s="28">
        <v>6203000</v>
      </c>
      <c r="BF116" s="27">
        <v>5905000</v>
      </c>
      <c r="BG116" s="28">
        <v>6203000</v>
      </c>
      <c r="BH116" s="27">
        <v>5905000</v>
      </c>
      <c r="BI116" s="28">
        <v>6203000</v>
      </c>
      <c r="BJ116" s="27">
        <v>5892000</v>
      </c>
      <c r="BK116" s="28">
        <v>6190000</v>
      </c>
      <c r="BL116" s="27">
        <v>5975000</v>
      </c>
      <c r="BM116" s="28">
        <v>6273000</v>
      </c>
      <c r="BN116" s="27">
        <v>5975000</v>
      </c>
      <c r="BO116" s="28">
        <v>6273000</v>
      </c>
      <c r="BP116" s="27">
        <v>5957000</v>
      </c>
      <c r="BQ116" s="28">
        <v>6255000</v>
      </c>
      <c r="BR116" s="27">
        <v>5905000</v>
      </c>
      <c r="BS116" s="28">
        <v>6203000</v>
      </c>
      <c r="BT116" s="27">
        <v>5888000</v>
      </c>
      <c r="BU116" s="28">
        <v>6186000</v>
      </c>
      <c r="BV116" s="27">
        <v>5888000</v>
      </c>
      <c r="BW116" s="28">
        <v>6186000</v>
      </c>
      <c r="BX116" s="27">
        <v>5888000</v>
      </c>
      <c r="BY116" s="28">
        <v>6186000</v>
      </c>
      <c r="BZ116" s="27">
        <v>5778000</v>
      </c>
      <c r="CA116" s="28">
        <v>6076000</v>
      </c>
      <c r="CB116" s="27">
        <v>5694000</v>
      </c>
      <c r="CC116" s="28">
        <v>5992000</v>
      </c>
      <c r="CD116" s="27">
        <v>5694000</v>
      </c>
      <c r="CE116" s="28">
        <v>5992000</v>
      </c>
      <c r="CF116" s="27">
        <v>5778000</v>
      </c>
      <c r="CG116" s="28">
        <v>6076000</v>
      </c>
      <c r="CH116" s="27">
        <v>6300000</v>
      </c>
      <c r="CI116" s="28">
        <v>6598000</v>
      </c>
    </row>
    <row r="117" spans="1:87">
      <c r="A117" s="24"/>
      <c r="B117" s="25" t="s">
        <v>284</v>
      </c>
      <c r="C117" s="26">
        <v>380</v>
      </c>
      <c r="D117" s="26">
        <v>1200</v>
      </c>
      <c r="E117" s="26">
        <v>900</v>
      </c>
      <c r="F117" s="27">
        <v>12690000</v>
      </c>
      <c r="G117" s="28">
        <v>13136000</v>
      </c>
      <c r="H117" s="27">
        <v>10415000</v>
      </c>
      <c r="I117" s="28">
        <v>10861000</v>
      </c>
      <c r="J117" s="27">
        <v>14955000</v>
      </c>
      <c r="K117" s="28">
        <v>15401000</v>
      </c>
      <c r="L117" s="27">
        <v>12899000</v>
      </c>
      <c r="M117" s="28">
        <v>13345000</v>
      </c>
      <c r="N117" s="27">
        <v>18501000</v>
      </c>
      <c r="O117" s="28">
        <v>18947000</v>
      </c>
      <c r="P117" s="27">
        <v>9868000</v>
      </c>
      <c r="Q117" s="28">
        <v>10314000</v>
      </c>
      <c r="R117" s="27">
        <v>15100000</v>
      </c>
      <c r="S117" s="28">
        <v>15546000</v>
      </c>
      <c r="T117" s="29"/>
      <c r="U117" s="30"/>
      <c r="V117" s="27">
        <v>8227000</v>
      </c>
      <c r="W117" s="28">
        <v>8673000</v>
      </c>
      <c r="X117" s="27">
        <v>7808000</v>
      </c>
      <c r="Y117" s="28">
        <v>8254000</v>
      </c>
      <c r="Z117" s="27">
        <v>8721000</v>
      </c>
      <c r="AA117" s="28">
        <v>9167000</v>
      </c>
      <c r="AB117" s="27">
        <v>8918000</v>
      </c>
      <c r="AC117" s="28">
        <v>9364000</v>
      </c>
      <c r="AD117" s="27">
        <v>8979000</v>
      </c>
      <c r="AE117" s="28">
        <v>9425000</v>
      </c>
      <c r="AF117" s="27">
        <v>9341000</v>
      </c>
      <c r="AG117" s="28">
        <v>9787000</v>
      </c>
      <c r="AH117" s="27">
        <v>9341000</v>
      </c>
      <c r="AI117" s="28">
        <v>9787000</v>
      </c>
      <c r="AJ117" s="27">
        <v>8910000</v>
      </c>
      <c r="AK117" s="28">
        <v>9356000</v>
      </c>
      <c r="AL117" s="27">
        <v>9624000</v>
      </c>
      <c r="AM117" s="28">
        <v>10070000</v>
      </c>
      <c r="AN117" s="27">
        <v>8243000</v>
      </c>
      <c r="AO117" s="28">
        <v>8689000</v>
      </c>
      <c r="AP117" s="27">
        <v>9361000</v>
      </c>
      <c r="AQ117" s="28">
        <v>9807000</v>
      </c>
      <c r="AR117" s="27">
        <v>9648000</v>
      </c>
      <c r="AS117" s="28">
        <v>10094000</v>
      </c>
      <c r="AT117" s="27">
        <v>9361000</v>
      </c>
      <c r="AU117" s="28">
        <v>9807000</v>
      </c>
      <c r="AV117" s="27">
        <v>9460000</v>
      </c>
      <c r="AW117" s="28">
        <v>9906000</v>
      </c>
      <c r="AX117" s="27">
        <v>9387000</v>
      </c>
      <c r="AY117" s="28">
        <v>9833000</v>
      </c>
      <c r="AZ117" s="27">
        <v>9552000</v>
      </c>
      <c r="BA117" s="28">
        <v>9998000</v>
      </c>
      <c r="BB117" s="27">
        <v>8524000</v>
      </c>
      <c r="BC117" s="28">
        <v>8970000</v>
      </c>
      <c r="BD117" s="27">
        <v>8524000</v>
      </c>
      <c r="BE117" s="28">
        <v>8970000</v>
      </c>
      <c r="BF117" s="27">
        <v>8524000</v>
      </c>
      <c r="BG117" s="28">
        <v>8970000</v>
      </c>
      <c r="BH117" s="27">
        <v>8524000</v>
      </c>
      <c r="BI117" s="28">
        <v>8970000</v>
      </c>
      <c r="BJ117" s="27">
        <v>8505000</v>
      </c>
      <c r="BK117" s="28">
        <v>8951000</v>
      </c>
      <c r="BL117" s="27">
        <v>8629000</v>
      </c>
      <c r="BM117" s="28">
        <v>9075000</v>
      </c>
      <c r="BN117" s="27">
        <v>8629000</v>
      </c>
      <c r="BO117" s="28">
        <v>9075000</v>
      </c>
      <c r="BP117" s="27">
        <v>8602000</v>
      </c>
      <c r="BQ117" s="28">
        <v>9048000</v>
      </c>
      <c r="BR117" s="27">
        <v>8524000</v>
      </c>
      <c r="BS117" s="28">
        <v>8970000</v>
      </c>
      <c r="BT117" s="27">
        <v>8498000</v>
      </c>
      <c r="BU117" s="28">
        <v>8944000</v>
      </c>
      <c r="BV117" s="27">
        <v>8498000</v>
      </c>
      <c r="BW117" s="28">
        <v>8944000</v>
      </c>
      <c r="BX117" s="27">
        <v>8498000</v>
      </c>
      <c r="BY117" s="28">
        <v>8944000</v>
      </c>
      <c r="BZ117" s="27">
        <v>8380000</v>
      </c>
      <c r="CA117" s="28">
        <v>8826000</v>
      </c>
      <c r="CB117" s="27">
        <v>8255000</v>
      </c>
      <c r="CC117" s="28">
        <v>8701000</v>
      </c>
      <c r="CD117" s="27">
        <v>8255000</v>
      </c>
      <c r="CE117" s="28">
        <v>8701000</v>
      </c>
      <c r="CF117" s="27">
        <v>8380000</v>
      </c>
      <c r="CG117" s="28">
        <v>8826000</v>
      </c>
      <c r="CH117" s="27">
        <v>9151000</v>
      </c>
      <c r="CI117" s="28">
        <v>9597000</v>
      </c>
    </row>
    <row r="118" spans="1:87" ht="63" customHeight="1">
      <c r="A118" s="16" t="e">
        <f ca="1">_xludf.image("https://lh3.google.com/u/0/d/1fmsIOezRs03YJHHKYeVNa4idRgW1J1DP",1)</f>
        <v>#NAME?</v>
      </c>
      <c r="B118" s="17" t="s">
        <v>285</v>
      </c>
      <c r="C118" s="147"/>
      <c r="D118" s="145"/>
      <c r="E118" s="146"/>
      <c r="F118" s="63"/>
      <c r="G118" s="64"/>
      <c r="H118" s="63"/>
      <c r="I118" s="64"/>
      <c r="J118" s="63"/>
      <c r="K118" s="64"/>
      <c r="L118" s="63"/>
      <c r="M118" s="64"/>
      <c r="N118" s="63"/>
      <c r="O118" s="64"/>
      <c r="P118" s="63"/>
      <c r="Q118" s="64"/>
      <c r="R118" s="63"/>
      <c r="S118" s="64"/>
      <c r="T118" s="63"/>
      <c r="U118" s="64"/>
      <c r="V118" s="63"/>
      <c r="W118" s="64"/>
      <c r="X118" s="63"/>
      <c r="Y118" s="64"/>
      <c r="Z118" s="63"/>
      <c r="AA118" s="64"/>
      <c r="AB118" s="63"/>
      <c r="AC118" s="64"/>
      <c r="AD118" s="63"/>
      <c r="AE118" s="64"/>
      <c r="AF118" s="63"/>
      <c r="AG118" s="64"/>
      <c r="AH118" s="63"/>
      <c r="AI118" s="64"/>
      <c r="AJ118" s="63"/>
      <c r="AK118" s="64"/>
      <c r="AL118" s="63"/>
      <c r="AM118" s="64"/>
      <c r="AN118" s="63"/>
      <c r="AO118" s="64"/>
      <c r="AP118" s="63"/>
      <c r="AQ118" s="64"/>
      <c r="AR118" s="63"/>
      <c r="AS118" s="64"/>
      <c r="AT118" s="63"/>
      <c r="AU118" s="64"/>
      <c r="AV118" s="63"/>
      <c r="AW118" s="64"/>
      <c r="AX118" s="63"/>
      <c r="AY118" s="64"/>
      <c r="AZ118" s="63"/>
      <c r="BA118" s="64"/>
      <c r="BB118" s="63"/>
      <c r="BC118" s="64"/>
      <c r="BD118" s="63"/>
      <c r="BE118" s="64"/>
      <c r="BF118" s="63"/>
      <c r="BG118" s="64"/>
      <c r="BH118" s="63"/>
      <c r="BI118" s="64"/>
      <c r="BJ118" s="63"/>
      <c r="BK118" s="64"/>
      <c r="BL118" s="63"/>
      <c r="BM118" s="64"/>
      <c r="BN118" s="63"/>
      <c r="BO118" s="64"/>
      <c r="BP118" s="63"/>
      <c r="BQ118" s="64"/>
      <c r="BR118" s="63"/>
      <c r="BS118" s="64"/>
      <c r="BT118" s="63"/>
      <c r="BU118" s="64"/>
      <c r="BV118" s="63"/>
      <c r="BW118" s="64"/>
      <c r="BX118" s="63"/>
      <c r="BY118" s="64"/>
      <c r="BZ118" s="63"/>
      <c r="CA118" s="64"/>
      <c r="CB118" s="63"/>
      <c r="CC118" s="64"/>
      <c r="CD118" s="63"/>
      <c r="CE118" s="64"/>
      <c r="CF118" s="63"/>
      <c r="CG118" s="64"/>
      <c r="CH118" s="63"/>
      <c r="CI118" s="64"/>
    </row>
    <row r="119" spans="1:87" ht="25.5">
      <c r="A119" s="20"/>
      <c r="B119" s="21" t="s">
        <v>286</v>
      </c>
      <c r="C119" s="65"/>
      <c r="D119" s="65"/>
      <c r="E119" s="66"/>
      <c r="F119" s="22"/>
      <c r="G119" s="23"/>
      <c r="H119" s="22"/>
      <c r="I119" s="23"/>
      <c r="J119" s="22"/>
      <c r="K119" s="23"/>
      <c r="L119" s="22"/>
      <c r="M119" s="23"/>
      <c r="N119" s="22"/>
      <c r="O119" s="23"/>
      <c r="P119" s="22"/>
      <c r="Q119" s="23"/>
      <c r="R119" s="22"/>
      <c r="S119" s="23"/>
      <c r="T119" s="22"/>
      <c r="U119" s="23"/>
      <c r="V119" s="22"/>
      <c r="W119" s="23"/>
      <c r="X119" s="22"/>
      <c r="Y119" s="23"/>
      <c r="Z119" s="22"/>
      <c r="AA119" s="23"/>
      <c r="AB119" s="22"/>
      <c r="AC119" s="23"/>
      <c r="AD119" s="22"/>
      <c r="AE119" s="23"/>
      <c r="AF119" s="22"/>
      <c r="AG119" s="23"/>
      <c r="AH119" s="22"/>
      <c r="AI119" s="23"/>
      <c r="AJ119" s="22"/>
      <c r="AK119" s="23"/>
      <c r="AL119" s="22"/>
      <c r="AM119" s="23"/>
      <c r="AN119" s="22"/>
      <c r="AO119" s="23"/>
      <c r="AP119" s="22"/>
      <c r="AQ119" s="23"/>
      <c r="AR119" s="22"/>
      <c r="AS119" s="23"/>
      <c r="AT119" s="22"/>
      <c r="AU119" s="23"/>
      <c r="AV119" s="22"/>
      <c r="AW119" s="23"/>
      <c r="AX119" s="22"/>
      <c r="AY119" s="23"/>
      <c r="AZ119" s="22"/>
      <c r="BA119" s="23"/>
      <c r="BB119" s="22"/>
      <c r="BC119" s="23"/>
      <c r="BD119" s="22"/>
      <c r="BE119" s="23"/>
      <c r="BF119" s="22"/>
      <c r="BG119" s="23"/>
      <c r="BH119" s="22"/>
      <c r="BI119" s="23"/>
      <c r="BJ119" s="22"/>
      <c r="BK119" s="23"/>
      <c r="BL119" s="22"/>
      <c r="BM119" s="23"/>
      <c r="BN119" s="22"/>
      <c r="BO119" s="23"/>
      <c r="BP119" s="22"/>
      <c r="BQ119" s="23"/>
      <c r="BR119" s="22"/>
      <c r="BS119" s="23"/>
      <c r="BT119" s="22"/>
      <c r="BU119" s="23"/>
      <c r="BV119" s="22"/>
      <c r="BW119" s="23"/>
      <c r="BX119" s="22"/>
      <c r="BY119" s="23"/>
      <c r="BZ119" s="22"/>
      <c r="CA119" s="23"/>
      <c r="CB119" s="22"/>
      <c r="CC119" s="23"/>
      <c r="CD119" s="22"/>
      <c r="CE119" s="23"/>
      <c r="CF119" s="22"/>
      <c r="CG119" s="23"/>
      <c r="CH119" s="22"/>
      <c r="CI119" s="23"/>
    </row>
    <row r="120" spans="1:87">
      <c r="A120" s="24"/>
      <c r="B120" s="25" t="s">
        <v>287</v>
      </c>
      <c r="C120" s="26">
        <v>380</v>
      </c>
      <c r="D120" s="26">
        <v>1500</v>
      </c>
      <c r="E120" s="26">
        <v>450</v>
      </c>
      <c r="F120" s="27">
        <v>8918000</v>
      </c>
      <c r="G120" s="30"/>
      <c r="H120" s="27">
        <v>7496000</v>
      </c>
      <c r="I120" s="30"/>
      <c r="J120" s="27">
        <v>10333000</v>
      </c>
      <c r="K120" s="30"/>
      <c r="L120" s="27">
        <v>9048000</v>
      </c>
      <c r="M120" s="30"/>
      <c r="N120" s="27">
        <v>12549000</v>
      </c>
      <c r="O120" s="30"/>
      <c r="P120" s="27">
        <v>6968000</v>
      </c>
      <c r="Q120" s="30"/>
      <c r="R120" s="27">
        <v>9659000</v>
      </c>
      <c r="S120" s="30"/>
      <c r="T120" s="29"/>
      <c r="U120" s="30"/>
      <c r="V120" s="27">
        <v>6138000</v>
      </c>
      <c r="W120" s="30"/>
      <c r="X120" s="27">
        <v>5875000</v>
      </c>
      <c r="Y120" s="30"/>
      <c r="Z120" s="27">
        <v>6458000</v>
      </c>
      <c r="AA120" s="30"/>
      <c r="AB120" s="27">
        <v>6586000</v>
      </c>
      <c r="AC120" s="30"/>
      <c r="AD120" s="27">
        <v>6632000</v>
      </c>
      <c r="AE120" s="30"/>
      <c r="AF120" s="27">
        <v>6865000</v>
      </c>
      <c r="AG120" s="30"/>
      <c r="AH120" s="27">
        <v>6865000</v>
      </c>
      <c r="AI120" s="30"/>
      <c r="AJ120" s="27">
        <v>6578000</v>
      </c>
      <c r="AK120" s="30"/>
      <c r="AL120" s="27">
        <v>7026000</v>
      </c>
      <c r="AM120" s="30"/>
      <c r="AN120" s="27">
        <v>6158000</v>
      </c>
      <c r="AO120" s="30"/>
      <c r="AP120" s="27">
        <v>6864000</v>
      </c>
      <c r="AQ120" s="30"/>
      <c r="AR120" s="27">
        <v>7044000</v>
      </c>
      <c r="AS120" s="30"/>
      <c r="AT120" s="27">
        <v>6864000</v>
      </c>
      <c r="AU120" s="30"/>
      <c r="AV120" s="27">
        <v>6924000</v>
      </c>
      <c r="AW120" s="30"/>
      <c r="AX120" s="27">
        <v>6878000</v>
      </c>
      <c r="AY120" s="30"/>
      <c r="AZ120" s="27">
        <v>6981000</v>
      </c>
      <c r="BA120" s="30"/>
      <c r="BB120" s="27">
        <v>6324000</v>
      </c>
      <c r="BC120" s="30"/>
      <c r="BD120" s="27">
        <v>6324000</v>
      </c>
      <c r="BE120" s="30"/>
      <c r="BF120" s="27">
        <v>6324000</v>
      </c>
      <c r="BG120" s="30"/>
      <c r="BH120" s="27">
        <v>6324000</v>
      </c>
      <c r="BI120" s="30"/>
      <c r="BJ120" s="27">
        <v>6312000</v>
      </c>
      <c r="BK120" s="30"/>
      <c r="BL120" s="27">
        <v>6389000</v>
      </c>
      <c r="BM120" s="30"/>
      <c r="BN120" s="27">
        <v>6389000</v>
      </c>
      <c r="BO120" s="30"/>
      <c r="BP120" s="27">
        <v>6373000</v>
      </c>
      <c r="BQ120" s="30"/>
      <c r="BR120" s="27">
        <v>6324000</v>
      </c>
      <c r="BS120" s="30"/>
      <c r="BT120" s="27">
        <v>6308000</v>
      </c>
      <c r="BU120" s="30"/>
      <c r="BV120" s="27">
        <v>6308000</v>
      </c>
      <c r="BW120" s="30"/>
      <c r="BX120" s="27">
        <v>6308000</v>
      </c>
      <c r="BY120" s="30"/>
      <c r="BZ120" s="27">
        <v>6261000</v>
      </c>
      <c r="CA120" s="30"/>
      <c r="CB120" s="27">
        <v>6182000</v>
      </c>
      <c r="CC120" s="30"/>
      <c r="CD120" s="27">
        <v>6182000</v>
      </c>
      <c r="CE120" s="30"/>
      <c r="CF120" s="27">
        <v>6261000</v>
      </c>
      <c r="CG120" s="30"/>
      <c r="CH120" s="27">
        <v>6736000</v>
      </c>
      <c r="CI120" s="30"/>
    </row>
    <row r="121" spans="1:87">
      <c r="A121" s="24"/>
      <c r="B121" s="25" t="s">
        <v>288</v>
      </c>
      <c r="C121" s="26">
        <v>380</v>
      </c>
      <c r="D121" s="26">
        <v>1500</v>
      </c>
      <c r="E121" s="26">
        <v>600</v>
      </c>
      <c r="F121" s="27">
        <v>10805000</v>
      </c>
      <c r="G121" s="30"/>
      <c r="H121" s="27">
        <v>8909000</v>
      </c>
      <c r="I121" s="30"/>
      <c r="J121" s="27">
        <v>12693000</v>
      </c>
      <c r="K121" s="30"/>
      <c r="L121" s="27">
        <v>10979000</v>
      </c>
      <c r="M121" s="30"/>
      <c r="N121" s="27">
        <v>15647000</v>
      </c>
      <c r="O121" s="30"/>
      <c r="P121" s="27">
        <v>8060000</v>
      </c>
      <c r="Q121" s="30"/>
      <c r="R121" s="27">
        <v>12096000</v>
      </c>
      <c r="S121" s="30"/>
      <c r="T121" s="29"/>
      <c r="U121" s="30"/>
      <c r="V121" s="27">
        <v>7085000</v>
      </c>
      <c r="W121" s="30"/>
      <c r="X121" s="27">
        <v>6735000</v>
      </c>
      <c r="Y121" s="30"/>
      <c r="Z121" s="27">
        <v>7494000</v>
      </c>
      <c r="AA121" s="30"/>
      <c r="AB121" s="27">
        <v>7658000</v>
      </c>
      <c r="AC121" s="30"/>
      <c r="AD121" s="27">
        <v>7708000</v>
      </c>
      <c r="AE121" s="30"/>
      <c r="AF121" s="27">
        <v>8008000</v>
      </c>
      <c r="AG121" s="30"/>
      <c r="AH121" s="27">
        <v>8008000</v>
      </c>
      <c r="AI121" s="30"/>
      <c r="AJ121" s="27">
        <v>7652000</v>
      </c>
      <c r="AK121" s="30"/>
      <c r="AL121" s="27">
        <v>8247000</v>
      </c>
      <c r="AM121" s="30"/>
      <c r="AN121" s="27">
        <v>7096000</v>
      </c>
      <c r="AO121" s="30"/>
      <c r="AP121" s="27">
        <v>8027000</v>
      </c>
      <c r="AQ121" s="30"/>
      <c r="AR121" s="27">
        <v>8266000</v>
      </c>
      <c r="AS121" s="30"/>
      <c r="AT121" s="27">
        <v>8027000</v>
      </c>
      <c r="AU121" s="30"/>
      <c r="AV121" s="27">
        <v>8110000</v>
      </c>
      <c r="AW121" s="30"/>
      <c r="AX121" s="27">
        <v>8049000</v>
      </c>
      <c r="AY121" s="30"/>
      <c r="AZ121" s="27">
        <v>8186000</v>
      </c>
      <c r="BA121" s="30"/>
      <c r="BB121" s="27">
        <v>7332000</v>
      </c>
      <c r="BC121" s="30"/>
      <c r="BD121" s="27">
        <v>7332000</v>
      </c>
      <c r="BE121" s="30"/>
      <c r="BF121" s="27">
        <v>7332000</v>
      </c>
      <c r="BG121" s="30"/>
      <c r="BH121" s="27">
        <v>7332000</v>
      </c>
      <c r="BI121" s="30"/>
      <c r="BJ121" s="27">
        <v>7316000</v>
      </c>
      <c r="BK121" s="30"/>
      <c r="BL121" s="27">
        <v>7419000</v>
      </c>
      <c r="BM121" s="30"/>
      <c r="BN121" s="27">
        <v>7419000</v>
      </c>
      <c r="BO121" s="30"/>
      <c r="BP121" s="27">
        <v>7397000</v>
      </c>
      <c r="BQ121" s="30"/>
      <c r="BR121" s="27">
        <v>7332000</v>
      </c>
      <c r="BS121" s="30"/>
      <c r="BT121" s="27">
        <v>7310000</v>
      </c>
      <c r="BU121" s="30"/>
      <c r="BV121" s="27">
        <v>7310000</v>
      </c>
      <c r="BW121" s="30"/>
      <c r="BX121" s="27">
        <v>7310000</v>
      </c>
      <c r="BY121" s="30"/>
      <c r="BZ121" s="27">
        <v>7208000</v>
      </c>
      <c r="CA121" s="30"/>
      <c r="CB121" s="27">
        <v>7104000</v>
      </c>
      <c r="CC121" s="30"/>
      <c r="CD121" s="27">
        <v>7104000</v>
      </c>
      <c r="CE121" s="30"/>
      <c r="CF121" s="27">
        <v>7208000</v>
      </c>
      <c r="CG121" s="30"/>
      <c r="CH121" s="27">
        <v>7852000</v>
      </c>
      <c r="CI121" s="30"/>
    </row>
    <row r="122" spans="1:87">
      <c r="A122" s="24"/>
      <c r="B122" s="25" t="s">
        <v>289</v>
      </c>
      <c r="C122" s="26">
        <v>380</v>
      </c>
      <c r="D122" s="26">
        <v>1500</v>
      </c>
      <c r="E122" s="26">
        <v>900</v>
      </c>
      <c r="F122" s="27">
        <v>14604000</v>
      </c>
      <c r="G122" s="30"/>
      <c r="H122" s="27">
        <v>11760000</v>
      </c>
      <c r="I122" s="30"/>
      <c r="J122" s="27">
        <v>17435000</v>
      </c>
      <c r="K122" s="30"/>
      <c r="L122" s="27">
        <v>14865000</v>
      </c>
      <c r="M122" s="30"/>
      <c r="N122" s="27">
        <v>21867000</v>
      </c>
      <c r="O122" s="30"/>
      <c r="P122" s="27">
        <v>10955000</v>
      </c>
      <c r="Q122" s="30"/>
      <c r="R122" s="27">
        <v>17682000</v>
      </c>
      <c r="S122" s="30"/>
      <c r="T122" s="29"/>
      <c r="U122" s="30"/>
      <c r="V122" s="27">
        <v>9044000</v>
      </c>
      <c r="W122" s="30"/>
      <c r="X122" s="27">
        <v>8519000</v>
      </c>
      <c r="Y122" s="30"/>
      <c r="Z122" s="27">
        <v>9684000</v>
      </c>
      <c r="AA122" s="30"/>
      <c r="AB122" s="27">
        <v>9941000</v>
      </c>
      <c r="AC122" s="30"/>
      <c r="AD122" s="27">
        <v>10032000</v>
      </c>
      <c r="AE122" s="30"/>
      <c r="AF122" s="27">
        <v>10498000</v>
      </c>
      <c r="AG122" s="30"/>
      <c r="AH122" s="27">
        <v>10498000</v>
      </c>
      <c r="AI122" s="30"/>
      <c r="AJ122" s="27">
        <v>9924000</v>
      </c>
      <c r="AK122" s="30"/>
      <c r="AL122" s="27">
        <v>10821000</v>
      </c>
      <c r="AM122" s="30"/>
      <c r="AN122" s="27">
        <v>9085000</v>
      </c>
      <c r="AO122" s="30"/>
      <c r="AP122" s="27">
        <v>10496000</v>
      </c>
      <c r="AQ122" s="30"/>
      <c r="AR122" s="27">
        <v>10856000</v>
      </c>
      <c r="AS122" s="30"/>
      <c r="AT122" s="27">
        <v>10496000</v>
      </c>
      <c r="AU122" s="30"/>
      <c r="AV122" s="27">
        <v>10617000</v>
      </c>
      <c r="AW122" s="30"/>
      <c r="AX122" s="27">
        <v>10525000</v>
      </c>
      <c r="AY122" s="30"/>
      <c r="AZ122" s="27">
        <v>10731000</v>
      </c>
      <c r="BA122" s="30"/>
      <c r="BB122" s="27">
        <v>9417000</v>
      </c>
      <c r="BC122" s="30"/>
      <c r="BD122" s="27">
        <v>9417000</v>
      </c>
      <c r="BE122" s="30"/>
      <c r="BF122" s="27">
        <v>9417000</v>
      </c>
      <c r="BG122" s="30"/>
      <c r="BH122" s="27">
        <v>9417000</v>
      </c>
      <c r="BI122" s="30"/>
      <c r="BJ122" s="27">
        <v>9392000</v>
      </c>
      <c r="BK122" s="30"/>
      <c r="BL122" s="27">
        <v>9547000</v>
      </c>
      <c r="BM122" s="30"/>
      <c r="BN122" s="27">
        <v>9547000</v>
      </c>
      <c r="BO122" s="30"/>
      <c r="BP122" s="27">
        <v>9514000</v>
      </c>
      <c r="BQ122" s="30"/>
      <c r="BR122" s="27">
        <v>9417000</v>
      </c>
      <c r="BS122" s="30"/>
      <c r="BT122" s="27">
        <v>9384000</v>
      </c>
      <c r="BU122" s="30"/>
      <c r="BV122" s="27">
        <v>9384000</v>
      </c>
      <c r="BW122" s="30"/>
      <c r="BX122" s="27">
        <v>9384000</v>
      </c>
      <c r="BY122" s="30"/>
      <c r="BZ122" s="27">
        <v>9290000</v>
      </c>
      <c r="CA122" s="30"/>
      <c r="CB122" s="27">
        <v>9133000</v>
      </c>
      <c r="CC122" s="30"/>
      <c r="CD122" s="27">
        <v>9133000</v>
      </c>
      <c r="CE122" s="30"/>
      <c r="CF122" s="27">
        <v>9290000</v>
      </c>
      <c r="CG122" s="30"/>
      <c r="CH122" s="27">
        <v>10240000</v>
      </c>
      <c r="CI122" s="30"/>
    </row>
    <row r="123" spans="1:87">
      <c r="A123" s="24"/>
      <c r="B123" s="25" t="s">
        <v>290</v>
      </c>
      <c r="C123" s="26">
        <v>380</v>
      </c>
      <c r="D123" s="26">
        <v>1500</v>
      </c>
      <c r="E123" s="26">
        <v>450</v>
      </c>
      <c r="F123" s="27">
        <v>9790000</v>
      </c>
      <c r="G123" s="30"/>
      <c r="H123" s="27">
        <v>8368000</v>
      </c>
      <c r="I123" s="30"/>
      <c r="J123" s="27">
        <v>11205000</v>
      </c>
      <c r="K123" s="30"/>
      <c r="L123" s="27">
        <v>9920000</v>
      </c>
      <c r="M123" s="30"/>
      <c r="N123" s="27">
        <v>13421000</v>
      </c>
      <c r="O123" s="30"/>
      <c r="P123" s="27">
        <v>7840000</v>
      </c>
      <c r="Q123" s="30"/>
      <c r="R123" s="27">
        <v>10531000</v>
      </c>
      <c r="S123" s="30"/>
      <c r="T123" s="29"/>
      <c r="U123" s="30"/>
      <c r="V123" s="27">
        <v>7010000</v>
      </c>
      <c r="W123" s="30"/>
      <c r="X123" s="27">
        <v>6747000</v>
      </c>
      <c r="Y123" s="30"/>
      <c r="Z123" s="27">
        <v>7330000</v>
      </c>
      <c r="AA123" s="30"/>
      <c r="AB123" s="27">
        <v>7458000</v>
      </c>
      <c r="AC123" s="30"/>
      <c r="AD123" s="27">
        <v>7504000</v>
      </c>
      <c r="AE123" s="30"/>
      <c r="AF123" s="27">
        <v>7737000</v>
      </c>
      <c r="AG123" s="30"/>
      <c r="AH123" s="27">
        <v>7737000</v>
      </c>
      <c r="AI123" s="30"/>
      <c r="AJ123" s="27">
        <v>7450000</v>
      </c>
      <c r="AK123" s="30"/>
      <c r="AL123" s="27">
        <v>7898000</v>
      </c>
      <c r="AM123" s="30"/>
      <c r="AN123" s="27">
        <v>7030000</v>
      </c>
      <c r="AO123" s="30"/>
      <c r="AP123" s="27">
        <v>7736000</v>
      </c>
      <c r="AQ123" s="30"/>
      <c r="AR123" s="27">
        <v>7916000</v>
      </c>
      <c r="AS123" s="30"/>
      <c r="AT123" s="27">
        <v>7736000</v>
      </c>
      <c r="AU123" s="30"/>
      <c r="AV123" s="27">
        <v>7796000</v>
      </c>
      <c r="AW123" s="30"/>
      <c r="AX123" s="27">
        <v>7750000</v>
      </c>
      <c r="AY123" s="30"/>
      <c r="AZ123" s="27">
        <v>7853000</v>
      </c>
      <c r="BA123" s="30"/>
      <c r="BB123" s="27">
        <v>7196000</v>
      </c>
      <c r="BC123" s="30"/>
      <c r="BD123" s="27">
        <v>7196000</v>
      </c>
      <c r="BE123" s="30"/>
      <c r="BF123" s="27">
        <v>7196000</v>
      </c>
      <c r="BG123" s="30"/>
      <c r="BH123" s="27">
        <v>7196000</v>
      </c>
      <c r="BI123" s="30"/>
      <c r="BJ123" s="27">
        <v>7184000</v>
      </c>
      <c r="BK123" s="30"/>
      <c r="BL123" s="27">
        <v>7261000</v>
      </c>
      <c r="BM123" s="30"/>
      <c r="BN123" s="27">
        <v>7261000</v>
      </c>
      <c r="BO123" s="30"/>
      <c r="BP123" s="27">
        <v>7245000</v>
      </c>
      <c r="BQ123" s="30"/>
      <c r="BR123" s="27">
        <v>7196000</v>
      </c>
      <c r="BS123" s="30"/>
      <c r="BT123" s="27">
        <v>7180000</v>
      </c>
      <c r="BU123" s="30"/>
      <c r="BV123" s="27">
        <v>7180000</v>
      </c>
      <c r="BW123" s="30"/>
      <c r="BX123" s="27">
        <v>7180000</v>
      </c>
      <c r="BY123" s="30"/>
      <c r="BZ123" s="27">
        <v>7133000</v>
      </c>
      <c r="CA123" s="30"/>
      <c r="CB123" s="27">
        <v>7054000</v>
      </c>
      <c r="CC123" s="30"/>
      <c r="CD123" s="27">
        <v>7054000</v>
      </c>
      <c r="CE123" s="30"/>
      <c r="CF123" s="27">
        <v>7133000</v>
      </c>
      <c r="CG123" s="30"/>
      <c r="CH123" s="27">
        <v>7608000</v>
      </c>
      <c r="CI123" s="30"/>
    </row>
    <row r="124" spans="1:87">
      <c r="A124" s="24"/>
      <c r="B124" s="25" t="s">
        <v>291</v>
      </c>
      <c r="C124" s="26">
        <v>380</v>
      </c>
      <c r="D124" s="26">
        <v>1500</v>
      </c>
      <c r="E124" s="26">
        <v>600</v>
      </c>
      <c r="F124" s="27">
        <v>11987000</v>
      </c>
      <c r="G124" s="30"/>
      <c r="H124" s="27">
        <v>10091000</v>
      </c>
      <c r="I124" s="30"/>
      <c r="J124" s="27">
        <v>13875000</v>
      </c>
      <c r="K124" s="30"/>
      <c r="L124" s="27">
        <v>12161000</v>
      </c>
      <c r="M124" s="30"/>
      <c r="N124" s="27">
        <v>16829000</v>
      </c>
      <c r="O124" s="30"/>
      <c r="P124" s="27">
        <v>9242000</v>
      </c>
      <c r="Q124" s="30"/>
      <c r="R124" s="27">
        <v>13278000</v>
      </c>
      <c r="S124" s="30"/>
      <c r="T124" s="29"/>
      <c r="U124" s="30"/>
      <c r="V124" s="27">
        <v>8267000</v>
      </c>
      <c r="W124" s="30"/>
      <c r="X124" s="27">
        <v>7917000</v>
      </c>
      <c r="Y124" s="30"/>
      <c r="Z124" s="27">
        <v>8676000</v>
      </c>
      <c r="AA124" s="30"/>
      <c r="AB124" s="27">
        <v>8840000</v>
      </c>
      <c r="AC124" s="30"/>
      <c r="AD124" s="27">
        <v>8890000</v>
      </c>
      <c r="AE124" s="30"/>
      <c r="AF124" s="27">
        <v>9190000</v>
      </c>
      <c r="AG124" s="30"/>
      <c r="AH124" s="27">
        <v>9190000</v>
      </c>
      <c r="AI124" s="30"/>
      <c r="AJ124" s="27">
        <v>8834000</v>
      </c>
      <c r="AK124" s="30"/>
      <c r="AL124" s="27">
        <v>9429000</v>
      </c>
      <c r="AM124" s="30"/>
      <c r="AN124" s="27">
        <v>8278000</v>
      </c>
      <c r="AO124" s="30"/>
      <c r="AP124" s="27">
        <v>9209000</v>
      </c>
      <c r="AQ124" s="30"/>
      <c r="AR124" s="27">
        <v>9448000</v>
      </c>
      <c r="AS124" s="30"/>
      <c r="AT124" s="27">
        <v>9209000</v>
      </c>
      <c r="AU124" s="30"/>
      <c r="AV124" s="27">
        <v>9292000</v>
      </c>
      <c r="AW124" s="30"/>
      <c r="AX124" s="27">
        <v>9231000</v>
      </c>
      <c r="AY124" s="30"/>
      <c r="AZ124" s="27">
        <v>9368000</v>
      </c>
      <c r="BA124" s="30"/>
      <c r="BB124" s="27">
        <v>8514000</v>
      </c>
      <c r="BC124" s="30"/>
      <c r="BD124" s="27">
        <v>8514000</v>
      </c>
      <c r="BE124" s="30"/>
      <c r="BF124" s="27">
        <v>8514000</v>
      </c>
      <c r="BG124" s="30"/>
      <c r="BH124" s="27">
        <v>8514000</v>
      </c>
      <c r="BI124" s="30"/>
      <c r="BJ124" s="27">
        <v>8498000</v>
      </c>
      <c r="BK124" s="30"/>
      <c r="BL124" s="27">
        <v>8601000</v>
      </c>
      <c r="BM124" s="30"/>
      <c r="BN124" s="27">
        <v>8601000</v>
      </c>
      <c r="BO124" s="30"/>
      <c r="BP124" s="27">
        <v>8579000</v>
      </c>
      <c r="BQ124" s="30"/>
      <c r="BR124" s="27">
        <v>8514000</v>
      </c>
      <c r="BS124" s="30"/>
      <c r="BT124" s="27">
        <v>8492000</v>
      </c>
      <c r="BU124" s="30"/>
      <c r="BV124" s="27">
        <v>8492000</v>
      </c>
      <c r="BW124" s="30"/>
      <c r="BX124" s="27">
        <v>8492000</v>
      </c>
      <c r="BY124" s="30"/>
      <c r="BZ124" s="27">
        <v>8390000</v>
      </c>
      <c r="CA124" s="30"/>
      <c r="CB124" s="27">
        <v>8286000</v>
      </c>
      <c r="CC124" s="30"/>
      <c r="CD124" s="27">
        <v>8286000</v>
      </c>
      <c r="CE124" s="30"/>
      <c r="CF124" s="27">
        <v>8390000</v>
      </c>
      <c r="CG124" s="30"/>
      <c r="CH124" s="27">
        <v>9034000</v>
      </c>
      <c r="CI124" s="30"/>
    </row>
    <row r="125" spans="1:87">
      <c r="A125" s="24"/>
      <c r="B125" s="25" t="s">
        <v>292</v>
      </c>
      <c r="C125" s="26">
        <v>380</v>
      </c>
      <c r="D125" s="26">
        <v>1500</v>
      </c>
      <c r="E125" s="26">
        <v>900</v>
      </c>
      <c r="F125" s="27">
        <v>16410000</v>
      </c>
      <c r="G125" s="30"/>
      <c r="H125" s="27">
        <v>13566000</v>
      </c>
      <c r="I125" s="30"/>
      <c r="J125" s="27">
        <v>19241000</v>
      </c>
      <c r="K125" s="30"/>
      <c r="L125" s="27">
        <v>16671000</v>
      </c>
      <c r="M125" s="30"/>
      <c r="N125" s="27">
        <v>23673000</v>
      </c>
      <c r="O125" s="30"/>
      <c r="P125" s="27">
        <v>12761000</v>
      </c>
      <c r="Q125" s="30"/>
      <c r="R125" s="27">
        <v>19488000</v>
      </c>
      <c r="S125" s="30"/>
      <c r="T125" s="29"/>
      <c r="U125" s="30"/>
      <c r="V125" s="27">
        <v>10850000</v>
      </c>
      <c r="W125" s="30"/>
      <c r="X125" s="27">
        <v>10325000</v>
      </c>
      <c r="Y125" s="30"/>
      <c r="Z125" s="27">
        <v>11490000</v>
      </c>
      <c r="AA125" s="30"/>
      <c r="AB125" s="27">
        <v>11747000</v>
      </c>
      <c r="AC125" s="30"/>
      <c r="AD125" s="27">
        <v>11838000</v>
      </c>
      <c r="AE125" s="30"/>
      <c r="AF125" s="27">
        <v>12304000</v>
      </c>
      <c r="AG125" s="30"/>
      <c r="AH125" s="27">
        <v>12304000</v>
      </c>
      <c r="AI125" s="30"/>
      <c r="AJ125" s="27">
        <v>11730000</v>
      </c>
      <c r="AK125" s="30"/>
      <c r="AL125" s="27">
        <v>12627000</v>
      </c>
      <c r="AM125" s="30"/>
      <c r="AN125" s="27">
        <v>10891000</v>
      </c>
      <c r="AO125" s="30"/>
      <c r="AP125" s="27">
        <v>12302000</v>
      </c>
      <c r="AQ125" s="30"/>
      <c r="AR125" s="27">
        <v>12662000</v>
      </c>
      <c r="AS125" s="30"/>
      <c r="AT125" s="27">
        <v>12302000</v>
      </c>
      <c r="AU125" s="30"/>
      <c r="AV125" s="27">
        <v>12423000</v>
      </c>
      <c r="AW125" s="30"/>
      <c r="AX125" s="27">
        <v>12331000</v>
      </c>
      <c r="AY125" s="30"/>
      <c r="AZ125" s="27">
        <v>12537000</v>
      </c>
      <c r="BA125" s="30"/>
      <c r="BB125" s="27">
        <v>11223000</v>
      </c>
      <c r="BC125" s="30"/>
      <c r="BD125" s="27">
        <v>11223000</v>
      </c>
      <c r="BE125" s="30"/>
      <c r="BF125" s="27">
        <v>11223000</v>
      </c>
      <c r="BG125" s="30"/>
      <c r="BH125" s="27">
        <v>11223000</v>
      </c>
      <c r="BI125" s="30"/>
      <c r="BJ125" s="27">
        <v>11198000</v>
      </c>
      <c r="BK125" s="30"/>
      <c r="BL125" s="27">
        <v>11353000</v>
      </c>
      <c r="BM125" s="30"/>
      <c r="BN125" s="27">
        <v>11353000</v>
      </c>
      <c r="BO125" s="30"/>
      <c r="BP125" s="27">
        <v>11320000</v>
      </c>
      <c r="BQ125" s="30"/>
      <c r="BR125" s="27">
        <v>11223000</v>
      </c>
      <c r="BS125" s="30"/>
      <c r="BT125" s="27">
        <v>11190000</v>
      </c>
      <c r="BU125" s="30"/>
      <c r="BV125" s="27">
        <v>11190000</v>
      </c>
      <c r="BW125" s="30"/>
      <c r="BX125" s="27">
        <v>11190000</v>
      </c>
      <c r="BY125" s="30"/>
      <c r="BZ125" s="27">
        <v>11096000</v>
      </c>
      <c r="CA125" s="30"/>
      <c r="CB125" s="27">
        <v>10939000</v>
      </c>
      <c r="CC125" s="30"/>
      <c r="CD125" s="27">
        <v>10939000</v>
      </c>
      <c r="CE125" s="30"/>
      <c r="CF125" s="27">
        <v>11096000</v>
      </c>
      <c r="CG125" s="30"/>
      <c r="CH125" s="27">
        <v>12046000</v>
      </c>
      <c r="CI125" s="30"/>
    </row>
    <row r="126" spans="1:87" ht="63" customHeight="1">
      <c r="A126" s="16" t="e">
        <f ca="1">_xludf.image("https://lh3.google.com/u/0/d/1scn9z6aIsPtOjvGCyMepxaOiAmRm6rne",1)</f>
        <v>#NAME?</v>
      </c>
      <c r="B126" s="17" t="s">
        <v>293</v>
      </c>
      <c r="C126" s="147"/>
      <c r="D126" s="145"/>
      <c r="E126" s="146"/>
      <c r="F126" s="18"/>
      <c r="G126" s="19"/>
      <c r="H126" s="18"/>
      <c r="I126" s="19"/>
      <c r="J126" s="18"/>
      <c r="K126" s="19"/>
      <c r="L126" s="18"/>
      <c r="M126" s="19"/>
      <c r="N126" s="18"/>
      <c r="O126" s="19"/>
      <c r="P126" s="18"/>
      <c r="Q126" s="19"/>
      <c r="R126" s="18"/>
      <c r="S126" s="19"/>
      <c r="T126" s="18"/>
      <c r="U126" s="19"/>
      <c r="V126" s="18"/>
      <c r="W126" s="19"/>
      <c r="X126" s="18"/>
      <c r="Y126" s="19"/>
      <c r="Z126" s="18"/>
      <c r="AA126" s="19"/>
      <c r="AB126" s="18"/>
      <c r="AC126" s="19"/>
      <c r="AD126" s="18"/>
      <c r="AE126" s="19"/>
      <c r="AF126" s="18"/>
      <c r="AG126" s="19"/>
      <c r="AH126" s="18"/>
      <c r="AI126" s="19"/>
      <c r="AJ126" s="18"/>
      <c r="AK126" s="19"/>
      <c r="AL126" s="18"/>
      <c r="AM126" s="19"/>
      <c r="AN126" s="18"/>
      <c r="AO126" s="19"/>
      <c r="AP126" s="18"/>
      <c r="AQ126" s="19"/>
      <c r="AR126" s="18"/>
      <c r="AS126" s="19"/>
      <c r="AT126" s="18"/>
      <c r="AU126" s="19"/>
      <c r="AV126" s="18"/>
      <c r="AW126" s="19"/>
      <c r="AX126" s="18"/>
      <c r="AY126" s="19"/>
      <c r="AZ126" s="18"/>
      <c r="BA126" s="19"/>
      <c r="BB126" s="18"/>
      <c r="BC126" s="19"/>
      <c r="BD126" s="18"/>
      <c r="BE126" s="19"/>
      <c r="BF126" s="18"/>
      <c r="BG126" s="19"/>
      <c r="BH126" s="18"/>
      <c r="BI126" s="19"/>
      <c r="BJ126" s="18"/>
      <c r="BK126" s="19"/>
      <c r="BL126" s="18"/>
      <c r="BM126" s="19"/>
      <c r="BN126" s="18"/>
      <c r="BO126" s="19"/>
      <c r="BP126" s="18"/>
      <c r="BQ126" s="19"/>
      <c r="BR126" s="18"/>
      <c r="BS126" s="19"/>
      <c r="BT126" s="18"/>
      <c r="BU126" s="19"/>
      <c r="BV126" s="18"/>
      <c r="BW126" s="19"/>
      <c r="BX126" s="18"/>
      <c r="BY126" s="19"/>
      <c r="BZ126" s="18"/>
      <c r="CA126" s="19"/>
      <c r="CB126" s="18"/>
      <c r="CC126" s="19"/>
      <c r="CD126" s="18"/>
      <c r="CE126" s="19"/>
      <c r="CF126" s="18"/>
      <c r="CG126" s="19"/>
      <c r="CH126" s="18"/>
      <c r="CI126" s="19"/>
    </row>
    <row r="127" spans="1:87" ht="12.75">
      <c r="A127" s="20"/>
      <c r="B127" s="52"/>
      <c r="C127" s="65"/>
      <c r="D127" s="65"/>
      <c r="E127" s="66"/>
      <c r="F127" s="22"/>
      <c r="G127" s="23"/>
      <c r="H127" s="22"/>
      <c r="I127" s="23"/>
      <c r="J127" s="22"/>
      <c r="K127" s="23"/>
      <c r="L127" s="22"/>
      <c r="M127" s="23"/>
      <c r="N127" s="22"/>
      <c r="O127" s="23"/>
      <c r="P127" s="22"/>
      <c r="Q127" s="23"/>
      <c r="R127" s="22"/>
      <c r="S127" s="23"/>
      <c r="T127" s="22"/>
      <c r="U127" s="23"/>
      <c r="V127" s="22"/>
      <c r="W127" s="23"/>
      <c r="X127" s="22"/>
      <c r="Y127" s="23"/>
      <c r="Z127" s="22"/>
      <c r="AA127" s="23"/>
      <c r="AB127" s="22"/>
      <c r="AC127" s="23"/>
      <c r="AD127" s="22"/>
      <c r="AE127" s="23"/>
      <c r="AF127" s="22"/>
      <c r="AG127" s="23"/>
      <c r="AH127" s="22"/>
      <c r="AI127" s="23"/>
      <c r="AJ127" s="22"/>
      <c r="AK127" s="23"/>
      <c r="AL127" s="22"/>
      <c r="AM127" s="23"/>
      <c r="AN127" s="22"/>
      <c r="AO127" s="23"/>
      <c r="AP127" s="22"/>
      <c r="AQ127" s="23"/>
      <c r="AR127" s="22"/>
      <c r="AS127" s="23"/>
      <c r="AT127" s="22"/>
      <c r="AU127" s="23"/>
      <c r="AV127" s="22"/>
      <c r="AW127" s="23"/>
      <c r="AX127" s="22"/>
      <c r="AY127" s="23"/>
      <c r="AZ127" s="22"/>
      <c r="BA127" s="23"/>
      <c r="BB127" s="22"/>
      <c r="BC127" s="23"/>
      <c r="BD127" s="22"/>
      <c r="BE127" s="23"/>
      <c r="BF127" s="22"/>
      <c r="BG127" s="23"/>
      <c r="BH127" s="22"/>
      <c r="BI127" s="23"/>
      <c r="BJ127" s="22"/>
      <c r="BK127" s="23"/>
      <c r="BL127" s="22"/>
      <c r="BM127" s="23"/>
      <c r="BN127" s="22"/>
      <c r="BO127" s="23"/>
      <c r="BP127" s="22"/>
      <c r="BQ127" s="23"/>
      <c r="BR127" s="22"/>
      <c r="BS127" s="23"/>
      <c r="BT127" s="22"/>
      <c r="BU127" s="23"/>
      <c r="BV127" s="22"/>
      <c r="BW127" s="23"/>
      <c r="BX127" s="22"/>
      <c r="BY127" s="23"/>
      <c r="BZ127" s="22"/>
      <c r="CA127" s="23"/>
      <c r="CB127" s="22"/>
      <c r="CC127" s="23"/>
      <c r="CD127" s="22"/>
      <c r="CE127" s="23"/>
      <c r="CF127" s="22"/>
      <c r="CG127" s="23"/>
      <c r="CH127" s="22"/>
      <c r="CI127" s="23"/>
    </row>
    <row r="128" spans="1:87">
      <c r="A128" s="24"/>
      <c r="B128" s="25" t="s">
        <v>294</v>
      </c>
      <c r="C128" s="26">
        <v>380</v>
      </c>
      <c r="D128" s="26">
        <v>378</v>
      </c>
      <c r="E128" s="26">
        <v>300</v>
      </c>
      <c r="F128" s="27">
        <v>3321000</v>
      </c>
      <c r="G128" s="30"/>
      <c r="H128" s="27">
        <v>1996000</v>
      </c>
      <c r="I128" s="30"/>
      <c r="J128" s="29"/>
      <c r="K128" s="30"/>
      <c r="L128" s="27">
        <v>3442000</v>
      </c>
      <c r="M128" s="30"/>
      <c r="N128" s="29"/>
      <c r="O128" s="30"/>
      <c r="P128" s="27">
        <v>1002000</v>
      </c>
      <c r="Q128" s="30"/>
      <c r="R128" s="29"/>
      <c r="S128" s="30"/>
      <c r="T128" s="29"/>
      <c r="U128" s="30"/>
      <c r="V128" s="27">
        <v>728000</v>
      </c>
      <c r="W128" s="30"/>
      <c r="X128" s="27">
        <v>484000</v>
      </c>
      <c r="Y128" s="30"/>
      <c r="Z128" s="27">
        <v>1022000</v>
      </c>
      <c r="AA128" s="30"/>
      <c r="AB128" s="27">
        <v>1140000</v>
      </c>
      <c r="AC128" s="30"/>
      <c r="AD128" s="27">
        <v>1180000</v>
      </c>
      <c r="AE128" s="30"/>
      <c r="AF128" s="27">
        <v>1395000</v>
      </c>
      <c r="AG128" s="30"/>
      <c r="AH128" s="27">
        <v>1395000</v>
      </c>
      <c r="AI128" s="30"/>
      <c r="AJ128" s="27">
        <v>1134000</v>
      </c>
      <c r="AK128" s="30"/>
      <c r="AL128" s="27">
        <v>1551000</v>
      </c>
      <c r="AM128" s="30"/>
      <c r="AN128" s="27">
        <v>744000</v>
      </c>
      <c r="AO128" s="30"/>
      <c r="AP128" s="27">
        <v>1399000</v>
      </c>
      <c r="AQ128" s="30"/>
      <c r="AR128" s="27">
        <v>1566000</v>
      </c>
      <c r="AS128" s="30"/>
      <c r="AT128" s="27">
        <v>1399000</v>
      </c>
      <c r="AU128" s="30"/>
      <c r="AV128" s="27">
        <v>1455000</v>
      </c>
      <c r="AW128" s="30"/>
      <c r="AX128" s="27">
        <v>1413000</v>
      </c>
      <c r="AY128" s="30"/>
      <c r="AZ128" s="27">
        <v>1509000</v>
      </c>
      <c r="BA128" s="30"/>
      <c r="BB128" s="27">
        <v>902000</v>
      </c>
      <c r="BC128" s="30"/>
      <c r="BD128" s="27">
        <v>902000</v>
      </c>
      <c r="BE128" s="30"/>
      <c r="BF128" s="27">
        <v>902000</v>
      </c>
      <c r="BG128" s="30"/>
      <c r="BH128" s="27">
        <v>902000</v>
      </c>
      <c r="BI128" s="30"/>
      <c r="BJ128" s="27">
        <v>890000</v>
      </c>
      <c r="BK128" s="30"/>
      <c r="BL128" s="27">
        <v>963000</v>
      </c>
      <c r="BM128" s="30"/>
      <c r="BN128" s="27">
        <v>963000</v>
      </c>
      <c r="BO128" s="30"/>
      <c r="BP128" s="27">
        <v>947000</v>
      </c>
      <c r="BQ128" s="30"/>
      <c r="BR128" s="27">
        <v>902000</v>
      </c>
      <c r="BS128" s="30"/>
      <c r="BT128" s="27">
        <v>887000</v>
      </c>
      <c r="BU128" s="30"/>
      <c r="BV128" s="27">
        <v>887000</v>
      </c>
      <c r="BW128" s="30"/>
      <c r="BX128" s="27">
        <v>887000</v>
      </c>
      <c r="BY128" s="30"/>
      <c r="BZ128" s="27">
        <v>833000</v>
      </c>
      <c r="CA128" s="30"/>
      <c r="CB128" s="27">
        <v>760000</v>
      </c>
      <c r="CC128" s="30"/>
      <c r="CD128" s="27">
        <v>760000</v>
      </c>
      <c r="CE128" s="30"/>
      <c r="CF128" s="27">
        <v>833000</v>
      </c>
      <c r="CG128" s="30"/>
      <c r="CH128" s="27">
        <v>1278000</v>
      </c>
      <c r="CI128" s="30"/>
    </row>
    <row r="129" spans="1:87">
      <c r="A129" s="24"/>
      <c r="B129" s="25" t="s">
        <v>295</v>
      </c>
      <c r="C129" s="26">
        <v>380</v>
      </c>
      <c r="D129" s="26">
        <v>378</v>
      </c>
      <c r="E129" s="26">
        <v>450</v>
      </c>
      <c r="F129" s="27">
        <v>4193000</v>
      </c>
      <c r="G129" s="30"/>
      <c r="H129" s="27">
        <v>2509000</v>
      </c>
      <c r="I129" s="30"/>
      <c r="J129" s="29"/>
      <c r="K129" s="30"/>
      <c r="L129" s="27">
        <v>4348000</v>
      </c>
      <c r="M129" s="30"/>
      <c r="N129" s="29"/>
      <c r="O129" s="30"/>
      <c r="P129" s="27">
        <v>1223000</v>
      </c>
      <c r="Q129" s="30"/>
      <c r="R129" s="29"/>
      <c r="S129" s="30"/>
      <c r="T129" s="29"/>
      <c r="U129" s="30"/>
      <c r="V129" s="27">
        <v>889000</v>
      </c>
      <c r="W129" s="30"/>
      <c r="X129" s="27">
        <v>579000</v>
      </c>
      <c r="Y129" s="30"/>
      <c r="Z129" s="27">
        <v>1254000</v>
      </c>
      <c r="AA129" s="30"/>
      <c r="AB129" s="27">
        <v>1399000</v>
      </c>
      <c r="AC129" s="30"/>
      <c r="AD129" s="27">
        <v>1444000</v>
      </c>
      <c r="AE129" s="30"/>
      <c r="AF129" s="27">
        <v>1711000</v>
      </c>
      <c r="AG129" s="30"/>
      <c r="AH129" s="27">
        <v>1711000</v>
      </c>
      <c r="AI129" s="30"/>
      <c r="AJ129" s="27">
        <v>1394000</v>
      </c>
      <c r="AK129" s="30"/>
      <c r="AL129" s="27">
        <v>1922000</v>
      </c>
      <c r="AM129" s="30"/>
      <c r="AN129" s="27">
        <v>900000</v>
      </c>
      <c r="AO129" s="30"/>
      <c r="AP129" s="27">
        <v>1727000</v>
      </c>
      <c r="AQ129" s="30"/>
      <c r="AR129" s="27">
        <v>1940000</v>
      </c>
      <c r="AS129" s="30"/>
      <c r="AT129" s="27">
        <v>1727000</v>
      </c>
      <c r="AU129" s="30"/>
      <c r="AV129" s="27">
        <v>1801000</v>
      </c>
      <c r="AW129" s="30"/>
      <c r="AX129" s="27">
        <v>1747000</v>
      </c>
      <c r="AY129" s="30"/>
      <c r="AZ129" s="27">
        <v>1868000</v>
      </c>
      <c r="BA129" s="30"/>
      <c r="BB129" s="27">
        <v>1109000</v>
      </c>
      <c r="BC129" s="30"/>
      <c r="BD129" s="27">
        <v>1109000</v>
      </c>
      <c r="BE129" s="30"/>
      <c r="BF129" s="27">
        <v>1109000</v>
      </c>
      <c r="BG129" s="30"/>
      <c r="BH129" s="27">
        <v>1109000</v>
      </c>
      <c r="BI129" s="30"/>
      <c r="BJ129" s="27">
        <v>1094000</v>
      </c>
      <c r="BK129" s="30"/>
      <c r="BL129" s="27">
        <v>1186000</v>
      </c>
      <c r="BM129" s="30"/>
      <c r="BN129" s="27">
        <v>1186000</v>
      </c>
      <c r="BO129" s="30"/>
      <c r="BP129" s="27">
        <v>1167000</v>
      </c>
      <c r="BQ129" s="30"/>
      <c r="BR129" s="27">
        <v>1109000</v>
      </c>
      <c r="BS129" s="30"/>
      <c r="BT129" s="27">
        <v>1090000</v>
      </c>
      <c r="BU129" s="30"/>
      <c r="BV129" s="27">
        <v>1090000</v>
      </c>
      <c r="BW129" s="30"/>
      <c r="BX129" s="27">
        <v>1090000</v>
      </c>
      <c r="BY129" s="30"/>
      <c r="BZ129" s="27">
        <v>1000000</v>
      </c>
      <c r="CA129" s="30"/>
      <c r="CB129" s="27">
        <v>907000</v>
      </c>
      <c r="CC129" s="30"/>
      <c r="CD129" s="27">
        <v>907000</v>
      </c>
      <c r="CE129" s="30"/>
      <c r="CF129" s="27">
        <v>1000000</v>
      </c>
      <c r="CG129" s="30"/>
      <c r="CH129" s="27">
        <v>1572000</v>
      </c>
      <c r="CI129" s="30"/>
    </row>
    <row r="130" spans="1:87">
      <c r="A130" s="24"/>
      <c r="B130" s="25" t="s">
        <v>296</v>
      </c>
      <c r="C130" s="26">
        <v>380</v>
      </c>
      <c r="D130" s="26">
        <v>378</v>
      </c>
      <c r="E130" s="26">
        <v>600</v>
      </c>
      <c r="F130" s="27">
        <v>5085000</v>
      </c>
      <c r="G130" s="30"/>
      <c r="H130" s="27">
        <v>3042000</v>
      </c>
      <c r="I130" s="30"/>
      <c r="J130" s="29"/>
      <c r="K130" s="30"/>
      <c r="L130" s="27">
        <v>5273000</v>
      </c>
      <c r="M130" s="30"/>
      <c r="N130" s="29"/>
      <c r="O130" s="30"/>
      <c r="P130" s="27">
        <v>1464000</v>
      </c>
      <c r="Q130" s="30"/>
      <c r="R130" s="29"/>
      <c r="S130" s="30"/>
      <c r="T130" s="29"/>
      <c r="U130" s="30"/>
      <c r="V130" s="27">
        <v>1070000</v>
      </c>
      <c r="W130" s="30"/>
      <c r="X130" s="27">
        <v>693000</v>
      </c>
      <c r="Y130" s="30"/>
      <c r="Z130" s="27">
        <v>1505000</v>
      </c>
      <c r="AA130" s="30"/>
      <c r="AB130" s="27">
        <v>1678000</v>
      </c>
      <c r="AC130" s="30"/>
      <c r="AD130" s="27">
        <v>1727000</v>
      </c>
      <c r="AE130" s="30"/>
      <c r="AF130" s="27">
        <v>2047000</v>
      </c>
      <c r="AG130" s="30"/>
      <c r="AH130" s="27">
        <v>2047000</v>
      </c>
      <c r="AI130" s="30"/>
      <c r="AJ130" s="27">
        <v>1674000</v>
      </c>
      <c r="AK130" s="30"/>
      <c r="AL130" s="27">
        <v>2314000</v>
      </c>
      <c r="AM130" s="30"/>
      <c r="AN130" s="27">
        <v>1076000</v>
      </c>
      <c r="AO130" s="30"/>
      <c r="AP130" s="27">
        <v>2075000</v>
      </c>
      <c r="AQ130" s="30"/>
      <c r="AR130" s="27">
        <v>2333000</v>
      </c>
      <c r="AS130" s="30"/>
      <c r="AT130" s="27">
        <v>2075000</v>
      </c>
      <c r="AU130" s="30"/>
      <c r="AV130" s="27">
        <v>2166000</v>
      </c>
      <c r="AW130" s="30"/>
      <c r="AX130" s="27">
        <v>2100000</v>
      </c>
      <c r="AY130" s="30"/>
      <c r="AZ130" s="27">
        <v>2248000</v>
      </c>
      <c r="BA130" s="30"/>
      <c r="BB130" s="27">
        <v>1336000</v>
      </c>
      <c r="BC130" s="30"/>
      <c r="BD130" s="27">
        <v>1336000</v>
      </c>
      <c r="BE130" s="30"/>
      <c r="BF130" s="27">
        <v>1336000</v>
      </c>
      <c r="BG130" s="30"/>
      <c r="BH130" s="27">
        <v>1336000</v>
      </c>
      <c r="BI130" s="30"/>
      <c r="BJ130" s="27">
        <v>1318000</v>
      </c>
      <c r="BK130" s="30"/>
      <c r="BL130" s="27">
        <v>1430000</v>
      </c>
      <c r="BM130" s="30"/>
      <c r="BN130" s="27">
        <v>1430000</v>
      </c>
      <c r="BO130" s="30"/>
      <c r="BP130" s="27">
        <v>1406000</v>
      </c>
      <c r="BQ130" s="30"/>
      <c r="BR130" s="27">
        <v>1336000</v>
      </c>
      <c r="BS130" s="30"/>
      <c r="BT130" s="27">
        <v>1313000</v>
      </c>
      <c r="BU130" s="30"/>
      <c r="BV130" s="27">
        <v>1313000</v>
      </c>
      <c r="BW130" s="30"/>
      <c r="BX130" s="27">
        <v>1313000</v>
      </c>
      <c r="BY130" s="30"/>
      <c r="BZ130" s="27">
        <v>1187000</v>
      </c>
      <c r="CA130" s="30"/>
      <c r="CB130" s="27">
        <v>1074000</v>
      </c>
      <c r="CC130" s="30"/>
      <c r="CD130" s="27">
        <v>1074000</v>
      </c>
      <c r="CE130" s="30"/>
      <c r="CF130" s="27">
        <v>1187000</v>
      </c>
      <c r="CG130" s="30"/>
      <c r="CH130" s="27">
        <v>1885000</v>
      </c>
      <c r="CI130" s="30"/>
    </row>
    <row r="131" spans="1:87">
      <c r="A131" s="24"/>
      <c r="B131" s="25" t="s">
        <v>297</v>
      </c>
      <c r="C131" s="26">
        <v>380</v>
      </c>
      <c r="D131" s="26">
        <v>378</v>
      </c>
      <c r="E131" s="26">
        <v>900</v>
      </c>
      <c r="F131" s="27">
        <v>6850000</v>
      </c>
      <c r="G131" s="30"/>
      <c r="H131" s="27">
        <v>4087000</v>
      </c>
      <c r="I131" s="30"/>
      <c r="J131" s="29"/>
      <c r="K131" s="30"/>
      <c r="L131" s="27">
        <v>7103000</v>
      </c>
      <c r="M131" s="30"/>
      <c r="N131" s="29"/>
      <c r="O131" s="30"/>
      <c r="P131" s="27">
        <v>1927000</v>
      </c>
      <c r="Q131" s="30"/>
      <c r="R131" s="29"/>
      <c r="S131" s="30"/>
      <c r="T131" s="29"/>
      <c r="U131" s="30"/>
      <c r="V131" s="27">
        <v>1411000</v>
      </c>
      <c r="W131" s="30"/>
      <c r="X131" s="27">
        <v>902000</v>
      </c>
      <c r="Y131" s="30"/>
      <c r="Z131" s="27">
        <v>1987000</v>
      </c>
      <c r="AA131" s="30"/>
      <c r="AB131" s="27">
        <v>2216000</v>
      </c>
      <c r="AC131" s="30"/>
      <c r="AD131" s="27">
        <v>2274000</v>
      </c>
      <c r="AE131" s="30"/>
      <c r="AF131" s="27">
        <v>2699000</v>
      </c>
      <c r="AG131" s="30"/>
      <c r="AH131" s="27">
        <v>2699000</v>
      </c>
      <c r="AI131" s="30"/>
      <c r="AJ131" s="27">
        <v>2214000</v>
      </c>
      <c r="AK131" s="30"/>
      <c r="AL131" s="27">
        <v>3077000</v>
      </c>
      <c r="AM131" s="30"/>
      <c r="AN131" s="27">
        <v>1407000</v>
      </c>
      <c r="AO131" s="30"/>
      <c r="AP131" s="27">
        <v>2751000</v>
      </c>
      <c r="AQ131" s="30"/>
      <c r="AR131" s="27">
        <v>3100000</v>
      </c>
      <c r="AS131" s="30"/>
      <c r="AT131" s="27">
        <v>2751000</v>
      </c>
      <c r="AU131" s="30"/>
      <c r="AV131" s="27">
        <v>2877000</v>
      </c>
      <c r="AW131" s="30"/>
      <c r="AX131" s="27">
        <v>2788000</v>
      </c>
      <c r="AY131" s="30"/>
      <c r="AZ131" s="27">
        <v>2988000</v>
      </c>
      <c r="BA131" s="30"/>
      <c r="BB131" s="27">
        <v>1770000</v>
      </c>
      <c r="BC131" s="30"/>
      <c r="BD131" s="27">
        <v>1770000</v>
      </c>
      <c r="BE131" s="30"/>
      <c r="BF131" s="27">
        <v>1770000</v>
      </c>
      <c r="BG131" s="30"/>
      <c r="BH131" s="27">
        <v>1770000</v>
      </c>
      <c r="BI131" s="30"/>
      <c r="BJ131" s="27">
        <v>1746000</v>
      </c>
      <c r="BK131" s="30"/>
      <c r="BL131" s="27">
        <v>1897000</v>
      </c>
      <c r="BM131" s="30"/>
      <c r="BN131" s="27">
        <v>1897000</v>
      </c>
      <c r="BO131" s="30"/>
      <c r="BP131" s="27">
        <v>1865000</v>
      </c>
      <c r="BQ131" s="30"/>
      <c r="BR131" s="27">
        <v>1770000</v>
      </c>
      <c r="BS131" s="30"/>
      <c r="BT131" s="27">
        <v>1738000</v>
      </c>
      <c r="BU131" s="30"/>
      <c r="BV131" s="27">
        <v>1738000</v>
      </c>
      <c r="BW131" s="30"/>
      <c r="BX131" s="27">
        <v>1738000</v>
      </c>
      <c r="BY131" s="30"/>
      <c r="BZ131" s="27">
        <v>1541000</v>
      </c>
      <c r="CA131" s="30"/>
      <c r="CB131" s="27">
        <v>1388000</v>
      </c>
      <c r="CC131" s="30"/>
      <c r="CD131" s="27">
        <v>1388000</v>
      </c>
      <c r="CE131" s="30"/>
      <c r="CF131" s="27">
        <v>1541000</v>
      </c>
      <c r="CG131" s="30"/>
      <c r="CH131" s="27">
        <v>2492000</v>
      </c>
      <c r="CI131" s="30"/>
    </row>
    <row r="132" spans="1:87">
      <c r="A132" s="24"/>
      <c r="B132" s="25" t="s">
        <v>298</v>
      </c>
      <c r="C132" s="26">
        <v>380</v>
      </c>
      <c r="D132" s="26">
        <v>600</v>
      </c>
      <c r="E132" s="26">
        <v>300</v>
      </c>
      <c r="F132" s="27">
        <v>5130000</v>
      </c>
      <c r="G132" s="30"/>
      <c r="H132" s="27">
        <v>3069000</v>
      </c>
      <c r="I132" s="30"/>
      <c r="J132" s="29"/>
      <c r="K132" s="30"/>
      <c r="L132" s="27">
        <v>5319000</v>
      </c>
      <c r="M132" s="30"/>
      <c r="N132" s="29"/>
      <c r="O132" s="30"/>
      <c r="P132" s="27">
        <v>1454000</v>
      </c>
      <c r="Q132" s="30"/>
      <c r="R132" s="29"/>
      <c r="S132" s="30"/>
      <c r="T132" s="29"/>
      <c r="U132" s="30"/>
      <c r="V132" s="27">
        <v>1073000</v>
      </c>
      <c r="W132" s="30"/>
      <c r="X132" s="27">
        <v>693000</v>
      </c>
      <c r="Y132" s="30"/>
      <c r="Z132" s="27">
        <v>1500000</v>
      </c>
      <c r="AA132" s="30"/>
      <c r="AB132" s="27">
        <v>1670000</v>
      </c>
      <c r="AC132" s="30"/>
      <c r="AD132" s="27">
        <v>1711000</v>
      </c>
      <c r="AE132" s="30"/>
      <c r="AF132" s="27">
        <v>2027000</v>
      </c>
      <c r="AG132" s="30"/>
      <c r="AH132" s="27">
        <v>2027000</v>
      </c>
      <c r="AI132" s="30"/>
      <c r="AJ132" s="27">
        <v>1668000</v>
      </c>
      <c r="AK132" s="30"/>
      <c r="AL132" s="27">
        <v>2312000</v>
      </c>
      <c r="AM132" s="30"/>
      <c r="AN132" s="27">
        <v>1067000</v>
      </c>
      <c r="AO132" s="30"/>
      <c r="AP132" s="27">
        <v>2068000</v>
      </c>
      <c r="AQ132" s="30"/>
      <c r="AR132" s="27">
        <v>2329000</v>
      </c>
      <c r="AS132" s="30"/>
      <c r="AT132" s="27">
        <v>2068000</v>
      </c>
      <c r="AU132" s="30"/>
      <c r="AV132" s="27">
        <v>2162000</v>
      </c>
      <c r="AW132" s="30"/>
      <c r="AX132" s="27">
        <v>2096000</v>
      </c>
      <c r="AY132" s="30"/>
      <c r="AZ132" s="27">
        <v>2245000</v>
      </c>
      <c r="BA132" s="30"/>
      <c r="BB132" s="27">
        <v>1340000</v>
      </c>
      <c r="BC132" s="30"/>
      <c r="BD132" s="27">
        <v>1340000</v>
      </c>
      <c r="BE132" s="30"/>
      <c r="BF132" s="27">
        <v>1340000</v>
      </c>
      <c r="BG132" s="30"/>
      <c r="BH132" s="27">
        <v>1340000</v>
      </c>
      <c r="BI132" s="30"/>
      <c r="BJ132" s="27">
        <v>1322000</v>
      </c>
      <c r="BK132" s="30"/>
      <c r="BL132" s="27">
        <v>1434000</v>
      </c>
      <c r="BM132" s="30"/>
      <c r="BN132" s="27">
        <v>1434000</v>
      </c>
      <c r="BO132" s="30"/>
      <c r="BP132" s="27">
        <v>1411000</v>
      </c>
      <c r="BQ132" s="30"/>
      <c r="BR132" s="27">
        <v>1340000</v>
      </c>
      <c r="BS132" s="30"/>
      <c r="BT132" s="27">
        <v>1316000</v>
      </c>
      <c r="BU132" s="30"/>
      <c r="BV132" s="27">
        <v>1316000</v>
      </c>
      <c r="BW132" s="30"/>
      <c r="BX132" s="27">
        <v>1316000</v>
      </c>
      <c r="BY132" s="30"/>
      <c r="BZ132" s="27">
        <v>1164000</v>
      </c>
      <c r="CA132" s="30"/>
      <c r="CB132" s="27">
        <v>1050000</v>
      </c>
      <c r="CC132" s="30"/>
      <c r="CD132" s="27">
        <v>1050000</v>
      </c>
      <c r="CE132" s="30"/>
      <c r="CF132" s="27">
        <v>1164000</v>
      </c>
      <c r="CG132" s="30"/>
      <c r="CH132" s="27">
        <v>1875000</v>
      </c>
      <c r="CI132" s="30"/>
    </row>
    <row r="133" spans="1:87">
      <c r="A133" s="24"/>
      <c r="B133" s="25" t="s">
        <v>299</v>
      </c>
      <c r="C133" s="26">
        <v>380</v>
      </c>
      <c r="D133" s="26">
        <v>600</v>
      </c>
      <c r="E133" s="26">
        <v>450</v>
      </c>
      <c r="F133" s="27">
        <v>6463000</v>
      </c>
      <c r="G133" s="30"/>
      <c r="H133" s="27">
        <v>3853000</v>
      </c>
      <c r="I133" s="30"/>
      <c r="J133" s="29"/>
      <c r="K133" s="30"/>
      <c r="L133" s="27">
        <v>6703000</v>
      </c>
      <c r="M133" s="30"/>
      <c r="N133" s="29"/>
      <c r="O133" s="30"/>
      <c r="P133" s="27">
        <v>1774000</v>
      </c>
      <c r="Q133" s="30"/>
      <c r="R133" s="29"/>
      <c r="S133" s="30"/>
      <c r="T133" s="29"/>
      <c r="U133" s="30"/>
      <c r="V133" s="27">
        <v>1312000</v>
      </c>
      <c r="W133" s="30"/>
      <c r="X133" s="27">
        <v>831000</v>
      </c>
      <c r="Y133" s="30"/>
      <c r="Z133" s="27">
        <v>1839000</v>
      </c>
      <c r="AA133" s="30"/>
      <c r="AB133" s="27">
        <v>2048000</v>
      </c>
      <c r="AC133" s="30"/>
      <c r="AD133" s="27">
        <v>2090000</v>
      </c>
      <c r="AE133" s="30"/>
      <c r="AF133" s="27">
        <v>2482000</v>
      </c>
      <c r="AG133" s="30"/>
      <c r="AH133" s="27">
        <v>2482000</v>
      </c>
      <c r="AI133" s="30"/>
      <c r="AJ133" s="27">
        <v>2050000</v>
      </c>
      <c r="AK133" s="30"/>
      <c r="AL133" s="27">
        <v>2863000</v>
      </c>
      <c r="AM133" s="30"/>
      <c r="AN133" s="27">
        <v>1292000</v>
      </c>
      <c r="AO133" s="30"/>
      <c r="AP133" s="27">
        <v>2552000</v>
      </c>
      <c r="AQ133" s="30"/>
      <c r="AR133" s="27">
        <v>2881000</v>
      </c>
      <c r="AS133" s="30"/>
      <c r="AT133" s="27">
        <v>2552000</v>
      </c>
      <c r="AU133" s="30"/>
      <c r="AV133" s="27">
        <v>2673000</v>
      </c>
      <c r="AW133" s="30"/>
      <c r="AX133" s="27">
        <v>2589000</v>
      </c>
      <c r="AY133" s="30"/>
      <c r="AZ133" s="27">
        <v>2778000</v>
      </c>
      <c r="BA133" s="30"/>
      <c r="BB133" s="27">
        <v>1649000</v>
      </c>
      <c r="BC133" s="30"/>
      <c r="BD133" s="27">
        <v>1649000</v>
      </c>
      <c r="BE133" s="30"/>
      <c r="BF133" s="27">
        <v>1649000</v>
      </c>
      <c r="BG133" s="30"/>
      <c r="BH133" s="27">
        <v>1649000</v>
      </c>
      <c r="BI133" s="30"/>
      <c r="BJ133" s="27">
        <v>1627000</v>
      </c>
      <c r="BK133" s="30"/>
      <c r="BL133" s="27">
        <v>1769000</v>
      </c>
      <c r="BM133" s="30"/>
      <c r="BN133" s="27">
        <v>1769000</v>
      </c>
      <c r="BO133" s="30"/>
      <c r="BP133" s="27">
        <v>1739000</v>
      </c>
      <c r="BQ133" s="30"/>
      <c r="BR133" s="27">
        <v>1649000</v>
      </c>
      <c r="BS133" s="30"/>
      <c r="BT133" s="27">
        <v>1620000</v>
      </c>
      <c r="BU133" s="30"/>
      <c r="BV133" s="27">
        <v>1620000</v>
      </c>
      <c r="BW133" s="30"/>
      <c r="BX133" s="27">
        <v>1620000</v>
      </c>
      <c r="BY133" s="30"/>
      <c r="BZ133" s="27">
        <v>1394000</v>
      </c>
      <c r="CA133" s="30"/>
      <c r="CB133" s="27">
        <v>1250000</v>
      </c>
      <c r="CC133" s="30"/>
      <c r="CD133" s="27">
        <v>1250000</v>
      </c>
      <c r="CE133" s="30"/>
      <c r="CF133" s="27">
        <v>1394000</v>
      </c>
      <c r="CG133" s="30"/>
      <c r="CH133" s="27">
        <v>2303000</v>
      </c>
      <c r="CI133" s="30"/>
    </row>
    <row r="134" spans="1:87">
      <c r="A134" s="24"/>
      <c r="B134" s="25" t="s">
        <v>300</v>
      </c>
      <c r="C134" s="26">
        <v>380</v>
      </c>
      <c r="D134" s="26">
        <v>600</v>
      </c>
      <c r="E134" s="26">
        <v>600</v>
      </c>
      <c r="F134" s="27">
        <v>7817000</v>
      </c>
      <c r="G134" s="30"/>
      <c r="H134" s="27">
        <v>4657000</v>
      </c>
      <c r="I134" s="30"/>
      <c r="J134" s="29"/>
      <c r="K134" s="30"/>
      <c r="L134" s="27">
        <v>8107000</v>
      </c>
      <c r="M134" s="30"/>
      <c r="N134" s="29"/>
      <c r="O134" s="30"/>
      <c r="P134" s="27">
        <v>2114000</v>
      </c>
      <c r="Q134" s="30"/>
      <c r="R134" s="29"/>
      <c r="S134" s="30"/>
      <c r="T134" s="29"/>
      <c r="U134" s="30"/>
      <c r="V134" s="27">
        <v>1571000</v>
      </c>
      <c r="W134" s="30"/>
      <c r="X134" s="27">
        <v>988000</v>
      </c>
      <c r="Y134" s="30"/>
      <c r="Z134" s="27">
        <v>2197000</v>
      </c>
      <c r="AA134" s="30"/>
      <c r="AB134" s="27">
        <v>2445000</v>
      </c>
      <c r="AC134" s="30"/>
      <c r="AD134" s="27">
        <v>2490000</v>
      </c>
      <c r="AE134" s="30"/>
      <c r="AF134" s="27">
        <v>2958000</v>
      </c>
      <c r="AG134" s="30"/>
      <c r="AH134" s="27">
        <v>2958000</v>
      </c>
      <c r="AI134" s="30"/>
      <c r="AJ134" s="27">
        <v>2452000</v>
      </c>
      <c r="AK134" s="30"/>
      <c r="AL134" s="27">
        <v>3434000</v>
      </c>
      <c r="AM134" s="30"/>
      <c r="AN134" s="27">
        <v>1536000</v>
      </c>
      <c r="AO134" s="30"/>
      <c r="AP134" s="27">
        <v>3055000</v>
      </c>
      <c r="AQ134" s="30"/>
      <c r="AR134" s="27">
        <v>3454000</v>
      </c>
      <c r="AS134" s="30"/>
      <c r="AT134" s="27">
        <v>3055000</v>
      </c>
      <c r="AU134" s="30"/>
      <c r="AV134" s="27">
        <v>3203000</v>
      </c>
      <c r="AW134" s="30"/>
      <c r="AX134" s="27">
        <v>3102000</v>
      </c>
      <c r="AY134" s="30"/>
      <c r="AZ134" s="27">
        <v>3331000</v>
      </c>
      <c r="BA134" s="30"/>
      <c r="BB134" s="27">
        <v>1979000</v>
      </c>
      <c r="BC134" s="30"/>
      <c r="BD134" s="27">
        <v>1979000</v>
      </c>
      <c r="BE134" s="30"/>
      <c r="BF134" s="27">
        <v>1979000</v>
      </c>
      <c r="BG134" s="30"/>
      <c r="BH134" s="27">
        <v>1979000</v>
      </c>
      <c r="BI134" s="30"/>
      <c r="BJ134" s="27">
        <v>1952000</v>
      </c>
      <c r="BK134" s="30"/>
      <c r="BL134" s="27">
        <v>2124000</v>
      </c>
      <c r="BM134" s="30"/>
      <c r="BN134" s="27">
        <v>2124000</v>
      </c>
      <c r="BO134" s="30"/>
      <c r="BP134" s="27">
        <v>2088000</v>
      </c>
      <c r="BQ134" s="30"/>
      <c r="BR134" s="27">
        <v>1979000</v>
      </c>
      <c r="BS134" s="30"/>
      <c r="BT134" s="27">
        <v>1943000</v>
      </c>
      <c r="BU134" s="30"/>
      <c r="BV134" s="27">
        <v>1943000</v>
      </c>
      <c r="BW134" s="30"/>
      <c r="BX134" s="27">
        <v>1943000</v>
      </c>
      <c r="BY134" s="30"/>
      <c r="BZ134" s="27">
        <v>1644000</v>
      </c>
      <c r="CA134" s="30"/>
      <c r="CB134" s="27">
        <v>1469000</v>
      </c>
      <c r="CC134" s="30"/>
      <c r="CD134" s="27">
        <v>1469000</v>
      </c>
      <c r="CE134" s="30"/>
      <c r="CF134" s="27">
        <v>1644000</v>
      </c>
      <c r="CG134" s="30"/>
      <c r="CH134" s="27">
        <v>2751000</v>
      </c>
      <c r="CI134" s="30"/>
    </row>
    <row r="135" spans="1:87">
      <c r="A135" s="24"/>
      <c r="B135" s="25" t="s">
        <v>301</v>
      </c>
      <c r="C135" s="26">
        <v>380</v>
      </c>
      <c r="D135" s="26">
        <v>600</v>
      </c>
      <c r="E135" s="26">
        <v>900</v>
      </c>
      <c r="F135" s="27">
        <v>10504000</v>
      </c>
      <c r="G135" s="30"/>
      <c r="H135" s="27">
        <v>6245000</v>
      </c>
      <c r="I135" s="30"/>
      <c r="J135" s="29"/>
      <c r="K135" s="30"/>
      <c r="L135" s="27">
        <v>10895000</v>
      </c>
      <c r="M135" s="30"/>
      <c r="N135" s="29"/>
      <c r="O135" s="30"/>
      <c r="P135" s="27">
        <v>2774000</v>
      </c>
      <c r="Q135" s="30"/>
      <c r="R135" s="29"/>
      <c r="S135" s="30"/>
      <c r="T135" s="29"/>
      <c r="U135" s="30"/>
      <c r="V135" s="27">
        <v>2070000</v>
      </c>
      <c r="W135" s="30"/>
      <c r="X135" s="27">
        <v>1284000</v>
      </c>
      <c r="Y135" s="30"/>
      <c r="Z135" s="27">
        <v>2895000</v>
      </c>
      <c r="AA135" s="30"/>
      <c r="AB135" s="27">
        <v>3221000</v>
      </c>
      <c r="AC135" s="30"/>
      <c r="AD135" s="27">
        <v>3268000</v>
      </c>
      <c r="AE135" s="30"/>
      <c r="AF135" s="27">
        <v>3888000</v>
      </c>
      <c r="AG135" s="30"/>
      <c r="AH135" s="27">
        <v>3888000</v>
      </c>
      <c r="AI135" s="30"/>
      <c r="AJ135" s="27">
        <v>3236000</v>
      </c>
      <c r="AK135" s="30"/>
      <c r="AL135" s="27">
        <v>4556000</v>
      </c>
      <c r="AM135" s="30"/>
      <c r="AN135" s="27">
        <v>2004000</v>
      </c>
      <c r="AO135" s="30"/>
      <c r="AP135" s="27">
        <v>4041000</v>
      </c>
      <c r="AQ135" s="30"/>
      <c r="AR135" s="27">
        <v>4579000</v>
      </c>
      <c r="AS135" s="30"/>
      <c r="AT135" s="27">
        <v>4041000</v>
      </c>
      <c r="AU135" s="30"/>
      <c r="AV135" s="27">
        <v>4245000</v>
      </c>
      <c r="AW135" s="30"/>
      <c r="AX135" s="27">
        <v>4108000</v>
      </c>
      <c r="AY135" s="30"/>
      <c r="AZ135" s="27">
        <v>4416000</v>
      </c>
      <c r="BA135" s="30"/>
      <c r="BB135" s="27">
        <v>2618000</v>
      </c>
      <c r="BC135" s="30"/>
      <c r="BD135" s="27">
        <v>2618000</v>
      </c>
      <c r="BE135" s="30"/>
      <c r="BF135" s="27">
        <v>2618000</v>
      </c>
      <c r="BG135" s="30"/>
      <c r="BH135" s="27">
        <v>2618000</v>
      </c>
      <c r="BI135" s="30"/>
      <c r="BJ135" s="27">
        <v>2582000</v>
      </c>
      <c r="BK135" s="30"/>
      <c r="BL135" s="27">
        <v>2814000</v>
      </c>
      <c r="BM135" s="30"/>
      <c r="BN135" s="27">
        <v>2814000</v>
      </c>
      <c r="BO135" s="30"/>
      <c r="BP135" s="27">
        <v>2765000</v>
      </c>
      <c r="BQ135" s="30"/>
      <c r="BR135" s="27">
        <v>2618000</v>
      </c>
      <c r="BS135" s="30"/>
      <c r="BT135" s="27">
        <v>2569000</v>
      </c>
      <c r="BU135" s="30"/>
      <c r="BV135" s="27">
        <v>2569000</v>
      </c>
      <c r="BW135" s="30"/>
      <c r="BX135" s="27">
        <v>2569000</v>
      </c>
      <c r="BY135" s="30"/>
      <c r="BZ135" s="27">
        <v>2123000</v>
      </c>
      <c r="CA135" s="30"/>
      <c r="CB135" s="27">
        <v>1888000</v>
      </c>
      <c r="CC135" s="30"/>
      <c r="CD135" s="27">
        <v>1888000</v>
      </c>
      <c r="CE135" s="30"/>
      <c r="CF135" s="27">
        <v>2123000</v>
      </c>
      <c r="CG135" s="30"/>
      <c r="CH135" s="27">
        <v>3627000</v>
      </c>
      <c r="CI135" s="30"/>
    </row>
    <row r="136" spans="1:87">
      <c r="A136" s="24"/>
      <c r="B136" s="25" t="s">
        <v>302</v>
      </c>
      <c r="C136" s="26">
        <v>380</v>
      </c>
      <c r="D136" s="26">
        <v>723</v>
      </c>
      <c r="E136" s="26">
        <v>300</v>
      </c>
      <c r="F136" s="27">
        <v>5796000</v>
      </c>
      <c r="G136" s="30"/>
      <c r="H136" s="27">
        <v>3461000</v>
      </c>
      <c r="I136" s="30"/>
      <c r="J136" s="29"/>
      <c r="K136" s="30"/>
      <c r="L136" s="27">
        <v>6010000</v>
      </c>
      <c r="M136" s="30"/>
      <c r="N136" s="29"/>
      <c r="O136" s="30"/>
      <c r="P136" s="27">
        <v>1624000</v>
      </c>
      <c r="Q136" s="30"/>
      <c r="R136" s="29"/>
      <c r="S136" s="30"/>
      <c r="T136" s="29"/>
      <c r="U136" s="30"/>
      <c r="V136" s="27">
        <v>1196000</v>
      </c>
      <c r="W136" s="30"/>
      <c r="X136" s="27">
        <v>765000</v>
      </c>
      <c r="Y136" s="30"/>
      <c r="Z136" s="27">
        <v>1677000</v>
      </c>
      <c r="AA136" s="30"/>
      <c r="AB136" s="27">
        <v>1869000</v>
      </c>
      <c r="AC136" s="30"/>
      <c r="AD136" s="27">
        <v>1914000</v>
      </c>
      <c r="AE136" s="30"/>
      <c r="AF136" s="27">
        <v>2271000</v>
      </c>
      <c r="AG136" s="30"/>
      <c r="AH136" s="27">
        <v>2271000</v>
      </c>
      <c r="AI136" s="30"/>
      <c r="AJ136" s="27">
        <v>1868000</v>
      </c>
      <c r="AK136" s="30"/>
      <c r="AL136" s="27">
        <v>2597000</v>
      </c>
      <c r="AM136" s="30"/>
      <c r="AN136" s="27">
        <v>1187000</v>
      </c>
      <c r="AO136" s="30"/>
      <c r="AP136" s="27">
        <v>2321000</v>
      </c>
      <c r="AQ136" s="30"/>
      <c r="AR136" s="27">
        <v>2616000</v>
      </c>
      <c r="AS136" s="30"/>
      <c r="AT136" s="27">
        <v>2321000</v>
      </c>
      <c r="AU136" s="30"/>
      <c r="AV136" s="27">
        <v>2427000</v>
      </c>
      <c r="AW136" s="30"/>
      <c r="AX136" s="27">
        <v>2352000</v>
      </c>
      <c r="AY136" s="30"/>
      <c r="AZ136" s="27">
        <v>2521000</v>
      </c>
      <c r="BA136" s="30"/>
      <c r="BB136" s="27">
        <v>1499000</v>
      </c>
      <c r="BC136" s="30"/>
      <c r="BD136" s="27">
        <v>1499000</v>
      </c>
      <c r="BE136" s="30"/>
      <c r="BF136" s="27">
        <v>1499000</v>
      </c>
      <c r="BG136" s="30"/>
      <c r="BH136" s="27">
        <v>1499000</v>
      </c>
      <c r="BI136" s="30"/>
      <c r="BJ136" s="27">
        <v>1478000</v>
      </c>
      <c r="BK136" s="30"/>
      <c r="BL136" s="27">
        <v>1606000</v>
      </c>
      <c r="BM136" s="30"/>
      <c r="BN136" s="27">
        <v>1606000</v>
      </c>
      <c r="BO136" s="30"/>
      <c r="BP136" s="27">
        <v>1579000</v>
      </c>
      <c r="BQ136" s="30"/>
      <c r="BR136" s="27">
        <v>1499000</v>
      </c>
      <c r="BS136" s="30"/>
      <c r="BT136" s="27">
        <v>1472000</v>
      </c>
      <c r="BU136" s="30"/>
      <c r="BV136" s="27">
        <v>1472000</v>
      </c>
      <c r="BW136" s="30"/>
      <c r="BX136" s="27">
        <v>1472000</v>
      </c>
      <c r="BY136" s="30"/>
      <c r="BZ136" s="27">
        <v>1293000</v>
      </c>
      <c r="CA136" s="30"/>
      <c r="CB136" s="27">
        <v>1165000</v>
      </c>
      <c r="CC136" s="30"/>
      <c r="CD136" s="27">
        <v>1165000</v>
      </c>
      <c r="CE136" s="30"/>
      <c r="CF136" s="27">
        <v>1293000</v>
      </c>
      <c r="CG136" s="30"/>
      <c r="CH136" s="27">
        <v>2100000</v>
      </c>
      <c r="CI136" s="30"/>
    </row>
    <row r="137" spans="1:87">
      <c r="A137" s="24"/>
      <c r="B137" s="25" t="s">
        <v>303</v>
      </c>
      <c r="C137" s="26">
        <v>380</v>
      </c>
      <c r="D137" s="26">
        <v>723</v>
      </c>
      <c r="E137" s="26">
        <v>450</v>
      </c>
      <c r="F137" s="27">
        <v>7224000</v>
      </c>
      <c r="G137" s="30"/>
      <c r="H137" s="27">
        <v>4300000</v>
      </c>
      <c r="I137" s="30"/>
      <c r="J137" s="29"/>
      <c r="K137" s="30"/>
      <c r="L137" s="27">
        <v>7492000</v>
      </c>
      <c r="M137" s="30"/>
      <c r="N137" s="29"/>
      <c r="O137" s="30"/>
      <c r="P137" s="27">
        <v>1966000</v>
      </c>
      <c r="Q137" s="30"/>
      <c r="R137" s="29"/>
      <c r="S137" s="30"/>
      <c r="T137" s="29"/>
      <c r="U137" s="30"/>
      <c r="V137" s="27">
        <v>1452000</v>
      </c>
      <c r="W137" s="30"/>
      <c r="X137" s="27">
        <v>912000</v>
      </c>
      <c r="Y137" s="30"/>
      <c r="Z137" s="27">
        <v>2039000</v>
      </c>
      <c r="AA137" s="30"/>
      <c r="AB137" s="27">
        <v>2272000</v>
      </c>
      <c r="AC137" s="30"/>
      <c r="AD137" s="27">
        <v>2318000</v>
      </c>
      <c r="AE137" s="30"/>
      <c r="AF137" s="27">
        <v>2756000</v>
      </c>
      <c r="AG137" s="30"/>
      <c r="AH137" s="27">
        <v>2756000</v>
      </c>
      <c r="AI137" s="30"/>
      <c r="AJ137" s="27">
        <v>2276000</v>
      </c>
      <c r="AK137" s="30"/>
      <c r="AL137" s="27">
        <v>3186000</v>
      </c>
      <c r="AM137" s="30"/>
      <c r="AN137" s="27">
        <v>1427000</v>
      </c>
      <c r="AO137" s="30"/>
      <c r="AP137" s="27">
        <v>2836000</v>
      </c>
      <c r="AQ137" s="30"/>
      <c r="AR137" s="27">
        <v>3206000</v>
      </c>
      <c r="AS137" s="30"/>
      <c r="AT137" s="27">
        <v>2836000</v>
      </c>
      <c r="AU137" s="30"/>
      <c r="AV137" s="27">
        <v>2973000</v>
      </c>
      <c r="AW137" s="30"/>
      <c r="AX137" s="27">
        <v>2879000</v>
      </c>
      <c r="AY137" s="30"/>
      <c r="AZ137" s="27">
        <v>3090000</v>
      </c>
      <c r="BA137" s="30"/>
      <c r="BB137" s="27">
        <v>1830000</v>
      </c>
      <c r="BC137" s="30"/>
      <c r="BD137" s="27">
        <v>1830000</v>
      </c>
      <c r="BE137" s="30"/>
      <c r="BF137" s="27">
        <v>1830000</v>
      </c>
      <c r="BG137" s="30"/>
      <c r="BH137" s="27">
        <v>1830000</v>
      </c>
      <c r="BI137" s="30"/>
      <c r="BJ137" s="27">
        <v>1804000</v>
      </c>
      <c r="BK137" s="30"/>
      <c r="BL137" s="27">
        <v>1964000</v>
      </c>
      <c r="BM137" s="30"/>
      <c r="BN137" s="27">
        <v>1964000</v>
      </c>
      <c r="BO137" s="30"/>
      <c r="BP137" s="27">
        <v>1930000</v>
      </c>
      <c r="BQ137" s="30"/>
      <c r="BR137" s="27">
        <v>1830000</v>
      </c>
      <c r="BS137" s="30"/>
      <c r="BT137" s="27">
        <v>1796000</v>
      </c>
      <c r="BU137" s="30"/>
      <c r="BV137" s="27">
        <v>1796000</v>
      </c>
      <c r="BW137" s="30"/>
      <c r="BX137" s="27">
        <v>1796000</v>
      </c>
      <c r="BY137" s="30"/>
      <c r="BZ137" s="27">
        <v>1538000</v>
      </c>
      <c r="CA137" s="30"/>
      <c r="CB137" s="27">
        <v>1376000</v>
      </c>
      <c r="CC137" s="30"/>
      <c r="CD137" s="27">
        <v>1376000</v>
      </c>
      <c r="CE137" s="30"/>
      <c r="CF137" s="27">
        <v>1538000</v>
      </c>
      <c r="CG137" s="30"/>
      <c r="CH137" s="27">
        <v>2557000</v>
      </c>
      <c r="CI137" s="30"/>
    </row>
    <row r="138" spans="1:87">
      <c r="A138" s="24"/>
      <c r="B138" s="25" t="s">
        <v>304</v>
      </c>
      <c r="C138" s="26">
        <v>380</v>
      </c>
      <c r="D138" s="26">
        <v>723</v>
      </c>
      <c r="E138" s="26">
        <v>600</v>
      </c>
      <c r="F138" s="27">
        <v>8672000</v>
      </c>
      <c r="G138" s="30"/>
      <c r="H138" s="27">
        <v>5159000</v>
      </c>
      <c r="I138" s="30"/>
      <c r="J138" s="29"/>
      <c r="K138" s="30"/>
      <c r="L138" s="27">
        <v>8994000</v>
      </c>
      <c r="M138" s="30"/>
      <c r="N138" s="29"/>
      <c r="O138" s="30"/>
      <c r="P138" s="27">
        <v>2327000</v>
      </c>
      <c r="Q138" s="30"/>
      <c r="R138" s="29"/>
      <c r="S138" s="30"/>
      <c r="T138" s="29"/>
      <c r="U138" s="30"/>
      <c r="V138" s="27">
        <v>1727000</v>
      </c>
      <c r="W138" s="30"/>
      <c r="X138" s="27">
        <v>1080000</v>
      </c>
      <c r="Y138" s="30"/>
      <c r="Z138" s="27">
        <v>2421000</v>
      </c>
      <c r="AA138" s="30"/>
      <c r="AB138" s="27">
        <v>2695000</v>
      </c>
      <c r="AC138" s="30"/>
      <c r="AD138" s="27">
        <v>2743000</v>
      </c>
      <c r="AE138" s="30"/>
      <c r="AF138" s="27">
        <v>3262000</v>
      </c>
      <c r="AG138" s="30"/>
      <c r="AH138" s="27">
        <v>3262000</v>
      </c>
      <c r="AI138" s="30"/>
      <c r="AJ138" s="27">
        <v>2704000</v>
      </c>
      <c r="AK138" s="30"/>
      <c r="AL138" s="27">
        <v>3795000</v>
      </c>
      <c r="AM138" s="30"/>
      <c r="AN138" s="27">
        <v>1686000</v>
      </c>
      <c r="AO138" s="30"/>
      <c r="AP138" s="27">
        <v>3372000</v>
      </c>
      <c r="AQ138" s="30"/>
      <c r="AR138" s="27">
        <v>3816000</v>
      </c>
      <c r="AS138" s="30"/>
      <c r="AT138" s="27">
        <v>3372000</v>
      </c>
      <c r="AU138" s="30"/>
      <c r="AV138" s="27">
        <v>3538000</v>
      </c>
      <c r="AW138" s="30"/>
      <c r="AX138" s="27">
        <v>3426000</v>
      </c>
      <c r="AY138" s="30"/>
      <c r="AZ138" s="27">
        <v>3680000</v>
      </c>
      <c r="BA138" s="30"/>
      <c r="BB138" s="27">
        <v>2181000</v>
      </c>
      <c r="BC138" s="30"/>
      <c r="BD138" s="27">
        <v>2181000</v>
      </c>
      <c r="BE138" s="30"/>
      <c r="BF138" s="27">
        <v>2181000</v>
      </c>
      <c r="BG138" s="30"/>
      <c r="BH138" s="27">
        <v>2181000</v>
      </c>
      <c r="BI138" s="30"/>
      <c r="BJ138" s="27">
        <v>2150000</v>
      </c>
      <c r="BK138" s="30"/>
      <c r="BL138" s="27">
        <v>2342000</v>
      </c>
      <c r="BM138" s="30"/>
      <c r="BN138" s="27">
        <v>2342000</v>
      </c>
      <c r="BO138" s="30"/>
      <c r="BP138" s="27">
        <v>2301000</v>
      </c>
      <c r="BQ138" s="30"/>
      <c r="BR138" s="27">
        <v>2181000</v>
      </c>
      <c r="BS138" s="30"/>
      <c r="BT138" s="27">
        <v>2140000</v>
      </c>
      <c r="BU138" s="30"/>
      <c r="BV138" s="27">
        <v>2140000</v>
      </c>
      <c r="BW138" s="30"/>
      <c r="BX138" s="27">
        <v>2140000</v>
      </c>
      <c r="BY138" s="30"/>
      <c r="BZ138" s="27">
        <v>1802000</v>
      </c>
      <c r="CA138" s="30"/>
      <c r="CB138" s="27">
        <v>1608000</v>
      </c>
      <c r="CC138" s="30"/>
      <c r="CD138" s="27">
        <v>1608000</v>
      </c>
      <c r="CE138" s="30"/>
      <c r="CF138" s="27">
        <v>1802000</v>
      </c>
      <c r="CG138" s="30"/>
      <c r="CH138" s="27">
        <v>3034000</v>
      </c>
      <c r="CI138" s="30"/>
    </row>
    <row r="139" spans="1:87">
      <c r="A139" s="24"/>
      <c r="B139" s="25" t="s">
        <v>305</v>
      </c>
      <c r="C139" s="26">
        <v>380</v>
      </c>
      <c r="D139" s="26">
        <v>723</v>
      </c>
      <c r="E139" s="26">
        <v>900</v>
      </c>
      <c r="F139" s="27">
        <v>11548000</v>
      </c>
      <c r="G139" s="30"/>
      <c r="H139" s="27">
        <v>6858000</v>
      </c>
      <c r="I139" s="30"/>
      <c r="J139" s="29"/>
      <c r="K139" s="30"/>
      <c r="L139" s="27">
        <v>11978000</v>
      </c>
      <c r="M139" s="30"/>
      <c r="N139" s="29"/>
      <c r="O139" s="30"/>
      <c r="P139" s="27">
        <v>3030000</v>
      </c>
      <c r="Q139" s="30"/>
      <c r="R139" s="29"/>
      <c r="S139" s="30"/>
      <c r="T139" s="29"/>
      <c r="U139" s="30"/>
      <c r="V139" s="27">
        <v>2259000</v>
      </c>
      <c r="W139" s="30"/>
      <c r="X139" s="27">
        <v>1394000</v>
      </c>
      <c r="Y139" s="30"/>
      <c r="Z139" s="27">
        <v>3165000</v>
      </c>
      <c r="AA139" s="30"/>
      <c r="AB139" s="27">
        <v>3522000</v>
      </c>
      <c r="AC139" s="30"/>
      <c r="AD139" s="27">
        <v>3572000</v>
      </c>
      <c r="AE139" s="30"/>
      <c r="AF139" s="27">
        <v>4253000</v>
      </c>
      <c r="AG139" s="30"/>
      <c r="AH139" s="27">
        <v>4253000</v>
      </c>
      <c r="AI139" s="30"/>
      <c r="AJ139" s="27">
        <v>3539000</v>
      </c>
      <c r="AK139" s="30"/>
      <c r="AL139" s="27">
        <v>4992000</v>
      </c>
      <c r="AM139" s="30"/>
      <c r="AN139" s="27">
        <v>2184000</v>
      </c>
      <c r="AO139" s="30"/>
      <c r="AP139" s="27">
        <v>4424000</v>
      </c>
      <c r="AQ139" s="30"/>
      <c r="AR139" s="27">
        <v>5017000</v>
      </c>
      <c r="AS139" s="30"/>
      <c r="AT139" s="27">
        <v>4424000</v>
      </c>
      <c r="AU139" s="30"/>
      <c r="AV139" s="27">
        <v>4649000</v>
      </c>
      <c r="AW139" s="30"/>
      <c r="AX139" s="27">
        <v>4499000</v>
      </c>
      <c r="AY139" s="30"/>
      <c r="AZ139" s="27">
        <v>4838000</v>
      </c>
      <c r="BA139" s="30"/>
      <c r="BB139" s="27">
        <v>2862000</v>
      </c>
      <c r="BC139" s="30"/>
      <c r="BD139" s="27">
        <v>2862000</v>
      </c>
      <c r="BE139" s="30"/>
      <c r="BF139" s="27">
        <v>2862000</v>
      </c>
      <c r="BG139" s="30"/>
      <c r="BH139" s="27">
        <v>2862000</v>
      </c>
      <c r="BI139" s="30"/>
      <c r="BJ139" s="27">
        <v>2822000</v>
      </c>
      <c r="BK139" s="30"/>
      <c r="BL139" s="27">
        <v>3078000</v>
      </c>
      <c r="BM139" s="30"/>
      <c r="BN139" s="27">
        <v>3078000</v>
      </c>
      <c r="BO139" s="30"/>
      <c r="BP139" s="27">
        <v>3024000</v>
      </c>
      <c r="BQ139" s="30"/>
      <c r="BR139" s="27">
        <v>2862000</v>
      </c>
      <c r="BS139" s="30"/>
      <c r="BT139" s="27">
        <v>2809000</v>
      </c>
      <c r="BU139" s="30"/>
      <c r="BV139" s="27">
        <v>2809000</v>
      </c>
      <c r="BW139" s="30"/>
      <c r="BX139" s="27">
        <v>2809000</v>
      </c>
      <c r="BY139" s="30"/>
      <c r="BZ139" s="27">
        <v>2311000</v>
      </c>
      <c r="CA139" s="30"/>
      <c r="CB139" s="27">
        <v>2052000</v>
      </c>
      <c r="CC139" s="30"/>
      <c r="CD139" s="27">
        <v>2052000</v>
      </c>
      <c r="CE139" s="30"/>
      <c r="CF139" s="27">
        <v>2311000</v>
      </c>
      <c r="CG139" s="30"/>
      <c r="CH139" s="27">
        <v>3968000</v>
      </c>
      <c r="CI139" s="30"/>
    </row>
    <row r="140" spans="1:87">
      <c r="A140" s="24"/>
      <c r="B140" s="25" t="s">
        <v>306</v>
      </c>
      <c r="C140" s="26">
        <v>380</v>
      </c>
      <c r="D140" s="26">
        <v>978</v>
      </c>
      <c r="E140" s="26">
        <v>300</v>
      </c>
      <c r="F140" s="27">
        <v>7794000</v>
      </c>
      <c r="G140" s="30"/>
      <c r="H140" s="27">
        <v>4649000</v>
      </c>
      <c r="I140" s="30"/>
      <c r="J140" s="29"/>
      <c r="K140" s="30"/>
      <c r="L140" s="27">
        <v>8082000</v>
      </c>
      <c r="M140" s="30"/>
      <c r="N140" s="29"/>
      <c r="O140" s="30"/>
      <c r="P140" s="27">
        <v>2155000</v>
      </c>
      <c r="Q140" s="30"/>
      <c r="R140" s="29"/>
      <c r="S140" s="30"/>
      <c r="T140" s="29"/>
      <c r="U140" s="30"/>
      <c r="V140" s="27">
        <v>1591000</v>
      </c>
      <c r="W140" s="30"/>
      <c r="X140" s="27">
        <v>1011000</v>
      </c>
      <c r="Y140" s="30"/>
      <c r="Z140" s="27">
        <v>2231000</v>
      </c>
      <c r="AA140" s="30"/>
      <c r="AB140" s="27">
        <v>2485000</v>
      </c>
      <c r="AC140" s="30"/>
      <c r="AD140" s="27">
        <v>2539000</v>
      </c>
      <c r="AE140" s="30"/>
      <c r="AF140" s="27">
        <v>3014000</v>
      </c>
      <c r="AG140" s="30"/>
      <c r="AH140" s="27">
        <v>3014000</v>
      </c>
      <c r="AI140" s="30"/>
      <c r="AJ140" s="27">
        <v>2486000</v>
      </c>
      <c r="AK140" s="30"/>
      <c r="AL140" s="27">
        <v>3466000</v>
      </c>
      <c r="AM140" s="30"/>
      <c r="AN140" s="27">
        <v>1571000</v>
      </c>
      <c r="AO140" s="30"/>
      <c r="AP140" s="27">
        <v>3092000</v>
      </c>
      <c r="AQ140" s="30"/>
      <c r="AR140" s="27">
        <v>3490000</v>
      </c>
      <c r="AS140" s="30"/>
      <c r="AT140" s="27">
        <v>3092000</v>
      </c>
      <c r="AU140" s="30"/>
      <c r="AV140" s="27">
        <v>3237000</v>
      </c>
      <c r="AW140" s="30"/>
      <c r="AX140" s="27">
        <v>3137000</v>
      </c>
      <c r="AY140" s="30"/>
      <c r="AZ140" s="27">
        <v>3364000</v>
      </c>
      <c r="BA140" s="30"/>
      <c r="BB140" s="27">
        <v>1998000</v>
      </c>
      <c r="BC140" s="30"/>
      <c r="BD140" s="27">
        <v>1998000</v>
      </c>
      <c r="BE140" s="30"/>
      <c r="BF140" s="27">
        <v>1998000</v>
      </c>
      <c r="BG140" s="30"/>
      <c r="BH140" s="27">
        <v>1998000</v>
      </c>
      <c r="BI140" s="30"/>
      <c r="BJ140" s="27">
        <v>1971000</v>
      </c>
      <c r="BK140" s="30"/>
      <c r="BL140" s="27">
        <v>2143000</v>
      </c>
      <c r="BM140" s="30"/>
      <c r="BN140" s="27">
        <v>2143000</v>
      </c>
      <c r="BO140" s="30"/>
      <c r="BP140" s="27">
        <v>2107000</v>
      </c>
      <c r="BQ140" s="30"/>
      <c r="BR140" s="27">
        <v>1998000</v>
      </c>
      <c r="BS140" s="30"/>
      <c r="BT140" s="27">
        <v>1962000</v>
      </c>
      <c r="BU140" s="30"/>
      <c r="BV140" s="27">
        <v>1962000</v>
      </c>
      <c r="BW140" s="30"/>
      <c r="BX140" s="27">
        <v>1962000</v>
      </c>
      <c r="BY140" s="30"/>
      <c r="BZ140" s="27">
        <v>1702000</v>
      </c>
      <c r="CA140" s="30"/>
      <c r="CB140" s="27">
        <v>1528000</v>
      </c>
      <c r="CC140" s="30"/>
      <c r="CD140" s="27">
        <v>1528000</v>
      </c>
      <c r="CE140" s="30"/>
      <c r="CF140" s="27">
        <v>1702000</v>
      </c>
      <c r="CG140" s="30"/>
      <c r="CH140" s="27">
        <v>2793000</v>
      </c>
      <c r="CI140" s="30"/>
    </row>
    <row r="141" spans="1:87">
      <c r="A141" s="24"/>
      <c r="B141" s="25" t="s">
        <v>307</v>
      </c>
      <c r="C141" s="26">
        <v>380</v>
      </c>
      <c r="D141" s="26">
        <v>978</v>
      </c>
      <c r="E141" s="26">
        <v>450</v>
      </c>
      <c r="F141" s="27">
        <v>9708000</v>
      </c>
      <c r="G141" s="30"/>
      <c r="H141" s="27">
        <v>5774000</v>
      </c>
      <c r="I141" s="30"/>
      <c r="J141" s="29"/>
      <c r="K141" s="30"/>
      <c r="L141" s="27">
        <v>10069000</v>
      </c>
      <c r="M141" s="30"/>
      <c r="N141" s="29"/>
      <c r="O141" s="30"/>
      <c r="P141" s="27">
        <v>2613000</v>
      </c>
      <c r="Q141" s="30"/>
      <c r="R141" s="29"/>
      <c r="S141" s="30"/>
      <c r="T141" s="29"/>
      <c r="U141" s="30"/>
      <c r="V141" s="27">
        <v>1934000</v>
      </c>
      <c r="W141" s="30"/>
      <c r="X141" s="27">
        <v>1209000</v>
      </c>
      <c r="Y141" s="30"/>
      <c r="Z141" s="27">
        <v>2716000</v>
      </c>
      <c r="AA141" s="30"/>
      <c r="AB141" s="27">
        <v>3025000</v>
      </c>
      <c r="AC141" s="30"/>
      <c r="AD141" s="27">
        <v>3082000</v>
      </c>
      <c r="AE141" s="30"/>
      <c r="AF141" s="27">
        <v>3665000</v>
      </c>
      <c r="AG141" s="30"/>
      <c r="AH141" s="27">
        <v>3665000</v>
      </c>
      <c r="AI141" s="30"/>
      <c r="AJ141" s="27">
        <v>3033000</v>
      </c>
      <c r="AK141" s="30"/>
      <c r="AL141" s="27">
        <v>4256000</v>
      </c>
      <c r="AM141" s="30"/>
      <c r="AN141" s="27">
        <v>1892000</v>
      </c>
      <c r="AO141" s="30"/>
      <c r="AP141" s="27">
        <v>3784000</v>
      </c>
      <c r="AQ141" s="30"/>
      <c r="AR141" s="27">
        <v>4281000</v>
      </c>
      <c r="AS141" s="30"/>
      <c r="AT141" s="27">
        <v>3784000</v>
      </c>
      <c r="AU141" s="30"/>
      <c r="AV141" s="27">
        <v>3969000</v>
      </c>
      <c r="AW141" s="30"/>
      <c r="AX141" s="27">
        <v>3843000</v>
      </c>
      <c r="AY141" s="30"/>
      <c r="AZ141" s="27">
        <v>4127000</v>
      </c>
      <c r="BA141" s="30"/>
      <c r="BB141" s="27">
        <v>2442000</v>
      </c>
      <c r="BC141" s="30"/>
      <c r="BD141" s="27">
        <v>2442000</v>
      </c>
      <c r="BE141" s="30"/>
      <c r="BF141" s="27">
        <v>2442000</v>
      </c>
      <c r="BG141" s="30"/>
      <c r="BH141" s="27">
        <v>2442000</v>
      </c>
      <c r="BI141" s="30"/>
      <c r="BJ141" s="27">
        <v>2408000</v>
      </c>
      <c r="BK141" s="30"/>
      <c r="BL141" s="27">
        <v>2623000</v>
      </c>
      <c r="BM141" s="30"/>
      <c r="BN141" s="27">
        <v>2623000</v>
      </c>
      <c r="BO141" s="30"/>
      <c r="BP141" s="27">
        <v>2577000</v>
      </c>
      <c r="BQ141" s="30"/>
      <c r="BR141" s="27">
        <v>2442000</v>
      </c>
      <c r="BS141" s="30"/>
      <c r="BT141" s="27">
        <v>2397000</v>
      </c>
      <c r="BU141" s="30"/>
      <c r="BV141" s="27">
        <v>2397000</v>
      </c>
      <c r="BW141" s="30"/>
      <c r="BX141" s="27">
        <v>2397000</v>
      </c>
      <c r="BY141" s="30"/>
      <c r="BZ141" s="27">
        <v>2029000</v>
      </c>
      <c r="CA141" s="30"/>
      <c r="CB141" s="27">
        <v>1812000</v>
      </c>
      <c r="CC141" s="30"/>
      <c r="CD141" s="27">
        <v>1812000</v>
      </c>
      <c r="CE141" s="30"/>
      <c r="CF141" s="27">
        <v>2029000</v>
      </c>
      <c r="CG141" s="30"/>
      <c r="CH141" s="27">
        <v>3406000</v>
      </c>
      <c r="CI141" s="30"/>
    </row>
    <row r="142" spans="1:87">
      <c r="A142" s="24"/>
      <c r="B142" s="25" t="s">
        <v>308</v>
      </c>
      <c r="C142" s="26">
        <v>380</v>
      </c>
      <c r="D142" s="26">
        <v>978</v>
      </c>
      <c r="E142" s="26">
        <v>600</v>
      </c>
      <c r="F142" s="27">
        <v>11643000</v>
      </c>
      <c r="G142" s="30"/>
      <c r="H142" s="27">
        <v>6919000</v>
      </c>
      <c r="I142" s="30"/>
      <c r="J142" s="29"/>
      <c r="K142" s="30"/>
      <c r="L142" s="27">
        <v>12076000</v>
      </c>
      <c r="M142" s="30"/>
      <c r="N142" s="29"/>
      <c r="O142" s="30"/>
      <c r="P142" s="27">
        <v>3091000</v>
      </c>
      <c r="Q142" s="30"/>
      <c r="R142" s="29"/>
      <c r="S142" s="30"/>
      <c r="T142" s="29"/>
      <c r="U142" s="30"/>
      <c r="V142" s="27">
        <v>2297000</v>
      </c>
      <c r="W142" s="30"/>
      <c r="X142" s="27">
        <v>1426000</v>
      </c>
      <c r="Y142" s="30"/>
      <c r="Z142" s="27">
        <v>3221000</v>
      </c>
      <c r="AA142" s="30"/>
      <c r="AB142" s="27">
        <v>3586000</v>
      </c>
      <c r="AC142" s="30"/>
      <c r="AD142" s="27">
        <v>3644000</v>
      </c>
      <c r="AE142" s="30"/>
      <c r="AF142" s="27">
        <v>4336000</v>
      </c>
      <c r="AG142" s="30"/>
      <c r="AH142" s="27">
        <v>4336000</v>
      </c>
      <c r="AI142" s="30"/>
      <c r="AJ142" s="27">
        <v>3600000</v>
      </c>
      <c r="AK142" s="30"/>
      <c r="AL142" s="27">
        <v>5065000</v>
      </c>
      <c r="AM142" s="30"/>
      <c r="AN142" s="27">
        <v>2232000</v>
      </c>
      <c r="AO142" s="30"/>
      <c r="AP142" s="27">
        <v>4495000</v>
      </c>
      <c r="AQ142" s="30"/>
      <c r="AR142" s="27">
        <v>5092000</v>
      </c>
      <c r="AS142" s="30"/>
      <c r="AT142" s="27">
        <v>4495000</v>
      </c>
      <c r="AU142" s="30"/>
      <c r="AV142" s="27">
        <v>4720000</v>
      </c>
      <c r="AW142" s="30"/>
      <c r="AX142" s="27">
        <v>4569000</v>
      </c>
      <c r="AY142" s="30"/>
      <c r="AZ142" s="27">
        <v>4910000</v>
      </c>
      <c r="BA142" s="30"/>
      <c r="BB142" s="27">
        <v>2906000</v>
      </c>
      <c r="BC142" s="30"/>
      <c r="BD142" s="27">
        <v>2906000</v>
      </c>
      <c r="BE142" s="30"/>
      <c r="BF142" s="27">
        <v>2906000</v>
      </c>
      <c r="BG142" s="30"/>
      <c r="BH142" s="27">
        <v>2906000</v>
      </c>
      <c r="BI142" s="30"/>
      <c r="BJ142" s="27">
        <v>2865000</v>
      </c>
      <c r="BK142" s="30"/>
      <c r="BL142" s="27">
        <v>3123000</v>
      </c>
      <c r="BM142" s="30"/>
      <c r="BN142" s="27">
        <v>3123000</v>
      </c>
      <c r="BO142" s="30"/>
      <c r="BP142" s="27">
        <v>3068000</v>
      </c>
      <c r="BQ142" s="30"/>
      <c r="BR142" s="27">
        <v>2906000</v>
      </c>
      <c r="BS142" s="30"/>
      <c r="BT142" s="27">
        <v>2852000</v>
      </c>
      <c r="BU142" s="30"/>
      <c r="BV142" s="27">
        <v>2852000</v>
      </c>
      <c r="BW142" s="30"/>
      <c r="BX142" s="27">
        <v>2852000</v>
      </c>
      <c r="BY142" s="30"/>
      <c r="BZ142" s="27">
        <v>2376000</v>
      </c>
      <c r="CA142" s="30"/>
      <c r="CB142" s="27">
        <v>2116000</v>
      </c>
      <c r="CC142" s="30"/>
      <c r="CD142" s="27">
        <v>2116000</v>
      </c>
      <c r="CE142" s="30"/>
      <c r="CF142" s="27">
        <v>2376000</v>
      </c>
      <c r="CG142" s="30"/>
      <c r="CH142" s="27">
        <v>4039000</v>
      </c>
      <c r="CI142" s="30"/>
    </row>
    <row r="143" spans="1:87">
      <c r="A143" s="24"/>
      <c r="B143" s="25" t="s">
        <v>309</v>
      </c>
      <c r="C143" s="26">
        <v>380</v>
      </c>
      <c r="D143" s="26">
        <v>978</v>
      </c>
      <c r="E143" s="26">
        <v>900</v>
      </c>
      <c r="F143" s="27">
        <v>15492000</v>
      </c>
      <c r="G143" s="30"/>
      <c r="H143" s="27">
        <v>9190000</v>
      </c>
      <c r="I143" s="30"/>
      <c r="J143" s="29"/>
      <c r="K143" s="30"/>
      <c r="L143" s="27">
        <v>16070000</v>
      </c>
      <c r="M143" s="30"/>
      <c r="N143" s="29"/>
      <c r="O143" s="30"/>
      <c r="P143" s="27">
        <v>4026000</v>
      </c>
      <c r="Q143" s="30"/>
      <c r="R143" s="29"/>
      <c r="S143" s="30"/>
      <c r="T143" s="29"/>
      <c r="U143" s="30"/>
      <c r="V143" s="27">
        <v>3003000</v>
      </c>
      <c r="W143" s="30"/>
      <c r="X143" s="27">
        <v>1841000</v>
      </c>
      <c r="Y143" s="30"/>
      <c r="Z143" s="27">
        <v>4211000</v>
      </c>
      <c r="AA143" s="30"/>
      <c r="AB143" s="27">
        <v>4687000</v>
      </c>
      <c r="AC143" s="30"/>
      <c r="AD143" s="27">
        <v>4748000</v>
      </c>
      <c r="AE143" s="30"/>
      <c r="AF143" s="27">
        <v>5658000</v>
      </c>
      <c r="AG143" s="30"/>
      <c r="AH143" s="27">
        <v>5658000</v>
      </c>
      <c r="AI143" s="30"/>
      <c r="AJ143" s="27">
        <v>4713000</v>
      </c>
      <c r="AK143" s="30"/>
      <c r="AL143" s="27">
        <v>6664000</v>
      </c>
      <c r="AM143" s="30"/>
      <c r="AN143" s="27">
        <v>2893000</v>
      </c>
      <c r="AO143" s="30"/>
      <c r="AP143" s="27">
        <v>5899000</v>
      </c>
      <c r="AQ143" s="30"/>
      <c r="AR143" s="27">
        <v>6695000</v>
      </c>
      <c r="AS143" s="30"/>
      <c r="AT143" s="27">
        <v>5899000</v>
      </c>
      <c r="AU143" s="30"/>
      <c r="AV143" s="27">
        <v>6203000</v>
      </c>
      <c r="AW143" s="30"/>
      <c r="AX143" s="27">
        <v>6001000</v>
      </c>
      <c r="AY143" s="30"/>
      <c r="AZ143" s="27">
        <v>6457000</v>
      </c>
      <c r="BA143" s="30"/>
      <c r="BB143" s="27">
        <v>3813000</v>
      </c>
      <c r="BC143" s="30"/>
      <c r="BD143" s="27">
        <v>3813000</v>
      </c>
      <c r="BE143" s="30"/>
      <c r="BF143" s="27">
        <v>3813000</v>
      </c>
      <c r="BG143" s="30"/>
      <c r="BH143" s="27">
        <v>3813000</v>
      </c>
      <c r="BI143" s="30"/>
      <c r="BJ143" s="27">
        <v>3759000</v>
      </c>
      <c r="BK143" s="30"/>
      <c r="BL143" s="27">
        <v>4103000</v>
      </c>
      <c r="BM143" s="30"/>
      <c r="BN143" s="27">
        <v>4103000</v>
      </c>
      <c r="BO143" s="30"/>
      <c r="BP143" s="27">
        <v>4030000</v>
      </c>
      <c r="BQ143" s="30"/>
      <c r="BR143" s="27">
        <v>3813000</v>
      </c>
      <c r="BS143" s="30"/>
      <c r="BT143" s="27">
        <v>3741000</v>
      </c>
      <c r="BU143" s="30"/>
      <c r="BV143" s="27">
        <v>3741000</v>
      </c>
      <c r="BW143" s="30"/>
      <c r="BX143" s="27">
        <v>3741000</v>
      </c>
      <c r="BY143" s="30"/>
      <c r="BZ143" s="27">
        <v>3051000</v>
      </c>
      <c r="CA143" s="30"/>
      <c r="CB143" s="27">
        <v>2703000</v>
      </c>
      <c r="CC143" s="30"/>
      <c r="CD143" s="27">
        <v>2703000</v>
      </c>
      <c r="CE143" s="30"/>
      <c r="CF143" s="27">
        <v>3051000</v>
      </c>
      <c r="CG143" s="30"/>
      <c r="CH143" s="27">
        <v>5284000</v>
      </c>
      <c r="CI143" s="30"/>
    </row>
    <row r="144" spans="1:87" ht="63" customHeight="1">
      <c r="A144" s="16" t="e">
        <f ca="1">_xludf.image("https://lh3.google.com/u/0/d/1X8bcrAVNKfi4x2oCAU6z3yUfvtSd7_Jl",1)</f>
        <v>#NAME?</v>
      </c>
      <c r="B144" s="17" t="s">
        <v>159</v>
      </c>
      <c r="C144" s="147"/>
      <c r="D144" s="145"/>
      <c r="E144" s="146"/>
      <c r="F144" s="18"/>
      <c r="G144" s="19"/>
      <c r="H144" s="18"/>
      <c r="I144" s="19"/>
      <c r="J144" s="18"/>
      <c r="K144" s="19"/>
      <c r="L144" s="18"/>
      <c r="M144" s="19"/>
      <c r="N144" s="18"/>
      <c r="O144" s="19"/>
      <c r="P144" s="18"/>
      <c r="Q144" s="19"/>
      <c r="R144" s="18"/>
      <c r="S144" s="19"/>
      <c r="T144" s="18"/>
      <c r="U144" s="19"/>
      <c r="V144" s="18"/>
      <c r="W144" s="19"/>
      <c r="X144" s="18"/>
      <c r="Y144" s="19"/>
      <c r="Z144" s="18"/>
      <c r="AA144" s="19"/>
      <c r="AB144" s="18"/>
      <c r="AC144" s="19"/>
      <c r="AD144" s="18"/>
      <c r="AE144" s="19"/>
      <c r="AF144" s="18"/>
      <c r="AG144" s="19"/>
      <c r="AH144" s="18"/>
      <c r="AI144" s="19"/>
      <c r="AJ144" s="18"/>
      <c r="AK144" s="19"/>
      <c r="AL144" s="18"/>
      <c r="AM144" s="19"/>
      <c r="AN144" s="18"/>
      <c r="AO144" s="19"/>
      <c r="AP144" s="18"/>
      <c r="AQ144" s="19"/>
      <c r="AR144" s="18"/>
      <c r="AS144" s="19"/>
      <c r="AT144" s="18"/>
      <c r="AU144" s="19"/>
      <c r="AV144" s="18"/>
      <c r="AW144" s="19"/>
      <c r="AX144" s="18"/>
      <c r="AY144" s="19"/>
      <c r="AZ144" s="18"/>
      <c r="BA144" s="19"/>
      <c r="BB144" s="18"/>
      <c r="BC144" s="19"/>
      <c r="BD144" s="18"/>
      <c r="BE144" s="19"/>
      <c r="BF144" s="18"/>
      <c r="BG144" s="19"/>
      <c r="BH144" s="18"/>
      <c r="BI144" s="19"/>
      <c r="BJ144" s="18"/>
      <c r="BK144" s="19"/>
      <c r="BL144" s="18"/>
      <c r="BM144" s="19"/>
      <c r="BN144" s="18"/>
      <c r="BO144" s="19"/>
      <c r="BP144" s="18"/>
      <c r="BQ144" s="19"/>
      <c r="BR144" s="18"/>
      <c r="BS144" s="19"/>
      <c r="BT144" s="18"/>
      <c r="BU144" s="19"/>
      <c r="BV144" s="18"/>
      <c r="BW144" s="19"/>
      <c r="BX144" s="18"/>
      <c r="BY144" s="19"/>
      <c r="BZ144" s="18"/>
      <c r="CA144" s="19"/>
      <c r="CB144" s="18"/>
      <c r="CC144" s="19"/>
      <c r="CD144" s="18"/>
      <c r="CE144" s="19"/>
      <c r="CF144" s="18"/>
      <c r="CG144" s="19"/>
      <c r="CH144" s="18"/>
      <c r="CI144" s="19"/>
    </row>
    <row r="145" spans="1:87">
      <c r="A145" s="24"/>
      <c r="B145" s="25" t="s">
        <v>310</v>
      </c>
      <c r="C145" s="26">
        <v>380</v>
      </c>
      <c r="D145" s="26">
        <v>600</v>
      </c>
      <c r="E145" s="50"/>
      <c r="F145" s="27">
        <v>1166000</v>
      </c>
      <c r="G145" s="28">
        <v>1166000</v>
      </c>
      <c r="H145" s="27">
        <v>685000</v>
      </c>
      <c r="I145" s="28">
        <v>685000</v>
      </c>
      <c r="J145" s="29"/>
      <c r="K145" s="30"/>
      <c r="L145" s="27">
        <v>1210000</v>
      </c>
      <c r="M145" s="28">
        <v>1210000</v>
      </c>
      <c r="N145" s="29"/>
      <c r="O145" s="30"/>
      <c r="P145" s="42">
        <v>341000</v>
      </c>
      <c r="Q145" s="30"/>
      <c r="R145" s="29"/>
      <c r="S145" s="30"/>
      <c r="T145" s="29"/>
      <c r="U145" s="30"/>
      <c r="V145" s="42">
        <v>231000</v>
      </c>
      <c r="W145" s="30"/>
      <c r="X145" s="42">
        <v>143000</v>
      </c>
      <c r="Y145" s="30"/>
      <c r="Z145" s="42">
        <v>345000</v>
      </c>
      <c r="AA145" s="30"/>
      <c r="AB145" s="42">
        <v>391000</v>
      </c>
      <c r="AC145" s="30"/>
      <c r="AD145" s="42">
        <v>410000</v>
      </c>
      <c r="AE145" s="30"/>
      <c r="AF145" s="42">
        <v>493000</v>
      </c>
      <c r="AG145" s="30"/>
      <c r="AH145" s="42">
        <v>493000</v>
      </c>
      <c r="AI145" s="30"/>
      <c r="AJ145" s="42">
        <v>387000</v>
      </c>
      <c r="AK145" s="30"/>
      <c r="AL145" s="42">
        <v>539000</v>
      </c>
      <c r="AM145" s="30"/>
      <c r="AN145" s="42">
        <v>244000</v>
      </c>
      <c r="AO145" s="30"/>
      <c r="AP145" s="42">
        <v>485000</v>
      </c>
      <c r="AQ145" s="30"/>
      <c r="AR145" s="42">
        <v>546000</v>
      </c>
      <c r="AS145" s="30"/>
      <c r="AT145" s="42">
        <v>485000</v>
      </c>
      <c r="AU145" s="30"/>
      <c r="AV145" s="42">
        <v>505000</v>
      </c>
      <c r="AW145" s="30"/>
      <c r="AX145" s="42">
        <v>489000</v>
      </c>
      <c r="AY145" s="30"/>
      <c r="AZ145" s="42">
        <v>524000</v>
      </c>
      <c r="BA145" s="30"/>
      <c r="BB145" s="42">
        <v>295000</v>
      </c>
      <c r="BC145" s="30"/>
      <c r="BD145" s="42">
        <v>295000</v>
      </c>
      <c r="BE145" s="30"/>
      <c r="BF145" s="42">
        <v>295000</v>
      </c>
      <c r="BG145" s="30"/>
      <c r="BH145" s="42">
        <v>295000</v>
      </c>
      <c r="BI145" s="30"/>
      <c r="BJ145" s="42">
        <v>290000</v>
      </c>
      <c r="BK145" s="30"/>
      <c r="BL145" s="42">
        <v>317000</v>
      </c>
      <c r="BM145" s="30"/>
      <c r="BN145" s="42">
        <v>317000</v>
      </c>
      <c r="BO145" s="30"/>
      <c r="BP145" s="42">
        <v>311000</v>
      </c>
      <c r="BQ145" s="30"/>
      <c r="BR145" s="42">
        <v>295000</v>
      </c>
      <c r="BS145" s="30"/>
      <c r="BT145" s="42">
        <v>289000</v>
      </c>
      <c r="BU145" s="30"/>
      <c r="BV145" s="42">
        <v>289000</v>
      </c>
      <c r="BW145" s="30"/>
      <c r="BX145" s="42">
        <v>289000</v>
      </c>
      <c r="BY145" s="30"/>
      <c r="BZ145" s="42">
        <v>286000</v>
      </c>
      <c r="CA145" s="30"/>
      <c r="CB145" s="42">
        <v>260000</v>
      </c>
      <c r="CC145" s="30"/>
      <c r="CD145" s="42">
        <v>260000</v>
      </c>
      <c r="CE145" s="30"/>
      <c r="CF145" s="42">
        <v>286000</v>
      </c>
      <c r="CG145" s="30"/>
      <c r="CH145" s="42">
        <v>443000</v>
      </c>
      <c r="CI145" s="30"/>
    </row>
    <row r="146" spans="1:87">
      <c r="A146" s="24"/>
      <c r="B146" s="25" t="s">
        <v>311</v>
      </c>
      <c r="C146" s="26">
        <v>380</v>
      </c>
      <c r="D146" s="26">
        <v>723</v>
      </c>
      <c r="E146" s="50"/>
      <c r="F146" s="27">
        <v>1404000</v>
      </c>
      <c r="G146" s="28">
        <v>1404000</v>
      </c>
      <c r="H146" s="27">
        <v>826000</v>
      </c>
      <c r="I146" s="28">
        <v>826000</v>
      </c>
      <c r="J146" s="29"/>
      <c r="K146" s="30"/>
      <c r="L146" s="27">
        <v>1457000</v>
      </c>
      <c r="M146" s="28">
        <v>1457000</v>
      </c>
      <c r="N146" s="29"/>
      <c r="O146" s="30"/>
      <c r="P146" s="42">
        <v>405000</v>
      </c>
      <c r="Q146" s="30"/>
      <c r="R146" s="29"/>
      <c r="S146" s="30"/>
      <c r="T146" s="29"/>
      <c r="U146" s="30"/>
      <c r="V146" s="42">
        <v>276000</v>
      </c>
      <c r="W146" s="30"/>
      <c r="X146" s="42">
        <v>170000</v>
      </c>
      <c r="Y146" s="30"/>
      <c r="Z146" s="42">
        <v>411000</v>
      </c>
      <c r="AA146" s="30"/>
      <c r="AB146" s="42">
        <v>465000</v>
      </c>
      <c r="AC146" s="30"/>
      <c r="AD146" s="42">
        <v>487000</v>
      </c>
      <c r="AE146" s="30"/>
      <c r="AF146" s="42">
        <v>584000</v>
      </c>
      <c r="AG146" s="30"/>
      <c r="AH146" s="42">
        <v>584000</v>
      </c>
      <c r="AI146" s="30"/>
      <c r="AJ146" s="42">
        <v>460000</v>
      </c>
      <c r="AK146" s="30"/>
      <c r="AL146" s="42">
        <v>644000</v>
      </c>
      <c r="AM146" s="30"/>
      <c r="AN146" s="42">
        <v>289000</v>
      </c>
      <c r="AO146" s="30"/>
      <c r="AP146" s="42">
        <v>579000</v>
      </c>
      <c r="AQ146" s="30"/>
      <c r="AR146" s="42">
        <v>652000</v>
      </c>
      <c r="AS146" s="30"/>
      <c r="AT146" s="42">
        <v>579000</v>
      </c>
      <c r="AU146" s="30"/>
      <c r="AV146" s="42">
        <v>602000</v>
      </c>
      <c r="AW146" s="30"/>
      <c r="AX146" s="42">
        <v>584000</v>
      </c>
      <c r="AY146" s="30"/>
      <c r="AZ146" s="42">
        <v>626000</v>
      </c>
      <c r="BA146" s="30"/>
      <c r="BB146" s="42">
        <v>353000</v>
      </c>
      <c r="BC146" s="30"/>
      <c r="BD146" s="42">
        <v>353000</v>
      </c>
      <c r="BE146" s="30"/>
      <c r="BF146" s="42">
        <v>353000</v>
      </c>
      <c r="BG146" s="30"/>
      <c r="BH146" s="42">
        <v>353000</v>
      </c>
      <c r="BI146" s="30"/>
      <c r="BJ146" s="42">
        <v>348000</v>
      </c>
      <c r="BK146" s="30"/>
      <c r="BL146" s="42">
        <v>379000</v>
      </c>
      <c r="BM146" s="30"/>
      <c r="BN146" s="42">
        <v>379000</v>
      </c>
      <c r="BO146" s="30"/>
      <c r="BP146" s="42">
        <v>372000</v>
      </c>
      <c r="BQ146" s="30"/>
      <c r="BR146" s="42">
        <v>353000</v>
      </c>
      <c r="BS146" s="30"/>
      <c r="BT146" s="42">
        <v>346000</v>
      </c>
      <c r="BU146" s="30"/>
      <c r="BV146" s="42">
        <v>346000</v>
      </c>
      <c r="BW146" s="30"/>
      <c r="BX146" s="42">
        <v>346000</v>
      </c>
      <c r="BY146" s="30"/>
      <c r="BZ146" s="42">
        <v>337000</v>
      </c>
      <c r="CA146" s="30"/>
      <c r="CB146" s="42">
        <v>305000</v>
      </c>
      <c r="CC146" s="30"/>
      <c r="CD146" s="42">
        <v>305000</v>
      </c>
      <c r="CE146" s="30"/>
      <c r="CF146" s="42">
        <v>337000</v>
      </c>
      <c r="CG146" s="30"/>
      <c r="CH146" s="42">
        <v>527000</v>
      </c>
      <c r="CI146" s="30"/>
    </row>
    <row r="147" spans="1:87">
      <c r="A147" s="24"/>
      <c r="B147" s="25" t="s">
        <v>312</v>
      </c>
      <c r="C147" s="26">
        <v>380</v>
      </c>
      <c r="D147" s="26">
        <v>978</v>
      </c>
      <c r="E147" s="50"/>
      <c r="F147" s="27">
        <v>1899000</v>
      </c>
      <c r="G147" s="28">
        <v>1899000</v>
      </c>
      <c r="H147" s="27">
        <v>1117000</v>
      </c>
      <c r="I147" s="28">
        <v>1117000</v>
      </c>
      <c r="J147" s="29"/>
      <c r="K147" s="30"/>
      <c r="L147" s="27">
        <v>1971000</v>
      </c>
      <c r="M147" s="28">
        <v>1971000</v>
      </c>
      <c r="N147" s="29"/>
      <c r="O147" s="30"/>
      <c r="P147" s="42">
        <v>537000</v>
      </c>
      <c r="Q147" s="30"/>
      <c r="R147" s="29"/>
      <c r="S147" s="30"/>
      <c r="T147" s="29"/>
      <c r="U147" s="30"/>
      <c r="V147" s="42">
        <v>370000</v>
      </c>
      <c r="W147" s="30"/>
      <c r="X147" s="42">
        <v>226000</v>
      </c>
      <c r="Y147" s="30"/>
      <c r="Z147" s="42">
        <v>547000</v>
      </c>
      <c r="AA147" s="30"/>
      <c r="AB147" s="42">
        <v>619000</v>
      </c>
      <c r="AC147" s="30"/>
      <c r="AD147" s="42">
        <v>645000</v>
      </c>
      <c r="AE147" s="30"/>
      <c r="AF147" s="42">
        <v>774000</v>
      </c>
      <c r="AG147" s="30"/>
      <c r="AH147" s="42">
        <v>774000</v>
      </c>
      <c r="AI147" s="30"/>
      <c r="AJ147" s="42">
        <v>614000</v>
      </c>
      <c r="AK147" s="30"/>
      <c r="AL147" s="42">
        <v>861000</v>
      </c>
      <c r="AM147" s="30"/>
      <c r="AN147" s="42">
        <v>383000</v>
      </c>
      <c r="AO147" s="30"/>
      <c r="AP147" s="42">
        <v>772000</v>
      </c>
      <c r="AQ147" s="30"/>
      <c r="AR147" s="42">
        <v>871000</v>
      </c>
      <c r="AS147" s="30"/>
      <c r="AT147" s="42">
        <v>772000</v>
      </c>
      <c r="AU147" s="30"/>
      <c r="AV147" s="42">
        <v>805000</v>
      </c>
      <c r="AW147" s="30"/>
      <c r="AX147" s="42">
        <v>779000</v>
      </c>
      <c r="AY147" s="30"/>
      <c r="AZ147" s="42">
        <v>836000</v>
      </c>
      <c r="BA147" s="30"/>
      <c r="BB147" s="42">
        <v>473000</v>
      </c>
      <c r="BC147" s="30"/>
      <c r="BD147" s="42">
        <v>473000</v>
      </c>
      <c r="BE147" s="30"/>
      <c r="BF147" s="42">
        <v>473000</v>
      </c>
      <c r="BG147" s="30"/>
      <c r="BH147" s="42">
        <v>473000</v>
      </c>
      <c r="BI147" s="30"/>
      <c r="BJ147" s="42">
        <v>466000</v>
      </c>
      <c r="BK147" s="30"/>
      <c r="BL147" s="42">
        <v>509000</v>
      </c>
      <c r="BM147" s="30"/>
      <c r="BN147" s="42">
        <v>509000</v>
      </c>
      <c r="BO147" s="30"/>
      <c r="BP147" s="42">
        <v>500000</v>
      </c>
      <c r="BQ147" s="30"/>
      <c r="BR147" s="42">
        <v>473000</v>
      </c>
      <c r="BS147" s="30"/>
      <c r="BT147" s="42">
        <v>464000</v>
      </c>
      <c r="BU147" s="30"/>
      <c r="BV147" s="42">
        <v>464000</v>
      </c>
      <c r="BW147" s="30"/>
      <c r="BX147" s="42">
        <v>464000</v>
      </c>
      <c r="BY147" s="30"/>
      <c r="BZ147" s="42">
        <v>441000</v>
      </c>
      <c r="CA147" s="30"/>
      <c r="CB147" s="42">
        <v>397000</v>
      </c>
      <c r="CC147" s="30"/>
      <c r="CD147" s="42">
        <v>397000</v>
      </c>
      <c r="CE147" s="30"/>
      <c r="CF147" s="42">
        <v>441000</v>
      </c>
      <c r="CG147" s="30"/>
      <c r="CH147" s="42">
        <v>701000</v>
      </c>
      <c r="CI147" s="30"/>
    </row>
    <row r="148" spans="1:87">
      <c r="A148" s="24"/>
      <c r="B148" s="25" t="s">
        <v>313</v>
      </c>
      <c r="C148" s="26">
        <v>380</v>
      </c>
      <c r="D148" s="26">
        <v>1200</v>
      </c>
      <c r="E148" s="50"/>
      <c r="F148" s="27">
        <v>2331000</v>
      </c>
      <c r="G148" s="28">
        <v>2331000</v>
      </c>
      <c r="H148" s="27">
        <v>1370000</v>
      </c>
      <c r="I148" s="28">
        <v>1370000</v>
      </c>
      <c r="J148" s="29"/>
      <c r="K148" s="30"/>
      <c r="L148" s="27">
        <v>2419000</v>
      </c>
      <c r="M148" s="28">
        <v>2419000</v>
      </c>
      <c r="N148" s="29"/>
      <c r="O148" s="30"/>
      <c r="P148" s="42">
        <v>652000</v>
      </c>
      <c r="Q148" s="30"/>
      <c r="R148" s="29"/>
      <c r="S148" s="30"/>
      <c r="T148" s="29"/>
      <c r="U148" s="30"/>
      <c r="V148" s="42">
        <v>451000</v>
      </c>
      <c r="W148" s="30"/>
      <c r="X148" s="42">
        <v>274000</v>
      </c>
      <c r="Y148" s="30"/>
      <c r="Z148" s="42">
        <v>666000</v>
      </c>
      <c r="AA148" s="30"/>
      <c r="AB148" s="42">
        <v>753000</v>
      </c>
      <c r="AC148" s="30"/>
      <c r="AD148" s="42">
        <v>782000</v>
      </c>
      <c r="AE148" s="30"/>
      <c r="AF148" s="42">
        <v>939000</v>
      </c>
      <c r="AG148" s="30"/>
      <c r="AH148" s="42">
        <v>939000</v>
      </c>
      <c r="AI148" s="30"/>
      <c r="AJ148" s="42">
        <v>747000</v>
      </c>
      <c r="AK148" s="30"/>
      <c r="AL148" s="42">
        <v>1050000</v>
      </c>
      <c r="AM148" s="30"/>
      <c r="AN148" s="42">
        <v>464000</v>
      </c>
      <c r="AO148" s="30"/>
      <c r="AP148" s="42">
        <v>940000</v>
      </c>
      <c r="AQ148" s="30"/>
      <c r="AR148" s="42">
        <v>1061000</v>
      </c>
      <c r="AS148" s="30"/>
      <c r="AT148" s="42">
        <v>940000</v>
      </c>
      <c r="AU148" s="30"/>
      <c r="AV148" s="42">
        <v>981000</v>
      </c>
      <c r="AW148" s="30"/>
      <c r="AX148" s="42">
        <v>950000</v>
      </c>
      <c r="AY148" s="30"/>
      <c r="AZ148" s="42">
        <v>1019000</v>
      </c>
      <c r="BA148" s="30"/>
      <c r="BB148" s="42">
        <v>577000</v>
      </c>
      <c r="BC148" s="30"/>
      <c r="BD148" s="42">
        <v>577000</v>
      </c>
      <c r="BE148" s="30"/>
      <c r="BF148" s="42">
        <v>577000</v>
      </c>
      <c r="BG148" s="30"/>
      <c r="BH148" s="42">
        <v>577000</v>
      </c>
      <c r="BI148" s="30"/>
      <c r="BJ148" s="42">
        <v>569000</v>
      </c>
      <c r="BK148" s="30"/>
      <c r="BL148" s="42">
        <v>621000</v>
      </c>
      <c r="BM148" s="30"/>
      <c r="BN148" s="42">
        <v>621000</v>
      </c>
      <c r="BO148" s="30"/>
      <c r="BP148" s="42">
        <v>610000</v>
      </c>
      <c r="BQ148" s="30"/>
      <c r="BR148" s="42">
        <v>577000</v>
      </c>
      <c r="BS148" s="30"/>
      <c r="BT148" s="42">
        <v>566000</v>
      </c>
      <c r="BU148" s="30"/>
      <c r="BV148" s="42">
        <v>566000</v>
      </c>
      <c r="BW148" s="30"/>
      <c r="BX148" s="42">
        <v>566000</v>
      </c>
      <c r="BY148" s="30"/>
      <c r="BZ148" s="42">
        <v>531000</v>
      </c>
      <c r="CA148" s="30"/>
      <c r="CB148" s="42">
        <v>478000</v>
      </c>
      <c r="CC148" s="30"/>
      <c r="CD148" s="42">
        <v>478000</v>
      </c>
      <c r="CE148" s="30"/>
      <c r="CF148" s="42">
        <v>531000</v>
      </c>
      <c r="CG148" s="30"/>
      <c r="CH148" s="42">
        <v>853000</v>
      </c>
      <c r="CI148" s="30"/>
    </row>
    <row r="149" spans="1:87">
      <c r="A149" s="24"/>
      <c r="B149" s="25" t="s">
        <v>314</v>
      </c>
      <c r="C149" s="26">
        <v>100</v>
      </c>
      <c r="D149" s="26">
        <v>600</v>
      </c>
      <c r="E149" s="50"/>
      <c r="F149" s="27">
        <v>322000</v>
      </c>
      <c r="G149" s="28">
        <v>322000</v>
      </c>
      <c r="H149" s="27">
        <v>190000</v>
      </c>
      <c r="I149" s="28">
        <v>190000</v>
      </c>
      <c r="J149" s="29"/>
      <c r="K149" s="30"/>
      <c r="L149" s="27">
        <v>335000</v>
      </c>
      <c r="M149" s="28">
        <v>335000</v>
      </c>
      <c r="N149" s="29"/>
      <c r="O149" s="30"/>
      <c r="P149" s="42">
        <v>124000</v>
      </c>
      <c r="Q149" s="30"/>
      <c r="R149" s="29"/>
      <c r="S149" s="30"/>
      <c r="T149" s="29"/>
      <c r="U149" s="30"/>
      <c r="V149" s="42">
        <v>73000</v>
      </c>
      <c r="W149" s="30"/>
      <c r="X149" s="42">
        <v>50000</v>
      </c>
      <c r="Y149" s="30"/>
      <c r="Z149" s="42">
        <v>119000</v>
      </c>
      <c r="AA149" s="30"/>
      <c r="AB149" s="42">
        <v>138000</v>
      </c>
      <c r="AC149" s="30"/>
      <c r="AD149" s="42">
        <v>153000</v>
      </c>
      <c r="AE149" s="30"/>
      <c r="AF149" s="42">
        <v>183000</v>
      </c>
      <c r="AG149" s="30"/>
      <c r="AH149" s="42">
        <v>183000</v>
      </c>
      <c r="AI149" s="30"/>
      <c r="AJ149" s="42">
        <v>132000</v>
      </c>
      <c r="AK149" s="30"/>
      <c r="AL149" s="42">
        <v>174000</v>
      </c>
      <c r="AM149" s="30"/>
      <c r="AN149" s="42">
        <v>91000</v>
      </c>
      <c r="AO149" s="30"/>
      <c r="AP149" s="42">
        <v>164000</v>
      </c>
      <c r="AQ149" s="30"/>
      <c r="AR149" s="42">
        <v>180000</v>
      </c>
      <c r="AS149" s="30"/>
      <c r="AT149" s="42">
        <v>164000</v>
      </c>
      <c r="AU149" s="30"/>
      <c r="AV149" s="42">
        <v>166000</v>
      </c>
      <c r="AW149" s="30"/>
      <c r="AX149" s="42">
        <v>162000</v>
      </c>
      <c r="AY149" s="30"/>
      <c r="AZ149" s="42">
        <v>171000</v>
      </c>
      <c r="BA149" s="30"/>
      <c r="BB149" s="42">
        <v>91000</v>
      </c>
      <c r="BC149" s="30"/>
      <c r="BD149" s="42">
        <v>91000</v>
      </c>
      <c r="BE149" s="30"/>
      <c r="BF149" s="42">
        <v>91000</v>
      </c>
      <c r="BG149" s="30"/>
      <c r="BH149" s="42">
        <v>91000</v>
      </c>
      <c r="BI149" s="30"/>
      <c r="BJ149" s="42">
        <v>90000</v>
      </c>
      <c r="BK149" s="30"/>
      <c r="BL149" s="42">
        <v>97000</v>
      </c>
      <c r="BM149" s="30"/>
      <c r="BN149" s="42">
        <v>97000</v>
      </c>
      <c r="BO149" s="30"/>
      <c r="BP149" s="42">
        <v>96000</v>
      </c>
      <c r="BQ149" s="30"/>
      <c r="BR149" s="42">
        <v>91000</v>
      </c>
      <c r="BS149" s="30"/>
      <c r="BT149" s="42">
        <v>90000</v>
      </c>
      <c r="BU149" s="30"/>
      <c r="BV149" s="42">
        <v>90000</v>
      </c>
      <c r="BW149" s="30"/>
      <c r="BX149" s="42">
        <v>90000</v>
      </c>
      <c r="BY149" s="30"/>
      <c r="BZ149" s="42">
        <v>124000</v>
      </c>
      <c r="CA149" s="30"/>
      <c r="CB149" s="42">
        <v>117000</v>
      </c>
      <c r="CC149" s="30"/>
      <c r="CD149" s="42">
        <v>117000</v>
      </c>
      <c r="CE149" s="30"/>
      <c r="CF149" s="42">
        <v>124000</v>
      </c>
      <c r="CG149" s="30"/>
      <c r="CH149" s="42">
        <v>156000</v>
      </c>
      <c r="CI149" s="30"/>
    </row>
    <row r="150" spans="1:87">
      <c r="A150" s="24"/>
      <c r="B150" s="25" t="s">
        <v>315</v>
      </c>
      <c r="C150" s="26">
        <v>100</v>
      </c>
      <c r="D150" s="26">
        <v>723</v>
      </c>
      <c r="E150" s="50"/>
      <c r="F150" s="27">
        <v>388000</v>
      </c>
      <c r="G150" s="28">
        <v>388000</v>
      </c>
      <c r="H150" s="27">
        <v>228000</v>
      </c>
      <c r="I150" s="28">
        <v>228000</v>
      </c>
      <c r="J150" s="29"/>
      <c r="K150" s="30"/>
      <c r="L150" s="27">
        <v>403000</v>
      </c>
      <c r="M150" s="28">
        <v>403000</v>
      </c>
      <c r="N150" s="29"/>
      <c r="O150" s="30"/>
      <c r="P150" s="42">
        <v>148000</v>
      </c>
      <c r="Q150" s="30"/>
      <c r="R150" s="29"/>
      <c r="S150" s="30"/>
      <c r="T150" s="29"/>
      <c r="U150" s="30"/>
      <c r="V150" s="42">
        <v>88000</v>
      </c>
      <c r="W150" s="30"/>
      <c r="X150" s="42">
        <v>60000</v>
      </c>
      <c r="Y150" s="30"/>
      <c r="Z150" s="42">
        <v>142000</v>
      </c>
      <c r="AA150" s="30"/>
      <c r="AB150" s="42">
        <v>164000</v>
      </c>
      <c r="AC150" s="30"/>
      <c r="AD150" s="42">
        <v>182000</v>
      </c>
      <c r="AE150" s="30"/>
      <c r="AF150" s="42">
        <v>218000</v>
      </c>
      <c r="AG150" s="30"/>
      <c r="AH150" s="42">
        <v>218000</v>
      </c>
      <c r="AI150" s="30"/>
      <c r="AJ150" s="42">
        <v>157000</v>
      </c>
      <c r="AK150" s="30"/>
      <c r="AL150" s="42">
        <v>209000</v>
      </c>
      <c r="AM150" s="30"/>
      <c r="AN150" s="42">
        <v>109000</v>
      </c>
      <c r="AO150" s="30"/>
      <c r="AP150" s="42">
        <v>195000</v>
      </c>
      <c r="AQ150" s="30"/>
      <c r="AR150" s="42">
        <v>215000</v>
      </c>
      <c r="AS150" s="30"/>
      <c r="AT150" s="42">
        <v>195000</v>
      </c>
      <c r="AU150" s="30"/>
      <c r="AV150" s="42">
        <v>198000</v>
      </c>
      <c r="AW150" s="30"/>
      <c r="AX150" s="42">
        <v>194000</v>
      </c>
      <c r="AY150" s="30"/>
      <c r="AZ150" s="42">
        <v>205000</v>
      </c>
      <c r="BA150" s="30"/>
      <c r="BB150" s="42">
        <v>109000</v>
      </c>
      <c r="BC150" s="30"/>
      <c r="BD150" s="42">
        <v>109000</v>
      </c>
      <c r="BE150" s="30"/>
      <c r="BF150" s="42">
        <v>109000</v>
      </c>
      <c r="BG150" s="30"/>
      <c r="BH150" s="42">
        <v>109000</v>
      </c>
      <c r="BI150" s="30"/>
      <c r="BJ150" s="42">
        <v>108000</v>
      </c>
      <c r="BK150" s="30"/>
      <c r="BL150" s="42">
        <v>116000</v>
      </c>
      <c r="BM150" s="30"/>
      <c r="BN150" s="42">
        <v>116000</v>
      </c>
      <c r="BO150" s="30"/>
      <c r="BP150" s="42">
        <v>114000</v>
      </c>
      <c r="BQ150" s="30"/>
      <c r="BR150" s="42">
        <v>109000</v>
      </c>
      <c r="BS150" s="30"/>
      <c r="BT150" s="42">
        <v>107000</v>
      </c>
      <c r="BU150" s="30"/>
      <c r="BV150" s="42">
        <v>107000</v>
      </c>
      <c r="BW150" s="30"/>
      <c r="BX150" s="42">
        <v>107000</v>
      </c>
      <c r="BY150" s="30"/>
      <c r="BZ150" s="42">
        <v>147000</v>
      </c>
      <c r="CA150" s="30"/>
      <c r="CB150" s="42">
        <v>139000</v>
      </c>
      <c r="CC150" s="30"/>
      <c r="CD150" s="42">
        <v>139000</v>
      </c>
      <c r="CE150" s="30"/>
      <c r="CF150" s="42">
        <v>147000</v>
      </c>
      <c r="CG150" s="30"/>
      <c r="CH150" s="42">
        <v>186000</v>
      </c>
      <c r="CI150" s="30"/>
    </row>
    <row r="151" spans="1:87">
      <c r="A151" s="24"/>
      <c r="B151" s="25" t="s">
        <v>316</v>
      </c>
      <c r="C151" s="26">
        <v>100</v>
      </c>
      <c r="D151" s="26">
        <v>978</v>
      </c>
      <c r="E151" s="50"/>
      <c r="F151" s="27">
        <v>525000</v>
      </c>
      <c r="G151" s="28">
        <v>525000</v>
      </c>
      <c r="H151" s="27">
        <v>309000</v>
      </c>
      <c r="I151" s="28">
        <v>309000</v>
      </c>
      <c r="J151" s="29"/>
      <c r="K151" s="30"/>
      <c r="L151" s="27">
        <v>545000</v>
      </c>
      <c r="M151" s="28">
        <v>545000</v>
      </c>
      <c r="N151" s="29"/>
      <c r="O151" s="30"/>
      <c r="P151" s="42">
        <v>197000</v>
      </c>
      <c r="Q151" s="30"/>
      <c r="R151" s="29"/>
      <c r="S151" s="30"/>
      <c r="T151" s="29"/>
      <c r="U151" s="30"/>
      <c r="V151" s="42">
        <v>118000</v>
      </c>
      <c r="W151" s="30"/>
      <c r="X151" s="42">
        <v>80000</v>
      </c>
      <c r="Y151" s="30"/>
      <c r="Z151" s="42">
        <v>189000</v>
      </c>
      <c r="AA151" s="30"/>
      <c r="AB151" s="42">
        <v>219000</v>
      </c>
      <c r="AC151" s="30"/>
      <c r="AD151" s="42">
        <v>242000</v>
      </c>
      <c r="AE151" s="30"/>
      <c r="AF151" s="42">
        <v>291000</v>
      </c>
      <c r="AG151" s="30"/>
      <c r="AH151" s="42">
        <v>291000</v>
      </c>
      <c r="AI151" s="30"/>
      <c r="AJ151" s="42">
        <v>210000</v>
      </c>
      <c r="AK151" s="30"/>
      <c r="AL151" s="42">
        <v>279000</v>
      </c>
      <c r="AM151" s="30"/>
      <c r="AN151" s="42">
        <v>145000</v>
      </c>
      <c r="AO151" s="30"/>
      <c r="AP151" s="42">
        <v>261000</v>
      </c>
      <c r="AQ151" s="30"/>
      <c r="AR151" s="42">
        <v>287000</v>
      </c>
      <c r="AS151" s="30"/>
      <c r="AT151" s="42">
        <v>261000</v>
      </c>
      <c r="AU151" s="30"/>
      <c r="AV151" s="42">
        <v>266000</v>
      </c>
      <c r="AW151" s="30"/>
      <c r="AX151" s="42">
        <v>259000</v>
      </c>
      <c r="AY151" s="30"/>
      <c r="AZ151" s="42">
        <v>274000</v>
      </c>
      <c r="BA151" s="30"/>
      <c r="BB151" s="42">
        <v>147000</v>
      </c>
      <c r="BC151" s="30"/>
      <c r="BD151" s="42">
        <v>147000</v>
      </c>
      <c r="BE151" s="30"/>
      <c r="BF151" s="42">
        <v>147000</v>
      </c>
      <c r="BG151" s="30"/>
      <c r="BH151" s="42">
        <v>147000</v>
      </c>
      <c r="BI151" s="30"/>
      <c r="BJ151" s="42">
        <v>145000</v>
      </c>
      <c r="BK151" s="30"/>
      <c r="BL151" s="42">
        <v>156000</v>
      </c>
      <c r="BM151" s="30"/>
      <c r="BN151" s="42">
        <v>156000</v>
      </c>
      <c r="BO151" s="30"/>
      <c r="BP151" s="42">
        <v>154000</v>
      </c>
      <c r="BQ151" s="30"/>
      <c r="BR151" s="42">
        <v>147000</v>
      </c>
      <c r="BS151" s="30"/>
      <c r="BT151" s="42">
        <v>144000</v>
      </c>
      <c r="BU151" s="30"/>
      <c r="BV151" s="42">
        <v>144000</v>
      </c>
      <c r="BW151" s="30"/>
      <c r="BX151" s="42">
        <v>144000</v>
      </c>
      <c r="BY151" s="30"/>
      <c r="BZ151" s="42">
        <v>195000</v>
      </c>
      <c r="CA151" s="30"/>
      <c r="CB151" s="42">
        <v>183000</v>
      </c>
      <c r="CC151" s="30"/>
      <c r="CD151" s="42">
        <v>183000</v>
      </c>
      <c r="CE151" s="30"/>
      <c r="CF151" s="42">
        <v>195000</v>
      </c>
      <c r="CG151" s="30"/>
      <c r="CH151" s="42">
        <v>248000</v>
      </c>
      <c r="CI151" s="30"/>
    </row>
    <row r="152" spans="1:87">
      <c r="A152" s="24"/>
      <c r="B152" s="25" t="s">
        <v>317</v>
      </c>
      <c r="C152" s="26">
        <v>100</v>
      </c>
      <c r="D152" s="26">
        <v>1200</v>
      </c>
      <c r="E152" s="50"/>
      <c r="F152" s="27">
        <v>644000</v>
      </c>
      <c r="G152" s="28">
        <v>644000</v>
      </c>
      <c r="H152" s="27">
        <v>379000</v>
      </c>
      <c r="I152" s="28">
        <v>379000</v>
      </c>
      <c r="J152" s="29"/>
      <c r="K152" s="30"/>
      <c r="L152" s="27">
        <v>669000</v>
      </c>
      <c r="M152" s="28">
        <v>669000</v>
      </c>
      <c r="N152" s="29"/>
      <c r="O152" s="30"/>
      <c r="P152" s="42">
        <v>240000</v>
      </c>
      <c r="Q152" s="30"/>
      <c r="R152" s="29"/>
      <c r="S152" s="30"/>
      <c r="T152" s="29"/>
      <c r="U152" s="30"/>
      <c r="V152" s="42">
        <v>144000</v>
      </c>
      <c r="W152" s="30"/>
      <c r="X152" s="42">
        <v>97000</v>
      </c>
      <c r="Y152" s="30"/>
      <c r="Z152" s="42">
        <v>231000</v>
      </c>
      <c r="AA152" s="30"/>
      <c r="AB152" s="42">
        <v>267000</v>
      </c>
      <c r="AC152" s="30"/>
      <c r="AD152" s="42">
        <v>295000</v>
      </c>
      <c r="AE152" s="30"/>
      <c r="AF152" s="42">
        <v>354000</v>
      </c>
      <c r="AG152" s="30"/>
      <c r="AH152" s="42">
        <v>354000</v>
      </c>
      <c r="AI152" s="30"/>
      <c r="AJ152" s="42">
        <v>256000</v>
      </c>
      <c r="AK152" s="30"/>
      <c r="AL152" s="42">
        <v>341000</v>
      </c>
      <c r="AM152" s="30"/>
      <c r="AN152" s="42">
        <v>176000</v>
      </c>
      <c r="AO152" s="30"/>
      <c r="AP152" s="42">
        <v>319000</v>
      </c>
      <c r="AQ152" s="30"/>
      <c r="AR152" s="42">
        <v>351000</v>
      </c>
      <c r="AS152" s="30"/>
      <c r="AT152" s="42">
        <v>319000</v>
      </c>
      <c r="AU152" s="30"/>
      <c r="AV152" s="42">
        <v>324000</v>
      </c>
      <c r="AW152" s="30"/>
      <c r="AX152" s="42">
        <v>316000</v>
      </c>
      <c r="AY152" s="30"/>
      <c r="AZ152" s="42">
        <v>334000</v>
      </c>
      <c r="BA152" s="30"/>
      <c r="BB152" s="42">
        <v>179000</v>
      </c>
      <c r="BC152" s="30"/>
      <c r="BD152" s="42">
        <v>179000</v>
      </c>
      <c r="BE152" s="30"/>
      <c r="BF152" s="42">
        <v>179000</v>
      </c>
      <c r="BG152" s="30"/>
      <c r="BH152" s="42">
        <v>179000</v>
      </c>
      <c r="BI152" s="30"/>
      <c r="BJ152" s="42">
        <v>177000</v>
      </c>
      <c r="BK152" s="30"/>
      <c r="BL152" s="42">
        <v>191000</v>
      </c>
      <c r="BM152" s="30"/>
      <c r="BN152" s="42">
        <v>191000</v>
      </c>
      <c r="BO152" s="30"/>
      <c r="BP152" s="42">
        <v>188000</v>
      </c>
      <c r="BQ152" s="30"/>
      <c r="BR152" s="42">
        <v>179000</v>
      </c>
      <c r="BS152" s="30"/>
      <c r="BT152" s="42">
        <v>176000</v>
      </c>
      <c r="BU152" s="30"/>
      <c r="BV152" s="42">
        <v>176000</v>
      </c>
      <c r="BW152" s="30"/>
      <c r="BX152" s="42">
        <v>176000</v>
      </c>
      <c r="BY152" s="30"/>
      <c r="BZ152" s="42">
        <v>236000</v>
      </c>
      <c r="CA152" s="30"/>
      <c r="CB152" s="42">
        <v>222000</v>
      </c>
      <c r="CC152" s="30"/>
      <c r="CD152" s="42">
        <v>222000</v>
      </c>
      <c r="CE152" s="30"/>
      <c r="CF152" s="42">
        <v>236000</v>
      </c>
      <c r="CG152" s="30"/>
      <c r="CH152" s="42">
        <v>303000</v>
      </c>
      <c r="CI152" s="30"/>
    </row>
    <row r="153" spans="1:87">
      <c r="A153" s="24" t="e">
        <f ca="1">_xludf.image("https://lh3.google.com/u/0/d/1n2ORb8NT4nD3YKhCGEz8SGgFfA9knWGN",1)</f>
        <v>#NAME?</v>
      </c>
      <c r="B153" s="25" t="s">
        <v>318</v>
      </c>
      <c r="C153" s="26">
        <v>70</v>
      </c>
      <c r="D153" s="26" t="s">
        <v>167</v>
      </c>
      <c r="E153" s="50"/>
      <c r="F153" s="29"/>
      <c r="G153" s="30"/>
      <c r="H153" s="42">
        <v>429000</v>
      </c>
      <c r="I153" s="28">
        <v>429000</v>
      </c>
      <c r="J153" s="29"/>
      <c r="K153" s="30"/>
      <c r="L153" s="42">
        <v>1326000</v>
      </c>
      <c r="M153" s="28">
        <v>1326000</v>
      </c>
      <c r="N153" s="29"/>
      <c r="O153" s="30"/>
      <c r="P153" s="29"/>
      <c r="Q153" s="30"/>
      <c r="R153" s="29"/>
      <c r="S153" s="30"/>
      <c r="T153" s="29"/>
      <c r="U153" s="30"/>
      <c r="V153" s="29"/>
      <c r="W153" s="30"/>
      <c r="X153" s="29"/>
      <c r="Y153" s="30"/>
      <c r="Z153" s="29"/>
      <c r="AA153" s="30"/>
      <c r="AB153" s="29"/>
      <c r="AC153" s="30"/>
      <c r="AD153" s="29"/>
      <c r="AE153" s="30"/>
      <c r="AF153" s="29"/>
      <c r="AG153" s="30"/>
      <c r="AH153" s="29"/>
      <c r="AI153" s="30"/>
      <c r="AJ153" s="29"/>
      <c r="AK153" s="30"/>
      <c r="AL153" s="29"/>
      <c r="AM153" s="30"/>
      <c r="AN153" s="29"/>
      <c r="AO153" s="30"/>
      <c r="AP153" s="29"/>
      <c r="AQ153" s="30"/>
      <c r="AR153" s="29"/>
      <c r="AS153" s="30"/>
      <c r="AT153" s="29"/>
      <c r="AU153" s="30"/>
      <c r="AV153" s="29"/>
      <c r="AW153" s="30"/>
      <c r="AX153" s="29"/>
      <c r="AY153" s="30"/>
      <c r="AZ153" s="29"/>
      <c r="BA153" s="30"/>
      <c r="BB153" s="29"/>
      <c r="BC153" s="30"/>
      <c r="BD153" s="29"/>
      <c r="BE153" s="30"/>
      <c r="BF153" s="29"/>
      <c r="BG153" s="30"/>
      <c r="BH153" s="29"/>
      <c r="BI153" s="30"/>
      <c r="BJ153" s="29"/>
      <c r="BK153" s="30"/>
      <c r="BL153" s="29"/>
      <c r="BM153" s="30"/>
      <c r="BN153" s="29"/>
      <c r="BO153" s="30"/>
      <c r="BP153" s="29"/>
      <c r="BQ153" s="30"/>
      <c r="BR153" s="29"/>
      <c r="BS153" s="30"/>
      <c r="BT153" s="29"/>
      <c r="BU153" s="30"/>
      <c r="BV153" s="29"/>
      <c r="BW153" s="30"/>
      <c r="BX153" s="29"/>
      <c r="BY153" s="30"/>
      <c r="BZ153" s="29"/>
      <c r="CA153" s="30"/>
      <c r="CB153" s="29"/>
      <c r="CC153" s="30"/>
      <c r="CD153" s="29"/>
      <c r="CE153" s="30"/>
      <c r="CF153" s="29"/>
      <c r="CG153" s="30"/>
      <c r="CH153" s="29"/>
      <c r="CI153" s="30"/>
    </row>
    <row r="154" spans="1:87">
      <c r="A154" s="24"/>
      <c r="B154" s="25" t="s">
        <v>319</v>
      </c>
      <c r="C154" s="26">
        <v>100</v>
      </c>
      <c r="D154" s="26" t="s">
        <v>167</v>
      </c>
      <c r="E154" s="50"/>
      <c r="F154" s="27">
        <v>537000</v>
      </c>
      <c r="G154" s="28">
        <v>537000</v>
      </c>
      <c r="H154" s="27">
        <v>316000</v>
      </c>
      <c r="I154" s="28">
        <v>316000</v>
      </c>
      <c r="J154" s="29"/>
      <c r="K154" s="30"/>
      <c r="L154" s="27">
        <v>557000</v>
      </c>
      <c r="M154" s="28">
        <v>557000</v>
      </c>
      <c r="N154" s="29"/>
      <c r="O154" s="30"/>
      <c r="P154" s="42">
        <v>202000</v>
      </c>
      <c r="Q154" s="30"/>
      <c r="R154" s="29"/>
      <c r="S154" s="30"/>
      <c r="T154" s="29"/>
      <c r="U154" s="30"/>
      <c r="V154" s="42">
        <v>120000</v>
      </c>
      <c r="W154" s="30"/>
      <c r="X154" s="42">
        <v>81000</v>
      </c>
      <c r="Y154" s="30"/>
      <c r="Z154" s="42">
        <v>193000</v>
      </c>
      <c r="AA154" s="30"/>
      <c r="AB154" s="42">
        <v>224000</v>
      </c>
      <c r="AC154" s="30"/>
      <c r="AD154" s="42">
        <v>248000</v>
      </c>
      <c r="AE154" s="30"/>
      <c r="AF154" s="42">
        <v>297000</v>
      </c>
      <c r="AG154" s="30"/>
      <c r="AH154" s="42">
        <v>297000</v>
      </c>
      <c r="AI154" s="30"/>
      <c r="AJ154" s="42">
        <v>215000</v>
      </c>
      <c r="AK154" s="30"/>
      <c r="AL154" s="42">
        <v>285000</v>
      </c>
      <c r="AM154" s="30"/>
      <c r="AN154" s="42">
        <v>148000</v>
      </c>
      <c r="AO154" s="30"/>
      <c r="AP154" s="42">
        <v>267000</v>
      </c>
      <c r="AQ154" s="30"/>
      <c r="AR154" s="42">
        <v>294000</v>
      </c>
      <c r="AS154" s="30"/>
      <c r="AT154" s="42">
        <v>267000</v>
      </c>
      <c r="AU154" s="30"/>
      <c r="AV154" s="42">
        <v>271000</v>
      </c>
      <c r="AW154" s="30"/>
      <c r="AX154" s="42">
        <v>265000</v>
      </c>
      <c r="AY154" s="30"/>
      <c r="AZ154" s="42">
        <v>280000</v>
      </c>
      <c r="BA154" s="30"/>
      <c r="BB154" s="42">
        <v>150000</v>
      </c>
      <c r="BC154" s="30"/>
      <c r="BD154" s="42">
        <v>150000</v>
      </c>
      <c r="BE154" s="30"/>
      <c r="BF154" s="42">
        <v>150000</v>
      </c>
      <c r="BG154" s="30"/>
      <c r="BH154" s="42">
        <v>150000</v>
      </c>
      <c r="BI154" s="30"/>
      <c r="BJ154" s="42">
        <v>148000</v>
      </c>
      <c r="BK154" s="30"/>
      <c r="BL154" s="42">
        <v>159000</v>
      </c>
      <c r="BM154" s="30"/>
      <c r="BN154" s="42">
        <v>159000</v>
      </c>
      <c r="BO154" s="30"/>
      <c r="BP154" s="42">
        <v>157000</v>
      </c>
      <c r="BQ154" s="30"/>
      <c r="BR154" s="42">
        <v>150000</v>
      </c>
      <c r="BS154" s="30"/>
      <c r="BT154" s="42">
        <v>147000</v>
      </c>
      <c r="BU154" s="30"/>
      <c r="BV154" s="42">
        <v>147000</v>
      </c>
      <c r="BW154" s="30"/>
      <c r="BX154" s="42">
        <v>147000</v>
      </c>
      <c r="BY154" s="30"/>
      <c r="BZ154" s="42">
        <v>199000</v>
      </c>
      <c r="CA154" s="30"/>
      <c r="CB154" s="42">
        <v>187000</v>
      </c>
      <c r="CC154" s="30"/>
      <c r="CD154" s="42">
        <v>187000</v>
      </c>
      <c r="CE154" s="30"/>
      <c r="CF154" s="42">
        <v>199000</v>
      </c>
      <c r="CG154" s="30"/>
      <c r="CH154" s="42">
        <v>254000</v>
      </c>
      <c r="CI154" s="30"/>
    </row>
    <row r="155" spans="1:87">
      <c r="A155" s="24"/>
      <c r="B155" s="25" t="s">
        <v>320</v>
      </c>
      <c r="C155" s="26">
        <v>380</v>
      </c>
      <c r="D155" s="50"/>
      <c r="E155" s="26">
        <v>300</v>
      </c>
      <c r="F155" s="27">
        <v>583000</v>
      </c>
      <c r="G155" s="28">
        <v>583000</v>
      </c>
      <c r="H155" s="27">
        <v>343000</v>
      </c>
      <c r="I155" s="28">
        <v>343000</v>
      </c>
      <c r="J155" s="29"/>
      <c r="K155" s="30"/>
      <c r="L155" s="27">
        <v>605000</v>
      </c>
      <c r="M155" s="28">
        <v>605000</v>
      </c>
      <c r="N155" s="29"/>
      <c r="O155" s="30"/>
      <c r="P155" s="42">
        <v>185000</v>
      </c>
      <c r="Q155" s="30"/>
      <c r="R155" s="29"/>
      <c r="S155" s="30"/>
      <c r="T155" s="29"/>
      <c r="U155" s="30"/>
      <c r="V155" s="42">
        <v>121000</v>
      </c>
      <c r="W155" s="30"/>
      <c r="X155" s="42">
        <v>77000</v>
      </c>
      <c r="Y155" s="30"/>
      <c r="Z155" s="42">
        <v>185000</v>
      </c>
      <c r="AA155" s="30"/>
      <c r="AB155" s="42">
        <v>211000</v>
      </c>
      <c r="AC155" s="30"/>
      <c r="AD155" s="42">
        <v>225000</v>
      </c>
      <c r="AE155" s="30"/>
      <c r="AF155" s="42">
        <v>269000</v>
      </c>
      <c r="AG155" s="30"/>
      <c r="AH155" s="42">
        <v>269000</v>
      </c>
      <c r="AI155" s="30"/>
      <c r="AJ155" s="42">
        <v>206000</v>
      </c>
      <c r="AK155" s="30"/>
      <c r="AL155" s="42">
        <v>284000</v>
      </c>
      <c r="AM155" s="30"/>
      <c r="AN155" s="42">
        <v>134000</v>
      </c>
      <c r="AO155" s="30"/>
      <c r="AP155" s="42">
        <v>258000</v>
      </c>
      <c r="AQ155" s="30"/>
      <c r="AR155" s="42">
        <v>289000</v>
      </c>
      <c r="AS155" s="30"/>
      <c r="AT155" s="42">
        <v>258000</v>
      </c>
      <c r="AU155" s="30"/>
      <c r="AV155" s="42">
        <v>267000</v>
      </c>
      <c r="AW155" s="30"/>
      <c r="AX155" s="42">
        <v>259000</v>
      </c>
      <c r="AY155" s="30"/>
      <c r="AZ155" s="42">
        <v>276000</v>
      </c>
      <c r="BA155" s="30"/>
      <c r="BB155" s="42">
        <v>153000</v>
      </c>
      <c r="BC155" s="30"/>
      <c r="BD155" s="42">
        <v>153000</v>
      </c>
      <c r="BE155" s="30"/>
      <c r="BF155" s="42">
        <v>153000</v>
      </c>
      <c r="BG155" s="30"/>
      <c r="BH155" s="42">
        <v>153000</v>
      </c>
      <c r="BI155" s="30"/>
      <c r="BJ155" s="42">
        <v>151000</v>
      </c>
      <c r="BK155" s="30"/>
      <c r="BL155" s="42">
        <v>164000</v>
      </c>
      <c r="BM155" s="30"/>
      <c r="BN155" s="42">
        <v>164000</v>
      </c>
      <c r="BO155" s="30"/>
      <c r="BP155" s="42">
        <v>162000</v>
      </c>
      <c r="BQ155" s="30"/>
      <c r="BR155" s="42">
        <v>153000</v>
      </c>
      <c r="BS155" s="30"/>
      <c r="BT155" s="42">
        <v>151000</v>
      </c>
      <c r="BU155" s="30"/>
      <c r="BV155" s="42">
        <v>151000</v>
      </c>
      <c r="BW155" s="30"/>
      <c r="BX155" s="42">
        <v>151000</v>
      </c>
      <c r="BY155" s="30"/>
      <c r="BZ155" s="42">
        <v>164000</v>
      </c>
      <c r="CA155" s="30"/>
      <c r="CB155" s="42">
        <v>151000</v>
      </c>
      <c r="CC155" s="30"/>
      <c r="CD155" s="42">
        <v>151000</v>
      </c>
      <c r="CE155" s="30"/>
      <c r="CF155" s="42">
        <v>164000</v>
      </c>
      <c r="CG155" s="30"/>
      <c r="CH155" s="42">
        <v>239000</v>
      </c>
      <c r="CI155" s="30"/>
    </row>
    <row r="156" spans="1:87">
      <c r="A156" s="24"/>
      <c r="B156" s="25" t="s">
        <v>321</v>
      </c>
      <c r="C156" s="26">
        <v>380</v>
      </c>
      <c r="D156" s="50"/>
      <c r="E156" s="26">
        <v>450</v>
      </c>
      <c r="F156" s="27">
        <v>874000</v>
      </c>
      <c r="G156" s="28">
        <v>874000</v>
      </c>
      <c r="H156" s="27">
        <v>514000</v>
      </c>
      <c r="I156" s="28">
        <v>514000</v>
      </c>
      <c r="J156" s="29"/>
      <c r="K156" s="30"/>
      <c r="L156" s="27">
        <v>907000</v>
      </c>
      <c r="M156" s="28">
        <v>907000</v>
      </c>
      <c r="N156" s="29"/>
      <c r="O156" s="30"/>
      <c r="P156" s="42">
        <v>263000</v>
      </c>
      <c r="Q156" s="30"/>
      <c r="R156" s="29"/>
      <c r="S156" s="30"/>
      <c r="T156" s="29"/>
      <c r="U156" s="30"/>
      <c r="V156" s="42">
        <v>176000</v>
      </c>
      <c r="W156" s="30"/>
      <c r="X156" s="42">
        <v>110000</v>
      </c>
      <c r="Y156" s="30"/>
      <c r="Z156" s="42">
        <v>265000</v>
      </c>
      <c r="AA156" s="30"/>
      <c r="AB156" s="42">
        <v>301000</v>
      </c>
      <c r="AC156" s="30"/>
      <c r="AD156" s="42">
        <v>318000</v>
      </c>
      <c r="AE156" s="30"/>
      <c r="AF156" s="42">
        <v>381000</v>
      </c>
      <c r="AG156" s="30"/>
      <c r="AH156" s="42">
        <v>381000</v>
      </c>
      <c r="AI156" s="30"/>
      <c r="AJ156" s="42">
        <v>296000</v>
      </c>
      <c r="AK156" s="30"/>
      <c r="AL156" s="42">
        <v>411000</v>
      </c>
      <c r="AM156" s="30"/>
      <c r="AN156" s="42">
        <v>189000</v>
      </c>
      <c r="AO156" s="30"/>
      <c r="AP156" s="42">
        <v>372000</v>
      </c>
      <c r="AQ156" s="30"/>
      <c r="AR156" s="42">
        <v>417000</v>
      </c>
      <c r="AS156" s="30"/>
      <c r="AT156" s="42">
        <v>372000</v>
      </c>
      <c r="AU156" s="30"/>
      <c r="AV156" s="42">
        <v>386000</v>
      </c>
      <c r="AW156" s="30"/>
      <c r="AX156" s="42">
        <v>374000</v>
      </c>
      <c r="AY156" s="30"/>
      <c r="AZ156" s="42">
        <v>400000</v>
      </c>
      <c r="BA156" s="30"/>
      <c r="BB156" s="42">
        <v>224000</v>
      </c>
      <c r="BC156" s="30"/>
      <c r="BD156" s="42">
        <v>224000</v>
      </c>
      <c r="BE156" s="30"/>
      <c r="BF156" s="42">
        <v>224000</v>
      </c>
      <c r="BG156" s="30"/>
      <c r="BH156" s="42">
        <v>224000</v>
      </c>
      <c r="BI156" s="30"/>
      <c r="BJ156" s="42">
        <v>221000</v>
      </c>
      <c r="BK156" s="30"/>
      <c r="BL156" s="42">
        <v>240000</v>
      </c>
      <c r="BM156" s="30"/>
      <c r="BN156" s="42">
        <v>240000</v>
      </c>
      <c r="BO156" s="30"/>
      <c r="BP156" s="42">
        <v>236000</v>
      </c>
      <c r="BQ156" s="30"/>
      <c r="BR156" s="42">
        <v>224000</v>
      </c>
      <c r="BS156" s="30"/>
      <c r="BT156" s="42">
        <v>220000</v>
      </c>
      <c r="BU156" s="30"/>
      <c r="BV156" s="42">
        <v>220000</v>
      </c>
      <c r="BW156" s="30"/>
      <c r="BX156" s="42">
        <v>220000</v>
      </c>
      <c r="BY156" s="30"/>
      <c r="BZ156" s="42">
        <v>225000</v>
      </c>
      <c r="CA156" s="30"/>
      <c r="CB156" s="42">
        <v>205000</v>
      </c>
      <c r="CC156" s="30"/>
      <c r="CD156" s="42">
        <v>205000</v>
      </c>
      <c r="CE156" s="30"/>
      <c r="CF156" s="42">
        <v>225000</v>
      </c>
      <c r="CG156" s="30"/>
      <c r="CH156" s="42">
        <v>341000</v>
      </c>
      <c r="CI156" s="30"/>
    </row>
    <row r="157" spans="1:87">
      <c r="A157" s="24"/>
      <c r="B157" s="25" t="s">
        <v>322</v>
      </c>
      <c r="C157" s="26">
        <v>380</v>
      </c>
      <c r="D157" s="50"/>
      <c r="E157" s="26">
        <v>600</v>
      </c>
      <c r="F157" s="27">
        <v>1166000</v>
      </c>
      <c r="G157" s="28">
        <v>1166000</v>
      </c>
      <c r="H157" s="27">
        <v>685000</v>
      </c>
      <c r="I157" s="28">
        <v>685000</v>
      </c>
      <c r="J157" s="29"/>
      <c r="K157" s="30"/>
      <c r="L157" s="27">
        <v>1210000</v>
      </c>
      <c r="M157" s="28">
        <v>1210000</v>
      </c>
      <c r="N157" s="29"/>
      <c r="O157" s="30"/>
      <c r="P157" s="42">
        <v>341000</v>
      </c>
      <c r="Q157" s="30"/>
      <c r="R157" s="29"/>
      <c r="S157" s="30"/>
      <c r="T157" s="29"/>
      <c r="U157" s="30"/>
      <c r="V157" s="42">
        <v>231000</v>
      </c>
      <c r="W157" s="30"/>
      <c r="X157" s="42">
        <v>143000</v>
      </c>
      <c r="Y157" s="30"/>
      <c r="Z157" s="42">
        <v>345000</v>
      </c>
      <c r="AA157" s="30"/>
      <c r="AB157" s="42">
        <v>391000</v>
      </c>
      <c r="AC157" s="30"/>
      <c r="AD157" s="42">
        <v>410000</v>
      </c>
      <c r="AE157" s="30"/>
      <c r="AF157" s="42">
        <v>493000</v>
      </c>
      <c r="AG157" s="30"/>
      <c r="AH157" s="42">
        <v>493000</v>
      </c>
      <c r="AI157" s="30"/>
      <c r="AJ157" s="42">
        <v>387000</v>
      </c>
      <c r="AK157" s="30"/>
      <c r="AL157" s="42">
        <v>539000</v>
      </c>
      <c r="AM157" s="30"/>
      <c r="AN157" s="42">
        <v>244000</v>
      </c>
      <c r="AO157" s="30"/>
      <c r="AP157" s="42">
        <v>485000</v>
      </c>
      <c r="AQ157" s="30"/>
      <c r="AR157" s="42">
        <v>546000</v>
      </c>
      <c r="AS157" s="30"/>
      <c r="AT157" s="42">
        <v>485000</v>
      </c>
      <c r="AU157" s="30"/>
      <c r="AV157" s="42">
        <v>505000</v>
      </c>
      <c r="AW157" s="30"/>
      <c r="AX157" s="42">
        <v>489000</v>
      </c>
      <c r="AY157" s="30"/>
      <c r="AZ157" s="42">
        <v>524000</v>
      </c>
      <c r="BA157" s="30"/>
      <c r="BB157" s="42">
        <v>295000</v>
      </c>
      <c r="BC157" s="30"/>
      <c r="BD157" s="42">
        <v>295000</v>
      </c>
      <c r="BE157" s="30"/>
      <c r="BF157" s="42">
        <v>295000</v>
      </c>
      <c r="BG157" s="30"/>
      <c r="BH157" s="42">
        <v>295000</v>
      </c>
      <c r="BI157" s="30"/>
      <c r="BJ157" s="42">
        <v>290000</v>
      </c>
      <c r="BK157" s="30"/>
      <c r="BL157" s="42">
        <v>317000</v>
      </c>
      <c r="BM157" s="30"/>
      <c r="BN157" s="42">
        <v>317000</v>
      </c>
      <c r="BO157" s="30"/>
      <c r="BP157" s="42">
        <v>311000</v>
      </c>
      <c r="BQ157" s="30"/>
      <c r="BR157" s="42">
        <v>295000</v>
      </c>
      <c r="BS157" s="30"/>
      <c r="BT157" s="42">
        <v>289000</v>
      </c>
      <c r="BU157" s="30"/>
      <c r="BV157" s="42">
        <v>289000</v>
      </c>
      <c r="BW157" s="30"/>
      <c r="BX157" s="42">
        <v>289000</v>
      </c>
      <c r="BY157" s="30"/>
      <c r="BZ157" s="42">
        <v>286000</v>
      </c>
      <c r="CA157" s="30"/>
      <c r="CB157" s="42">
        <v>260000</v>
      </c>
      <c r="CC157" s="30"/>
      <c r="CD157" s="42">
        <v>260000</v>
      </c>
      <c r="CE157" s="30"/>
      <c r="CF157" s="42">
        <v>286000</v>
      </c>
      <c r="CG157" s="30"/>
      <c r="CH157" s="42">
        <v>443000</v>
      </c>
      <c r="CI157" s="30"/>
    </row>
    <row r="158" spans="1:87">
      <c r="A158" s="24"/>
      <c r="B158" s="25" t="s">
        <v>323</v>
      </c>
      <c r="C158" s="26">
        <v>380</v>
      </c>
      <c r="D158" s="50"/>
      <c r="E158" s="26">
        <v>900</v>
      </c>
      <c r="F158" s="27">
        <v>1748000</v>
      </c>
      <c r="G158" s="28">
        <v>1748000</v>
      </c>
      <c r="H158" s="27">
        <v>1028000</v>
      </c>
      <c r="I158" s="28">
        <v>1028000</v>
      </c>
      <c r="J158" s="29"/>
      <c r="K158" s="30"/>
      <c r="L158" s="27">
        <v>1814000</v>
      </c>
      <c r="M158" s="28">
        <v>1814000</v>
      </c>
      <c r="N158" s="29"/>
      <c r="O158" s="30"/>
      <c r="P158" s="42">
        <v>496000</v>
      </c>
      <c r="Q158" s="30"/>
      <c r="R158" s="29"/>
      <c r="S158" s="30"/>
      <c r="T158" s="29"/>
      <c r="U158" s="30"/>
      <c r="V158" s="42">
        <v>341000</v>
      </c>
      <c r="W158" s="30"/>
      <c r="X158" s="42">
        <v>208000</v>
      </c>
      <c r="Y158" s="30"/>
      <c r="Z158" s="42">
        <v>506000</v>
      </c>
      <c r="AA158" s="30"/>
      <c r="AB158" s="42">
        <v>572000</v>
      </c>
      <c r="AC158" s="30"/>
      <c r="AD158" s="42">
        <v>596000</v>
      </c>
      <c r="AE158" s="30"/>
      <c r="AF158" s="42">
        <v>716000</v>
      </c>
      <c r="AG158" s="30"/>
      <c r="AH158" s="42">
        <v>716000</v>
      </c>
      <c r="AI158" s="30"/>
      <c r="AJ158" s="42">
        <v>567000</v>
      </c>
      <c r="AK158" s="30"/>
      <c r="AL158" s="42">
        <v>794000</v>
      </c>
      <c r="AM158" s="30"/>
      <c r="AN158" s="42">
        <v>354000</v>
      </c>
      <c r="AO158" s="30"/>
      <c r="AP158" s="42">
        <v>713000</v>
      </c>
      <c r="AQ158" s="30"/>
      <c r="AR158" s="42">
        <v>804000</v>
      </c>
      <c r="AS158" s="30"/>
      <c r="AT158" s="42">
        <v>713000</v>
      </c>
      <c r="AU158" s="30"/>
      <c r="AV158" s="42">
        <v>743000</v>
      </c>
      <c r="AW158" s="30"/>
      <c r="AX158" s="42">
        <v>720000</v>
      </c>
      <c r="AY158" s="30"/>
      <c r="AZ158" s="42">
        <v>772000</v>
      </c>
      <c r="BA158" s="30"/>
      <c r="BB158" s="42">
        <v>436000</v>
      </c>
      <c r="BC158" s="30"/>
      <c r="BD158" s="42">
        <v>436000</v>
      </c>
      <c r="BE158" s="30"/>
      <c r="BF158" s="42">
        <v>436000</v>
      </c>
      <c r="BG158" s="30"/>
      <c r="BH158" s="42">
        <v>436000</v>
      </c>
      <c r="BI158" s="30"/>
      <c r="BJ158" s="42">
        <v>430000</v>
      </c>
      <c r="BK158" s="30"/>
      <c r="BL158" s="42">
        <v>469000</v>
      </c>
      <c r="BM158" s="30"/>
      <c r="BN158" s="42">
        <v>469000</v>
      </c>
      <c r="BO158" s="30"/>
      <c r="BP158" s="42">
        <v>461000</v>
      </c>
      <c r="BQ158" s="30"/>
      <c r="BR158" s="42">
        <v>436000</v>
      </c>
      <c r="BS158" s="30"/>
      <c r="BT158" s="42">
        <v>428000</v>
      </c>
      <c r="BU158" s="30"/>
      <c r="BV158" s="42">
        <v>428000</v>
      </c>
      <c r="BW158" s="30"/>
      <c r="BX158" s="42">
        <v>428000</v>
      </c>
      <c r="BY158" s="30"/>
      <c r="BZ158" s="42">
        <v>409000</v>
      </c>
      <c r="CA158" s="30"/>
      <c r="CB158" s="42">
        <v>369000</v>
      </c>
      <c r="CC158" s="30"/>
      <c r="CD158" s="42">
        <v>369000</v>
      </c>
      <c r="CE158" s="30"/>
      <c r="CF158" s="42">
        <v>409000</v>
      </c>
      <c r="CG158" s="30"/>
      <c r="CH158" s="42">
        <v>648000</v>
      </c>
      <c r="CI158" s="30"/>
    </row>
    <row r="159" spans="1:87" ht="12.75">
      <c r="B159" s="57"/>
    </row>
    <row r="160" spans="1:87" ht="12.75">
      <c r="B160" s="57"/>
    </row>
    <row r="161" spans="2:2" ht="12.75">
      <c r="B161" s="57"/>
    </row>
    <row r="162" spans="2:2" ht="12.75">
      <c r="B162" s="57"/>
    </row>
    <row r="163" spans="2:2" ht="12.75">
      <c r="B163" s="57"/>
    </row>
    <row r="164" spans="2:2" ht="12.75">
      <c r="B164" s="57"/>
    </row>
    <row r="165" spans="2:2" ht="12.75">
      <c r="B165" s="57"/>
    </row>
    <row r="166" spans="2:2" ht="12.75">
      <c r="B166" s="57"/>
    </row>
    <row r="167" spans="2:2" ht="12.75">
      <c r="B167" s="57"/>
    </row>
    <row r="168" spans="2:2" ht="12.75">
      <c r="B168" s="57"/>
    </row>
    <row r="169" spans="2:2" ht="12.75">
      <c r="B169" s="57"/>
    </row>
    <row r="170" spans="2:2" ht="12.75">
      <c r="B170" s="57"/>
    </row>
    <row r="171" spans="2:2" ht="12.75">
      <c r="B171" s="57"/>
    </row>
    <row r="172" spans="2:2" ht="12.75">
      <c r="B172" s="57"/>
    </row>
    <row r="173" spans="2:2" ht="12.75">
      <c r="B173" s="57"/>
    </row>
    <row r="174" spans="2:2" ht="12.75">
      <c r="B174" s="57"/>
    </row>
    <row r="175" spans="2:2" ht="12.75">
      <c r="B175" s="57"/>
    </row>
    <row r="176" spans="2:2" ht="12.75">
      <c r="B176" s="57"/>
    </row>
    <row r="177" spans="2:2" ht="12.75">
      <c r="B177" s="57"/>
    </row>
    <row r="178" spans="2:2" ht="12.75">
      <c r="B178" s="57"/>
    </row>
    <row r="179" spans="2:2" ht="12.75">
      <c r="B179" s="57"/>
    </row>
    <row r="180" spans="2:2" ht="12.75">
      <c r="B180" s="57"/>
    </row>
    <row r="181" spans="2:2" ht="12.75">
      <c r="B181" s="57"/>
    </row>
    <row r="182" spans="2:2" ht="12.75">
      <c r="B182" s="57"/>
    </row>
    <row r="183" spans="2:2" ht="12.75">
      <c r="B183" s="57"/>
    </row>
    <row r="184" spans="2:2" ht="12.75">
      <c r="B184" s="57"/>
    </row>
    <row r="185" spans="2:2" ht="12.75">
      <c r="B185" s="57"/>
    </row>
    <row r="186" spans="2:2" ht="12.75">
      <c r="B186" s="57"/>
    </row>
    <row r="187" spans="2:2" ht="12.75">
      <c r="B187" s="57"/>
    </row>
    <row r="188" spans="2:2" ht="12.75">
      <c r="B188" s="57"/>
    </row>
    <row r="189" spans="2:2" ht="12.75">
      <c r="B189" s="57"/>
    </row>
    <row r="190" spans="2:2" ht="12.75">
      <c r="B190" s="57"/>
    </row>
    <row r="191" spans="2:2" ht="12.75">
      <c r="B191" s="57"/>
    </row>
    <row r="192" spans="2:2" ht="12.75">
      <c r="B192" s="57"/>
    </row>
    <row r="193" spans="2:2" ht="12.75">
      <c r="B193" s="57"/>
    </row>
    <row r="194" spans="2:2" ht="12.75">
      <c r="B194" s="57"/>
    </row>
    <row r="195" spans="2:2" ht="12.75">
      <c r="B195" s="57"/>
    </row>
    <row r="196" spans="2:2" ht="12.75">
      <c r="B196" s="57"/>
    </row>
    <row r="197" spans="2:2" ht="12.75">
      <c r="B197" s="57"/>
    </row>
    <row r="198" spans="2:2" ht="12.75">
      <c r="B198" s="57"/>
    </row>
    <row r="199" spans="2:2" ht="12.75">
      <c r="B199" s="57"/>
    </row>
    <row r="200" spans="2:2" ht="12.75">
      <c r="B200" s="57"/>
    </row>
    <row r="201" spans="2:2" ht="12.75">
      <c r="B201" s="57"/>
    </row>
    <row r="202" spans="2:2" ht="12.75">
      <c r="B202" s="57"/>
    </row>
    <row r="203" spans="2:2" ht="12.75">
      <c r="B203" s="57"/>
    </row>
    <row r="204" spans="2:2" ht="12.75">
      <c r="B204" s="57"/>
    </row>
    <row r="205" spans="2:2" ht="12.75">
      <c r="B205" s="57"/>
    </row>
    <row r="206" spans="2:2" ht="12.75">
      <c r="B206" s="57"/>
    </row>
    <row r="207" spans="2:2" ht="12.75">
      <c r="B207" s="57"/>
    </row>
    <row r="208" spans="2:2" ht="12.75">
      <c r="B208" s="57"/>
    </row>
    <row r="209" spans="2:2" ht="12.75">
      <c r="B209" s="57"/>
    </row>
    <row r="210" spans="2:2" ht="12.75">
      <c r="B210" s="57"/>
    </row>
    <row r="211" spans="2:2" ht="12.75">
      <c r="B211" s="57"/>
    </row>
    <row r="212" spans="2:2" ht="12.75">
      <c r="B212" s="57"/>
    </row>
    <row r="213" spans="2:2" ht="12.75">
      <c r="B213" s="57"/>
    </row>
    <row r="214" spans="2:2" ht="12.75">
      <c r="B214" s="57"/>
    </row>
    <row r="215" spans="2:2" ht="12.75">
      <c r="B215" s="57"/>
    </row>
    <row r="216" spans="2:2" ht="12.75">
      <c r="B216" s="57"/>
    </row>
    <row r="217" spans="2:2" ht="12.75">
      <c r="B217" s="57"/>
    </row>
    <row r="218" spans="2:2" ht="12.75">
      <c r="B218" s="57"/>
    </row>
    <row r="219" spans="2:2" ht="12.75">
      <c r="B219" s="57"/>
    </row>
    <row r="220" spans="2:2" ht="12.75">
      <c r="B220" s="57"/>
    </row>
    <row r="221" spans="2:2" ht="12.75">
      <c r="B221" s="57"/>
    </row>
    <row r="222" spans="2:2" ht="12.75">
      <c r="B222" s="57"/>
    </row>
    <row r="223" spans="2:2" ht="12.75">
      <c r="B223" s="57"/>
    </row>
    <row r="224" spans="2:2" ht="12.75">
      <c r="B224" s="57"/>
    </row>
    <row r="225" spans="2:2" ht="12.75">
      <c r="B225" s="57"/>
    </row>
    <row r="226" spans="2:2" ht="12.75">
      <c r="B226" s="57"/>
    </row>
    <row r="227" spans="2:2" ht="12.75">
      <c r="B227" s="57"/>
    </row>
    <row r="228" spans="2:2" ht="12.75">
      <c r="B228" s="57"/>
    </row>
    <row r="229" spans="2:2" ht="12.75">
      <c r="B229" s="57"/>
    </row>
    <row r="230" spans="2:2" ht="12.75">
      <c r="B230" s="57"/>
    </row>
    <row r="231" spans="2:2" ht="12.75">
      <c r="B231" s="57"/>
    </row>
    <row r="232" spans="2:2" ht="12.75">
      <c r="B232" s="57"/>
    </row>
    <row r="233" spans="2:2" ht="12.75">
      <c r="B233" s="57"/>
    </row>
    <row r="234" spans="2:2" ht="12.75">
      <c r="B234" s="57"/>
    </row>
    <row r="235" spans="2:2" ht="12.75">
      <c r="B235" s="57"/>
    </row>
    <row r="236" spans="2:2" ht="12.75">
      <c r="B236" s="57"/>
    </row>
    <row r="237" spans="2:2" ht="12.75">
      <c r="B237" s="57"/>
    </row>
    <row r="238" spans="2:2" ht="12.75">
      <c r="B238" s="57"/>
    </row>
    <row r="239" spans="2:2" ht="12.75">
      <c r="B239" s="57"/>
    </row>
    <row r="240" spans="2:2" ht="12.75">
      <c r="B240" s="57"/>
    </row>
    <row r="241" spans="2:2" ht="12.75">
      <c r="B241" s="57"/>
    </row>
    <row r="242" spans="2:2" ht="12.75">
      <c r="B242" s="57"/>
    </row>
    <row r="243" spans="2:2" ht="12.75">
      <c r="B243" s="57"/>
    </row>
    <row r="244" spans="2:2" ht="12.75">
      <c r="B244" s="57"/>
    </row>
    <row r="245" spans="2:2" ht="12.75">
      <c r="B245" s="57"/>
    </row>
    <row r="246" spans="2:2" ht="12.75">
      <c r="B246" s="57"/>
    </row>
    <row r="247" spans="2:2" ht="12.75">
      <c r="B247" s="57"/>
    </row>
    <row r="248" spans="2:2" ht="12.75">
      <c r="B248" s="57"/>
    </row>
    <row r="249" spans="2:2" ht="12.75">
      <c r="B249" s="57"/>
    </row>
    <row r="250" spans="2:2" ht="12.75">
      <c r="B250" s="57"/>
    </row>
    <row r="251" spans="2:2" ht="12.75">
      <c r="B251" s="57"/>
    </row>
    <row r="252" spans="2:2" ht="12.75">
      <c r="B252" s="57"/>
    </row>
    <row r="253" spans="2:2" ht="12.75">
      <c r="B253" s="57"/>
    </row>
    <row r="254" spans="2:2" ht="12.75">
      <c r="B254" s="57"/>
    </row>
    <row r="255" spans="2:2" ht="12.75">
      <c r="B255" s="57"/>
    </row>
    <row r="256" spans="2:2" ht="12.75">
      <c r="B256" s="57"/>
    </row>
    <row r="257" spans="2:2" ht="12.75">
      <c r="B257" s="57"/>
    </row>
    <row r="258" spans="2:2" ht="12.75">
      <c r="B258" s="57"/>
    </row>
    <row r="259" spans="2:2" ht="12.75">
      <c r="B259" s="57"/>
    </row>
    <row r="260" spans="2:2" ht="12.75">
      <c r="B260" s="57"/>
    </row>
    <row r="261" spans="2:2" ht="12.75">
      <c r="B261" s="57"/>
    </row>
    <row r="262" spans="2:2" ht="12.75">
      <c r="B262" s="57"/>
    </row>
    <row r="263" spans="2:2" ht="12.75">
      <c r="B263" s="57"/>
    </row>
    <row r="264" spans="2:2" ht="12.75">
      <c r="B264" s="57"/>
    </row>
    <row r="265" spans="2:2" ht="12.75">
      <c r="B265" s="57"/>
    </row>
    <row r="266" spans="2:2" ht="12.75">
      <c r="B266" s="57"/>
    </row>
    <row r="267" spans="2:2" ht="12.75">
      <c r="B267" s="57"/>
    </row>
    <row r="268" spans="2:2" ht="12.75">
      <c r="B268" s="57"/>
    </row>
    <row r="269" spans="2:2" ht="12.75">
      <c r="B269" s="57"/>
    </row>
    <row r="270" spans="2:2" ht="12.75">
      <c r="B270" s="57"/>
    </row>
    <row r="271" spans="2:2" ht="12.75">
      <c r="B271" s="57"/>
    </row>
    <row r="272" spans="2:2" ht="12.75">
      <c r="B272" s="57"/>
    </row>
    <row r="273" spans="2:2" ht="12.75">
      <c r="B273" s="57"/>
    </row>
    <row r="274" spans="2:2" ht="12.75">
      <c r="B274" s="57"/>
    </row>
    <row r="275" spans="2:2" ht="12.75">
      <c r="B275" s="57"/>
    </row>
    <row r="276" spans="2:2" ht="12.75">
      <c r="B276" s="57"/>
    </row>
    <row r="277" spans="2:2" ht="12.75">
      <c r="B277" s="57"/>
    </row>
    <row r="278" spans="2:2" ht="12.75">
      <c r="B278" s="57"/>
    </row>
    <row r="279" spans="2:2" ht="12.75">
      <c r="B279" s="57"/>
    </row>
    <row r="280" spans="2:2" ht="12.75">
      <c r="B280" s="57"/>
    </row>
    <row r="281" spans="2:2" ht="12.75">
      <c r="B281" s="57"/>
    </row>
    <row r="282" spans="2:2" ht="12.75">
      <c r="B282" s="57"/>
    </row>
    <row r="283" spans="2:2" ht="12.75">
      <c r="B283" s="57"/>
    </row>
    <row r="284" spans="2:2" ht="12.75">
      <c r="B284" s="57"/>
    </row>
    <row r="285" spans="2:2" ht="12.75">
      <c r="B285" s="57"/>
    </row>
    <row r="286" spans="2:2" ht="12.75">
      <c r="B286" s="57"/>
    </row>
    <row r="287" spans="2:2" ht="12.75">
      <c r="B287" s="57"/>
    </row>
    <row r="288" spans="2:2" ht="12.75">
      <c r="B288" s="57"/>
    </row>
    <row r="289" spans="2:2" ht="12.75">
      <c r="B289" s="57"/>
    </row>
    <row r="290" spans="2:2" ht="12.75">
      <c r="B290" s="57"/>
    </row>
    <row r="291" spans="2:2" ht="12.75">
      <c r="B291" s="57"/>
    </row>
    <row r="292" spans="2:2" ht="12.75">
      <c r="B292" s="57"/>
    </row>
    <row r="293" spans="2:2" ht="12.75">
      <c r="B293" s="57"/>
    </row>
    <row r="294" spans="2:2" ht="12.75">
      <c r="B294" s="57"/>
    </row>
    <row r="295" spans="2:2" ht="12.75">
      <c r="B295" s="57"/>
    </row>
    <row r="296" spans="2:2" ht="12.75">
      <c r="B296" s="57"/>
    </row>
    <row r="297" spans="2:2" ht="12.75">
      <c r="B297" s="57"/>
    </row>
    <row r="298" spans="2:2" ht="12.75">
      <c r="B298" s="57"/>
    </row>
    <row r="299" spans="2:2" ht="12.75">
      <c r="B299" s="57"/>
    </row>
    <row r="300" spans="2:2" ht="12.75">
      <c r="B300" s="57"/>
    </row>
    <row r="301" spans="2:2" ht="12.75">
      <c r="B301" s="57"/>
    </row>
    <row r="302" spans="2:2" ht="12.75">
      <c r="B302" s="57"/>
    </row>
    <row r="303" spans="2:2" ht="12.75">
      <c r="B303" s="57"/>
    </row>
    <row r="304" spans="2:2" ht="12.75">
      <c r="B304" s="57"/>
    </row>
    <row r="305" spans="2:2" ht="12.75">
      <c r="B305" s="57"/>
    </row>
    <row r="306" spans="2:2" ht="12.75">
      <c r="B306" s="57"/>
    </row>
    <row r="307" spans="2:2" ht="12.75">
      <c r="B307" s="57"/>
    </row>
    <row r="308" spans="2:2" ht="12.75">
      <c r="B308" s="57"/>
    </row>
    <row r="309" spans="2:2" ht="12.75">
      <c r="B309" s="57"/>
    </row>
    <row r="310" spans="2:2" ht="12.75">
      <c r="B310" s="57"/>
    </row>
    <row r="311" spans="2:2" ht="12.75">
      <c r="B311" s="57"/>
    </row>
    <row r="312" spans="2:2" ht="12.75">
      <c r="B312" s="57"/>
    </row>
    <row r="313" spans="2:2" ht="12.75">
      <c r="B313" s="57"/>
    </row>
    <row r="314" spans="2:2" ht="12.75">
      <c r="B314" s="57"/>
    </row>
    <row r="315" spans="2:2" ht="12.75">
      <c r="B315" s="57"/>
    </row>
    <row r="316" spans="2:2" ht="12.75">
      <c r="B316" s="57"/>
    </row>
    <row r="317" spans="2:2" ht="12.75">
      <c r="B317" s="57"/>
    </row>
    <row r="318" spans="2:2" ht="12.75">
      <c r="B318" s="57"/>
    </row>
    <row r="319" spans="2:2" ht="12.75">
      <c r="B319" s="57"/>
    </row>
    <row r="320" spans="2:2" ht="12.75">
      <c r="B320" s="57"/>
    </row>
    <row r="321" spans="2:2" ht="12.75">
      <c r="B321" s="57"/>
    </row>
    <row r="322" spans="2:2" ht="12.75">
      <c r="B322" s="57"/>
    </row>
    <row r="323" spans="2:2" ht="12.75">
      <c r="B323" s="57"/>
    </row>
    <row r="324" spans="2:2" ht="12.75">
      <c r="B324" s="57"/>
    </row>
    <row r="325" spans="2:2" ht="12.75">
      <c r="B325" s="57"/>
    </row>
    <row r="326" spans="2:2" ht="12.75">
      <c r="B326" s="57"/>
    </row>
    <row r="327" spans="2:2" ht="12.75">
      <c r="B327" s="57"/>
    </row>
    <row r="328" spans="2:2" ht="12.75">
      <c r="B328" s="57"/>
    </row>
    <row r="329" spans="2:2" ht="12.75">
      <c r="B329" s="57"/>
    </row>
    <row r="330" spans="2:2" ht="12.75">
      <c r="B330" s="57"/>
    </row>
    <row r="331" spans="2:2" ht="12.75">
      <c r="B331" s="57"/>
    </row>
    <row r="332" spans="2:2" ht="12.75">
      <c r="B332" s="57"/>
    </row>
    <row r="333" spans="2:2" ht="12.75">
      <c r="B333" s="57"/>
    </row>
    <row r="334" spans="2:2" ht="12.75">
      <c r="B334" s="57"/>
    </row>
    <row r="335" spans="2:2" ht="12.75">
      <c r="B335" s="57"/>
    </row>
    <row r="336" spans="2:2" ht="12.75">
      <c r="B336" s="57"/>
    </row>
    <row r="337" spans="2:2" ht="12.75">
      <c r="B337" s="57"/>
    </row>
    <row r="338" spans="2:2" ht="12.75">
      <c r="B338" s="57"/>
    </row>
    <row r="339" spans="2:2" ht="12.75">
      <c r="B339" s="57"/>
    </row>
    <row r="340" spans="2:2" ht="12.75">
      <c r="B340" s="57"/>
    </row>
    <row r="341" spans="2:2" ht="12.75">
      <c r="B341" s="57"/>
    </row>
    <row r="342" spans="2:2" ht="12.75">
      <c r="B342" s="57"/>
    </row>
    <row r="343" spans="2:2" ht="12.75">
      <c r="B343" s="57"/>
    </row>
    <row r="344" spans="2:2" ht="12.75">
      <c r="B344" s="57"/>
    </row>
    <row r="345" spans="2:2" ht="12.75">
      <c r="B345" s="57"/>
    </row>
    <row r="346" spans="2:2" ht="12.75">
      <c r="B346" s="57"/>
    </row>
    <row r="347" spans="2:2" ht="12.75">
      <c r="B347" s="57"/>
    </row>
    <row r="348" spans="2:2" ht="12.75">
      <c r="B348" s="57"/>
    </row>
    <row r="349" spans="2:2" ht="12.75">
      <c r="B349" s="57"/>
    </row>
    <row r="350" spans="2:2" ht="12.75">
      <c r="B350" s="57"/>
    </row>
    <row r="351" spans="2:2" ht="12.75">
      <c r="B351" s="57"/>
    </row>
    <row r="352" spans="2:2" ht="12.75">
      <c r="B352" s="57"/>
    </row>
    <row r="353" spans="2:2" ht="12.75">
      <c r="B353" s="57"/>
    </row>
    <row r="354" spans="2:2" ht="12.75">
      <c r="B354" s="57"/>
    </row>
    <row r="355" spans="2:2" ht="12.75">
      <c r="B355" s="57"/>
    </row>
    <row r="356" spans="2:2" ht="12.75">
      <c r="B356" s="57"/>
    </row>
    <row r="357" spans="2:2" ht="12.75">
      <c r="B357" s="57"/>
    </row>
    <row r="358" spans="2:2" ht="12.75">
      <c r="B358" s="57"/>
    </row>
    <row r="359" spans="2:2" ht="12.75">
      <c r="B359" s="57"/>
    </row>
    <row r="360" spans="2:2" ht="12.75">
      <c r="B360" s="57"/>
    </row>
    <row r="361" spans="2:2" ht="12.75">
      <c r="B361" s="57"/>
    </row>
    <row r="362" spans="2:2" ht="12.75">
      <c r="B362" s="57"/>
    </row>
    <row r="363" spans="2:2" ht="12.75">
      <c r="B363" s="57"/>
    </row>
    <row r="364" spans="2:2" ht="12.75">
      <c r="B364" s="57"/>
    </row>
    <row r="365" spans="2:2" ht="12.75">
      <c r="B365" s="57"/>
    </row>
    <row r="366" spans="2:2" ht="12.75">
      <c r="B366" s="57"/>
    </row>
    <row r="367" spans="2:2" ht="12.75">
      <c r="B367" s="57"/>
    </row>
    <row r="368" spans="2:2" ht="12.75">
      <c r="B368" s="57"/>
    </row>
    <row r="369" spans="2:2" ht="12.75">
      <c r="B369" s="57"/>
    </row>
    <row r="370" spans="2:2" ht="12.75">
      <c r="B370" s="57"/>
    </row>
    <row r="371" spans="2:2" ht="12.75">
      <c r="B371" s="57"/>
    </row>
    <row r="372" spans="2:2" ht="12.75">
      <c r="B372" s="57"/>
    </row>
    <row r="373" spans="2:2" ht="12.75">
      <c r="B373" s="57"/>
    </row>
    <row r="374" spans="2:2" ht="12.75">
      <c r="B374" s="57"/>
    </row>
    <row r="375" spans="2:2" ht="12.75">
      <c r="B375" s="57"/>
    </row>
    <row r="376" spans="2:2" ht="12.75">
      <c r="B376" s="57"/>
    </row>
    <row r="377" spans="2:2" ht="12.75">
      <c r="B377" s="57"/>
    </row>
    <row r="378" spans="2:2" ht="12.75">
      <c r="B378" s="57"/>
    </row>
    <row r="379" spans="2:2" ht="12.75">
      <c r="B379" s="57"/>
    </row>
    <row r="380" spans="2:2" ht="12.75">
      <c r="B380" s="57"/>
    </row>
    <row r="381" spans="2:2" ht="12.75">
      <c r="B381" s="57"/>
    </row>
    <row r="382" spans="2:2" ht="12.75">
      <c r="B382" s="57"/>
    </row>
    <row r="383" spans="2:2" ht="12.75">
      <c r="B383" s="57"/>
    </row>
    <row r="384" spans="2:2" ht="12.75">
      <c r="B384" s="57"/>
    </row>
    <row r="385" spans="2:2" ht="12.75">
      <c r="B385" s="57"/>
    </row>
    <row r="386" spans="2:2" ht="12.75">
      <c r="B386" s="57"/>
    </row>
    <row r="387" spans="2:2" ht="12.75">
      <c r="B387" s="57"/>
    </row>
    <row r="388" spans="2:2" ht="12.75">
      <c r="B388" s="57"/>
    </row>
    <row r="389" spans="2:2" ht="12.75">
      <c r="B389" s="57"/>
    </row>
    <row r="390" spans="2:2" ht="12.75">
      <c r="B390" s="57"/>
    </row>
    <row r="391" spans="2:2" ht="12.75">
      <c r="B391" s="57"/>
    </row>
    <row r="392" spans="2:2" ht="12.75">
      <c r="B392" s="57"/>
    </row>
    <row r="393" spans="2:2" ht="12.75">
      <c r="B393" s="57"/>
    </row>
    <row r="394" spans="2:2" ht="12.75">
      <c r="B394" s="57"/>
    </row>
    <row r="395" spans="2:2" ht="12.75">
      <c r="B395" s="57"/>
    </row>
    <row r="396" spans="2:2" ht="12.75">
      <c r="B396" s="57"/>
    </row>
    <row r="397" spans="2:2" ht="12.75">
      <c r="B397" s="57"/>
    </row>
    <row r="398" spans="2:2" ht="12.75">
      <c r="B398" s="57"/>
    </row>
    <row r="399" spans="2:2" ht="12.75">
      <c r="B399" s="57"/>
    </row>
    <row r="400" spans="2:2" ht="12.75">
      <c r="B400" s="57"/>
    </row>
    <row r="401" spans="2:2" ht="12.75">
      <c r="B401" s="57"/>
    </row>
    <row r="402" spans="2:2" ht="12.75">
      <c r="B402" s="57"/>
    </row>
    <row r="403" spans="2:2" ht="12.75">
      <c r="B403" s="57"/>
    </row>
    <row r="404" spans="2:2" ht="12.75">
      <c r="B404" s="57"/>
    </row>
    <row r="405" spans="2:2" ht="12.75">
      <c r="B405" s="57"/>
    </row>
    <row r="406" spans="2:2" ht="12.75">
      <c r="B406" s="57"/>
    </row>
    <row r="407" spans="2:2" ht="12.75">
      <c r="B407" s="57"/>
    </row>
    <row r="408" spans="2:2" ht="12.75">
      <c r="B408" s="57"/>
    </row>
    <row r="409" spans="2:2" ht="12.75">
      <c r="B409" s="57"/>
    </row>
    <row r="410" spans="2:2" ht="12.75">
      <c r="B410" s="57"/>
    </row>
    <row r="411" spans="2:2" ht="12.75">
      <c r="B411" s="57"/>
    </row>
    <row r="412" spans="2:2" ht="12.75">
      <c r="B412" s="57"/>
    </row>
    <row r="413" spans="2:2" ht="12.75">
      <c r="B413" s="57"/>
    </row>
    <row r="414" spans="2:2" ht="12.75">
      <c r="B414" s="57"/>
    </row>
    <row r="415" spans="2:2" ht="12.75">
      <c r="B415" s="57"/>
    </row>
    <row r="416" spans="2:2" ht="12.75">
      <c r="B416" s="57"/>
    </row>
    <row r="417" spans="2:2" ht="12.75">
      <c r="B417" s="57"/>
    </row>
    <row r="418" spans="2:2" ht="12.75">
      <c r="B418" s="57"/>
    </row>
    <row r="419" spans="2:2" ht="12.75">
      <c r="B419" s="57"/>
    </row>
    <row r="420" spans="2:2" ht="12.75">
      <c r="B420" s="57"/>
    </row>
    <row r="421" spans="2:2" ht="12.75">
      <c r="B421" s="57"/>
    </row>
    <row r="422" spans="2:2" ht="12.75">
      <c r="B422" s="57"/>
    </row>
    <row r="423" spans="2:2" ht="12.75">
      <c r="B423" s="57"/>
    </row>
    <row r="424" spans="2:2" ht="12.75">
      <c r="B424" s="57"/>
    </row>
    <row r="425" spans="2:2" ht="12.75">
      <c r="B425" s="57"/>
    </row>
    <row r="426" spans="2:2" ht="12.75">
      <c r="B426" s="57"/>
    </row>
    <row r="427" spans="2:2" ht="12.75">
      <c r="B427" s="57"/>
    </row>
    <row r="428" spans="2:2" ht="12.75">
      <c r="B428" s="57"/>
    </row>
    <row r="429" spans="2:2" ht="12.75">
      <c r="B429" s="57"/>
    </row>
    <row r="430" spans="2:2" ht="12.75">
      <c r="B430" s="57"/>
    </row>
    <row r="431" spans="2:2" ht="12.75">
      <c r="B431" s="57"/>
    </row>
    <row r="432" spans="2:2" ht="12.75">
      <c r="B432" s="57"/>
    </row>
    <row r="433" spans="2:2" ht="12.75">
      <c r="B433" s="57"/>
    </row>
    <row r="434" spans="2:2" ht="12.75">
      <c r="B434" s="57"/>
    </row>
    <row r="435" spans="2:2" ht="12.75">
      <c r="B435" s="57"/>
    </row>
    <row r="436" spans="2:2" ht="12.75">
      <c r="B436" s="57"/>
    </row>
    <row r="437" spans="2:2" ht="12.75">
      <c r="B437" s="57"/>
    </row>
    <row r="438" spans="2:2" ht="12.75">
      <c r="B438" s="57"/>
    </row>
    <row r="439" spans="2:2" ht="12.75">
      <c r="B439" s="57"/>
    </row>
    <row r="440" spans="2:2" ht="12.75">
      <c r="B440" s="57"/>
    </row>
    <row r="441" spans="2:2" ht="12.75">
      <c r="B441" s="57"/>
    </row>
    <row r="442" spans="2:2" ht="12.75">
      <c r="B442" s="57"/>
    </row>
    <row r="443" spans="2:2" ht="12.75">
      <c r="B443" s="57"/>
    </row>
    <row r="444" spans="2:2" ht="12.75">
      <c r="B444" s="57"/>
    </row>
    <row r="445" spans="2:2" ht="12.75">
      <c r="B445" s="57"/>
    </row>
    <row r="446" spans="2:2" ht="12.75">
      <c r="B446" s="57"/>
    </row>
    <row r="447" spans="2:2" ht="12.75">
      <c r="B447" s="57"/>
    </row>
    <row r="448" spans="2:2" ht="12.75">
      <c r="B448" s="57"/>
    </row>
    <row r="449" spans="2:2" ht="12.75">
      <c r="B449" s="57"/>
    </row>
    <row r="450" spans="2:2" ht="12.75">
      <c r="B450" s="57"/>
    </row>
    <row r="451" spans="2:2" ht="12.75">
      <c r="B451" s="57"/>
    </row>
    <row r="452" spans="2:2" ht="12.75">
      <c r="B452" s="57"/>
    </row>
    <row r="453" spans="2:2" ht="12.75">
      <c r="B453" s="57"/>
    </row>
    <row r="454" spans="2:2" ht="12.75">
      <c r="B454" s="57"/>
    </row>
    <row r="455" spans="2:2" ht="12.75">
      <c r="B455" s="57"/>
    </row>
    <row r="456" spans="2:2" ht="12.75">
      <c r="B456" s="57"/>
    </row>
    <row r="457" spans="2:2" ht="12.75">
      <c r="B457" s="57"/>
    </row>
    <row r="458" spans="2:2" ht="12.75">
      <c r="B458" s="57"/>
    </row>
    <row r="459" spans="2:2" ht="12.75">
      <c r="B459" s="57"/>
    </row>
    <row r="460" spans="2:2" ht="12.75">
      <c r="B460" s="57"/>
    </row>
    <row r="461" spans="2:2" ht="12.75">
      <c r="B461" s="57"/>
    </row>
    <row r="462" spans="2:2" ht="12.75">
      <c r="B462" s="57"/>
    </row>
    <row r="463" spans="2:2" ht="12.75">
      <c r="B463" s="57"/>
    </row>
    <row r="464" spans="2:2" ht="12.75">
      <c r="B464" s="57"/>
    </row>
    <row r="465" spans="2:2" ht="12.75">
      <c r="B465" s="57"/>
    </row>
    <row r="466" spans="2:2" ht="12.75">
      <c r="B466" s="57"/>
    </row>
    <row r="467" spans="2:2" ht="12.75">
      <c r="B467" s="57"/>
    </row>
    <row r="468" spans="2:2" ht="12.75">
      <c r="B468" s="57"/>
    </row>
    <row r="469" spans="2:2" ht="12.75">
      <c r="B469" s="57"/>
    </row>
    <row r="470" spans="2:2" ht="12.75">
      <c r="B470" s="57"/>
    </row>
    <row r="471" spans="2:2" ht="12.75">
      <c r="B471" s="57"/>
    </row>
    <row r="472" spans="2:2" ht="12.75">
      <c r="B472" s="57"/>
    </row>
    <row r="473" spans="2:2" ht="12.75">
      <c r="B473" s="57"/>
    </row>
    <row r="474" spans="2:2" ht="12.75">
      <c r="B474" s="57"/>
    </row>
    <row r="475" spans="2:2" ht="12.75">
      <c r="B475" s="57"/>
    </row>
    <row r="476" spans="2:2" ht="12.75">
      <c r="B476" s="57"/>
    </row>
    <row r="477" spans="2:2" ht="12.75">
      <c r="B477" s="57"/>
    </row>
    <row r="478" spans="2:2" ht="12.75">
      <c r="B478" s="57"/>
    </row>
    <row r="479" spans="2:2" ht="12.75">
      <c r="B479" s="57"/>
    </row>
    <row r="480" spans="2:2" ht="12.75">
      <c r="B480" s="57"/>
    </row>
    <row r="481" spans="2:2" ht="12.75">
      <c r="B481" s="57"/>
    </row>
    <row r="482" spans="2:2" ht="12.75">
      <c r="B482" s="57"/>
    </row>
    <row r="483" spans="2:2" ht="12.75">
      <c r="B483" s="57"/>
    </row>
    <row r="484" spans="2:2" ht="12.75">
      <c r="B484" s="57"/>
    </row>
    <row r="485" spans="2:2" ht="12.75">
      <c r="B485" s="57"/>
    </row>
    <row r="486" spans="2:2" ht="12.75">
      <c r="B486" s="57"/>
    </row>
    <row r="487" spans="2:2" ht="12.75">
      <c r="B487" s="57"/>
    </row>
    <row r="488" spans="2:2" ht="12.75">
      <c r="B488" s="57"/>
    </row>
    <row r="489" spans="2:2" ht="12.75">
      <c r="B489" s="57"/>
    </row>
    <row r="490" spans="2:2" ht="12.75">
      <c r="B490" s="57"/>
    </row>
    <row r="491" spans="2:2" ht="12.75">
      <c r="B491" s="57"/>
    </row>
    <row r="492" spans="2:2" ht="12.75">
      <c r="B492" s="57"/>
    </row>
    <row r="493" spans="2:2" ht="12.75">
      <c r="B493" s="57"/>
    </row>
    <row r="494" spans="2:2" ht="12.75">
      <c r="B494" s="57"/>
    </row>
    <row r="495" spans="2:2" ht="12.75">
      <c r="B495" s="57"/>
    </row>
    <row r="496" spans="2:2" ht="12.75">
      <c r="B496" s="57"/>
    </row>
    <row r="497" spans="2:2" ht="12.75">
      <c r="B497" s="57"/>
    </row>
    <row r="498" spans="2:2" ht="12.75">
      <c r="B498" s="57"/>
    </row>
    <row r="499" spans="2:2" ht="12.75">
      <c r="B499" s="57"/>
    </row>
    <row r="500" spans="2:2" ht="12.75">
      <c r="B500" s="57"/>
    </row>
    <row r="501" spans="2:2" ht="12.75">
      <c r="B501" s="57"/>
    </row>
    <row r="502" spans="2:2" ht="12.75">
      <c r="B502" s="57"/>
    </row>
    <row r="503" spans="2:2" ht="12.75">
      <c r="B503" s="57"/>
    </row>
    <row r="504" spans="2:2" ht="12.75">
      <c r="B504" s="57"/>
    </row>
    <row r="505" spans="2:2" ht="12.75">
      <c r="B505" s="57"/>
    </row>
    <row r="506" spans="2:2" ht="12.75">
      <c r="B506" s="57"/>
    </row>
    <row r="507" spans="2:2" ht="12.75">
      <c r="B507" s="57"/>
    </row>
    <row r="508" spans="2:2" ht="12.75">
      <c r="B508" s="57"/>
    </row>
    <row r="509" spans="2:2" ht="12.75">
      <c r="B509" s="57"/>
    </row>
    <row r="510" spans="2:2" ht="12.75">
      <c r="B510" s="57"/>
    </row>
    <row r="511" spans="2:2" ht="12.75">
      <c r="B511" s="57"/>
    </row>
    <row r="512" spans="2:2" ht="12.75">
      <c r="B512" s="57"/>
    </row>
    <row r="513" spans="2:2" ht="12.75">
      <c r="B513" s="57"/>
    </row>
    <row r="514" spans="2:2" ht="12.75">
      <c r="B514" s="57"/>
    </row>
    <row r="515" spans="2:2" ht="12.75">
      <c r="B515" s="57"/>
    </row>
    <row r="516" spans="2:2" ht="12.75">
      <c r="B516" s="57"/>
    </row>
    <row r="517" spans="2:2" ht="12.75">
      <c r="B517" s="57"/>
    </row>
    <row r="518" spans="2:2" ht="12.75">
      <c r="B518" s="57"/>
    </row>
    <row r="519" spans="2:2" ht="12.75">
      <c r="B519" s="57"/>
    </row>
    <row r="520" spans="2:2" ht="12.75">
      <c r="B520" s="57"/>
    </row>
    <row r="521" spans="2:2" ht="12.75">
      <c r="B521" s="57"/>
    </row>
    <row r="522" spans="2:2" ht="12.75">
      <c r="B522" s="57"/>
    </row>
    <row r="523" spans="2:2" ht="12.75">
      <c r="B523" s="57"/>
    </row>
    <row r="524" spans="2:2" ht="12.75">
      <c r="B524" s="57"/>
    </row>
    <row r="525" spans="2:2" ht="12.75">
      <c r="B525" s="57"/>
    </row>
    <row r="526" spans="2:2" ht="12.75">
      <c r="B526" s="57"/>
    </row>
    <row r="527" spans="2:2" ht="12.75">
      <c r="B527" s="57"/>
    </row>
    <row r="528" spans="2:2" ht="12.75">
      <c r="B528" s="57"/>
    </row>
    <row r="529" spans="2:2" ht="12.75">
      <c r="B529" s="57"/>
    </row>
    <row r="530" spans="2:2" ht="12.75">
      <c r="B530" s="57"/>
    </row>
    <row r="531" spans="2:2" ht="12.75">
      <c r="B531" s="57"/>
    </row>
    <row r="532" spans="2:2" ht="12.75">
      <c r="B532" s="57"/>
    </row>
    <row r="533" spans="2:2" ht="12.75">
      <c r="B533" s="57"/>
    </row>
    <row r="534" spans="2:2" ht="12.75">
      <c r="B534" s="57"/>
    </row>
    <row r="535" spans="2:2" ht="12.75">
      <c r="B535" s="57"/>
    </row>
    <row r="536" spans="2:2" ht="12.75">
      <c r="B536" s="57"/>
    </row>
    <row r="537" spans="2:2" ht="12.75">
      <c r="B537" s="57"/>
    </row>
    <row r="538" spans="2:2" ht="12.75">
      <c r="B538" s="57"/>
    </row>
    <row r="539" spans="2:2" ht="12.75">
      <c r="B539" s="57"/>
    </row>
    <row r="540" spans="2:2" ht="12.75">
      <c r="B540" s="57"/>
    </row>
    <row r="541" spans="2:2" ht="12.75">
      <c r="B541" s="57"/>
    </row>
    <row r="542" spans="2:2" ht="12.75">
      <c r="B542" s="57"/>
    </row>
    <row r="543" spans="2:2" ht="12.75">
      <c r="B543" s="57"/>
    </row>
    <row r="544" spans="2:2" ht="12.75">
      <c r="B544" s="57"/>
    </row>
    <row r="545" spans="2:2" ht="12.75">
      <c r="B545" s="57"/>
    </row>
    <row r="546" spans="2:2" ht="12.75">
      <c r="B546" s="57"/>
    </row>
    <row r="547" spans="2:2" ht="12.75">
      <c r="B547" s="57"/>
    </row>
    <row r="548" spans="2:2" ht="12.75">
      <c r="B548" s="57"/>
    </row>
    <row r="549" spans="2:2" ht="12.75">
      <c r="B549" s="57"/>
    </row>
    <row r="550" spans="2:2" ht="12.75">
      <c r="B550" s="57"/>
    </row>
    <row r="551" spans="2:2" ht="12.75">
      <c r="B551" s="57"/>
    </row>
    <row r="552" spans="2:2" ht="12.75">
      <c r="B552" s="57"/>
    </row>
    <row r="553" spans="2:2" ht="12.75">
      <c r="B553" s="57"/>
    </row>
    <row r="554" spans="2:2" ht="12.75">
      <c r="B554" s="57"/>
    </row>
    <row r="555" spans="2:2" ht="12.75">
      <c r="B555" s="57"/>
    </row>
    <row r="556" spans="2:2" ht="12.75">
      <c r="B556" s="57"/>
    </row>
    <row r="557" spans="2:2" ht="12.75">
      <c r="B557" s="57"/>
    </row>
    <row r="558" spans="2:2" ht="12.75">
      <c r="B558" s="57"/>
    </row>
    <row r="559" spans="2:2" ht="12.75">
      <c r="B559" s="57"/>
    </row>
    <row r="560" spans="2:2" ht="12.75">
      <c r="B560" s="57"/>
    </row>
    <row r="561" spans="2:2" ht="12.75">
      <c r="B561" s="57"/>
    </row>
    <row r="562" spans="2:2" ht="12.75">
      <c r="B562" s="57"/>
    </row>
    <row r="563" spans="2:2" ht="12.75">
      <c r="B563" s="57"/>
    </row>
    <row r="564" spans="2:2" ht="12.75">
      <c r="B564" s="57"/>
    </row>
    <row r="565" spans="2:2" ht="12.75">
      <c r="B565" s="57"/>
    </row>
    <row r="566" spans="2:2" ht="12.75">
      <c r="B566" s="57"/>
    </row>
    <row r="567" spans="2:2" ht="12.75">
      <c r="B567" s="57"/>
    </row>
    <row r="568" spans="2:2" ht="12.75">
      <c r="B568" s="57"/>
    </row>
    <row r="569" spans="2:2" ht="12.75">
      <c r="B569" s="57"/>
    </row>
    <row r="570" spans="2:2" ht="12.75">
      <c r="B570" s="57"/>
    </row>
    <row r="571" spans="2:2" ht="12.75">
      <c r="B571" s="57"/>
    </row>
    <row r="572" spans="2:2" ht="12.75">
      <c r="B572" s="57"/>
    </row>
    <row r="573" spans="2:2" ht="12.75">
      <c r="B573" s="57"/>
    </row>
    <row r="574" spans="2:2" ht="12.75">
      <c r="B574" s="57"/>
    </row>
    <row r="575" spans="2:2" ht="12.75">
      <c r="B575" s="57"/>
    </row>
    <row r="576" spans="2:2" ht="12.75">
      <c r="B576" s="57"/>
    </row>
    <row r="577" spans="2:2" ht="12.75">
      <c r="B577" s="57"/>
    </row>
    <row r="578" spans="2:2" ht="12.75">
      <c r="B578" s="57"/>
    </row>
    <row r="579" spans="2:2" ht="12.75">
      <c r="B579" s="57"/>
    </row>
    <row r="580" spans="2:2" ht="12.75">
      <c r="B580" s="57"/>
    </row>
    <row r="581" spans="2:2" ht="12.75">
      <c r="B581" s="57"/>
    </row>
    <row r="582" spans="2:2" ht="12.75">
      <c r="B582" s="57"/>
    </row>
    <row r="583" spans="2:2" ht="12.75">
      <c r="B583" s="57"/>
    </row>
    <row r="584" spans="2:2" ht="12.75">
      <c r="B584" s="57"/>
    </row>
    <row r="585" spans="2:2" ht="12.75">
      <c r="B585" s="57"/>
    </row>
    <row r="586" spans="2:2" ht="12.75">
      <c r="B586" s="57"/>
    </row>
    <row r="587" spans="2:2" ht="12.75">
      <c r="B587" s="57"/>
    </row>
    <row r="588" spans="2:2" ht="12.75">
      <c r="B588" s="57"/>
    </row>
    <row r="589" spans="2:2" ht="12.75">
      <c r="B589" s="57"/>
    </row>
    <row r="590" spans="2:2" ht="12.75">
      <c r="B590" s="57"/>
    </row>
    <row r="591" spans="2:2" ht="12.75">
      <c r="B591" s="57"/>
    </row>
    <row r="592" spans="2:2" ht="12.75">
      <c r="B592" s="57"/>
    </row>
    <row r="593" spans="2:2" ht="12.75">
      <c r="B593" s="57"/>
    </row>
    <row r="594" spans="2:2" ht="12.75">
      <c r="B594" s="57"/>
    </row>
    <row r="595" spans="2:2" ht="12.75">
      <c r="B595" s="57"/>
    </row>
    <row r="596" spans="2:2" ht="12.75">
      <c r="B596" s="57"/>
    </row>
    <row r="597" spans="2:2" ht="12.75">
      <c r="B597" s="57"/>
    </row>
    <row r="598" spans="2:2" ht="12.75">
      <c r="B598" s="57"/>
    </row>
    <row r="599" spans="2:2" ht="12.75">
      <c r="B599" s="57"/>
    </row>
    <row r="600" spans="2:2" ht="12.75">
      <c r="B600" s="57"/>
    </row>
    <row r="601" spans="2:2" ht="12.75">
      <c r="B601" s="57"/>
    </row>
    <row r="602" spans="2:2" ht="12.75">
      <c r="B602" s="57"/>
    </row>
    <row r="603" spans="2:2" ht="12.75">
      <c r="B603" s="57"/>
    </row>
    <row r="604" spans="2:2" ht="12.75">
      <c r="B604" s="57"/>
    </row>
    <row r="605" spans="2:2" ht="12.75">
      <c r="B605" s="57"/>
    </row>
    <row r="606" spans="2:2" ht="12.75">
      <c r="B606" s="57"/>
    </row>
    <row r="607" spans="2:2" ht="12.75">
      <c r="B607" s="57"/>
    </row>
    <row r="608" spans="2:2" ht="12.75">
      <c r="B608" s="57"/>
    </row>
    <row r="609" spans="2:2" ht="12.75">
      <c r="B609" s="57"/>
    </row>
    <row r="610" spans="2:2" ht="12.75">
      <c r="B610" s="57"/>
    </row>
    <row r="611" spans="2:2" ht="12.75">
      <c r="B611" s="57"/>
    </row>
    <row r="612" spans="2:2" ht="12.75">
      <c r="B612" s="57"/>
    </row>
    <row r="613" spans="2:2" ht="12.75">
      <c r="B613" s="57"/>
    </row>
    <row r="614" spans="2:2" ht="12.75">
      <c r="B614" s="57"/>
    </row>
    <row r="615" spans="2:2" ht="12.75">
      <c r="B615" s="57"/>
    </row>
    <row r="616" spans="2:2" ht="12.75">
      <c r="B616" s="57"/>
    </row>
    <row r="617" spans="2:2" ht="12.75">
      <c r="B617" s="57"/>
    </row>
    <row r="618" spans="2:2" ht="12.75">
      <c r="B618" s="57"/>
    </row>
    <row r="619" spans="2:2" ht="12.75">
      <c r="B619" s="57"/>
    </row>
    <row r="620" spans="2:2" ht="12.75">
      <c r="B620" s="57"/>
    </row>
    <row r="621" spans="2:2" ht="12.75">
      <c r="B621" s="57"/>
    </row>
    <row r="622" spans="2:2" ht="12.75">
      <c r="B622" s="57"/>
    </row>
    <row r="623" spans="2:2" ht="12.75">
      <c r="B623" s="57"/>
    </row>
    <row r="624" spans="2:2" ht="12.75">
      <c r="B624" s="57"/>
    </row>
    <row r="625" spans="2:2" ht="12.75">
      <c r="B625" s="57"/>
    </row>
    <row r="626" spans="2:2" ht="12.75">
      <c r="B626" s="57"/>
    </row>
    <row r="627" spans="2:2" ht="12.75">
      <c r="B627" s="57"/>
    </row>
    <row r="628" spans="2:2" ht="12.75">
      <c r="B628" s="57"/>
    </row>
    <row r="629" spans="2:2" ht="12.75">
      <c r="B629" s="57"/>
    </row>
    <row r="630" spans="2:2" ht="12.75">
      <c r="B630" s="57"/>
    </row>
    <row r="631" spans="2:2" ht="12.75">
      <c r="B631" s="57"/>
    </row>
    <row r="632" spans="2:2" ht="12.75">
      <c r="B632" s="57"/>
    </row>
    <row r="633" spans="2:2" ht="12.75">
      <c r="B633" s="57"/>
    </row>
    <row r="634" spans="2:2" ht="12.75">
      <c r="B634" s="57"/>
    </row>
    <row r="635" spans="2:2" ht="12.75">
      <c r="B635" s="57"/>
    </row>
    <row r="636" spans="2:2" ht="12.75">
      <c r="B636" s="57"/>
    </row>
    <row r="637" spans="2:2" ht="12.75">
      <c r="B637" s="57"/>
    </row>
    <row r="638" spans="2:2" ht="12.75">
      <c r="B638" s="57"/>
    </row>
    <row r="639" spans="2:2" ht="12.75">
      <c r="B639" s="57"/>
    </row>
    <row r="640" spans="2:2" ht="12.75">
      <c r="B640" s="57"/>
    </row>
    <row r="641" spans="2:2" ht="12.75">
      <c r="B641" s="57"/>
    </row>
    <row r="642" spans="2:2" ht="12.75">
      <c r="B642" s="57"/>
    </row>
    <row r="643" spans="2:2" ht="12.75">
      <c r="B643" s="57"/>
    </row>
    <row r="644" spans="2:2" ht="12.75">
      <c r="B644" s="57"/>
    </row>
    <row r="645" spans="2:2" ht="12.75">
      <c r="B645" s="57"/>
    </row>
    <row r="646" spans="2:2" ht="12.75">
      <c r="B646" s="57"/>
    </row>
    <row r="647" spans="2:2" ht="12.75">
      <c r="B647" s="57"/>
    </row>
    <row r="648" spans="2:2" ht="12.75">
      <c r="B648" s="57"/>
    </row>
    <row r="649" spans="2:2" ht="12.75">
      <c r="B649" s="57"/>
    </row>
    <row r="650" spans="2:2" ht="12.75">
      <c r="B650" s="57"/>
    </row>
    <row r="651" spans="2:2" ht="12.75">
      <c r="B651" s="57"/>
    </row>
    <row r="652" spans="2:2" ht="12.75">
      <c r="B652" s="57"/>
    </row>
    <row r="653" spans="2:2" ht="12.75">
      <c r="B653" s="57"/>
    </row>
    <row r="654" spans="2:2" ht="12.75">
      <c r="B654" s="57"/>
    </row>
    <row r="655" spans="2:2" ht="12.75">
      <c r="B655" s="57"/>
    </row>
    <row r="656" spans="2:2" ht="12.75">
      <c r="B656" s="57"/>
    </row>
    <row r="657" spans="2:2" ht="12.75">
      <c r="B657" s="57"/>
    </row>
    <row r="658" spans="2:2" ht="12.75">
      <c r="B658" s="57"/>
    </row>
    <row r="659" spans="2:2" ht="12.75">
      <c r="B659" s="57"/>
    </row>
    <row r="660" spans="2:2" ht="12.75">
      <c r="B660" s="57"/>
    </row>
    <row r="661" spans="2:2" ht="12.75">
      <c r="B661" s="57"/>
    </row>
    <row r="662" spans="2:2" ht="12.75">
      <c r="B662" s="57"/>
    </row>
    <row r="663" spans="2:2" ht="12.75">
      <c r="B663" s="57"/>
    </row>
    <row r="664" spans="2:2" ht="12.75">
      <c r="B664" s="57"/>
    </row>
    <row r="665" spans="2:2" ht="12.75">
      <c r="B665" s="57"/>
    </row>
    <row r="666" spans="2:2" ht="12.75">
      <c r="B666" s="57"/>
    </row>
    <row r="667" spans="2:2" ht="12.75">
      <c r="B667" s="57"/>
    </row>
    <row r="668" spans="2:2" ht="12.75">
      <c r="B668" s="57"/>
    </row>
    <row r="669" spans="2:2" ht="12.75">
      <c r="B669" s="57"/>
    </row>
    <row r="670" spans="2:2" ht="12.75">
      <c r="B670" s="57"/>
    </row>
    <row r="671" spans="2:2" ht="12.75">
      <c r="B671" s="57"/>
    </row>
    <row r="672" spans="2:2" ht="12.75">
      <c r="B672" s="57"/>
    </row>
    <row r="673" spans="2:2" ht="12.75">
      <c r="B673" s="57"/>
    </row>
    <row r="674" spans="2:2" ht="12.75">
      <c r="B674" s="57"/>
    </row>
    <row r="675" spans="2:2" ht="12.75">
      <c r="B675" s="57"/>
    </row>
    <row r="676" spans="2:2" ht="12.75">
      <c r="B676" s="57"/>
    </row>
    <row r="677" spans="2:2" ht="12.75">
      <c r="B677" s="57"/>
    </row>
    <row r="678" spans="2:2" ht="12.75">
      <c r="B678" s="57"/>
    </row>
    <row r="679" spans="2:2" ht="12.75">
      <c r="B679" s="57"/>
    </row>
    <row r="680" spans="2:2" ht="12.75">
      <c r="B680" s="57"/>
    </row>
    <row r="681" spans="2:2" ht="12.75">
      <c r="B681" s="57"/>
    </row>
    <row r="682" spans="2:2" ht="12.75">
      <c r="B682" s="57"/>
    </row>
    <row r="683" spans="2:2" ht="12.75">
      <c r="B683" s="57"/>
    </row>
    <row r="684" spans="2:2" ht="12.75">
      <c r="B684" s="57"/>
    </row>
    <row r="685" spans="2:2" ht="12.75">
      <c r="B685" s="57"/>
    </row>
    <row r="686" spans="2:2" ht="12.75">
      <c r="B686" s="57"/>
    </row>
    <row r="687" spans="2:2" ht="12.75">
      <c r="B687" s="57"/>
    </row>
    <row r="688" spans="2:2" ht="12.75">
      <c r="B688" s="57"/>
    </row>
    <row r="689" spans="2:2" ht="12.75">
      <c r="B689" s="57"/>
    </row>
    <row r="690" spans="2:2" ht="12.75">
      <c r="B690" s="57"/>
    </row>
    <row r="691" spans="2:2" ht="12.75">
      <c r="B691" s="57"/>
    </row>
    <row r="692" spans="2:2" ht="12.75">
      <c r="B692" s="57"/>
    </row>
    <row r="693" spans="2:2" ht="12.75">
      <c r="B693" s="57"/>
    </row>
    <row r="694" spans="2:2" ht="12.75">
      <c r="B694" s="57"/>
    </row>
    <row r="695" spans="2:2" ht="12.75">
      <c r="B695" s="57"/>
    </row>
    <row r="696" spans="2:2" ht="12.75">
      <c r="B696" s="57"/>
    </row>
    <row r="697" spans="2:2" ht="12.75">
      <c r="B697" s="57"/>
    </row>
    <row r="698" spans="2:2" ht="12.75">
      <c r="B698" s="57"/>
    </row>
    <row r="699" spans="2:2" ht="12.75">
      <c r="B699" s="57"/>
    </row>
    <row r="700" spans="2:2" ht="12.75">
      <c r="B700" s="57"/>
    </row>
    <row r="701" spans="2:2" ht="12.75">
      <c r="B701" s="57"/>
    </row>
    <row r="702" spans="2:2" ht="12.75">
      <c r="B702" s="57"/>
    </row>
    <row r="703" spans="2:2" ht="12.75">
      <c r="B703" s="57"/>
    </row>
    <row r="704" spans="2:2" ht="12.75">
      <c r="B704" s="57"/>
    </row>
    <row r="705" spans="2:2" ht="12.75">
      <c r="B705" s="57"/>
    </row>
    <row r="706" spans="2:2" ht="12.75">
      <c r="B706" s="57"/>
    </row>
    <row r="707" spans="2:2" ht="12.75">
      <c r="B707" s="57"/>
    </row>
    <row r="708" spans="2:2" ht="12.75">
      <c r="B708" s="57"/>
    </row>
    <row r="709" spans="2:2" ht="12.75">
      <c r="B709" s="57"/>
    </row>
    <row r="710" spans="2:2" ht="12.75">
      <c r="B710" s="57"/>
    </row>
    <row r="711" spans="2:2" ht="12.75">
      <c r="B711" s="57"/>
    </row>
    <row r="712" spans="2:2" ht="12.75">
      <c r="B712" s="57"/>
    </row>
    <row r="713" spans="2:2" ht="12.75">
      <c r="B713" s="57"/>
    </row>
    <row r="714" spans="2:2" ht="12.75">
      <c r="B714" s="57"/>
    </row>
    <row r="715" spans="2:2" ht="12.75">
      <c r="B715" s="57"/>
    </row>
    <row r="716" spans="2:2" ht="12.75">
      <c r="B716" s="57"/>
    </row>
    <row r="717" spans="2:2" ht="12.75">
      <c r="B717" s="57"/>
    </row>
    <row r="718" spans="2:2" ht="12.75">
      <c r="B718" s="57"/>
    </row>
    <row r="719" spans="2:2" ht="12.75">
      <c r="B719" s="57"/>
    </row>
    <row r="720" spans="2:2" ht="12.75">
      <c r="B720" s="57"/>
    </row>
    <row r="721" spans="2:2" ht="12.75">
      <c r="B721" s="57"/>
    </row>
    <row r="722" spans="2:2" ht="12.75">
      <c r="B722" s="57"/>
    </row>
    <row r="723" spans="2:2" ht="12.75">
      <c r="B723" s="57"/>
    </row>
    <row r="724" spans="2:2" ht="12.75">
      <c r="B724" s="57"/>
    </row>
    <row r="725" spans="2:2" ht="12.75">
      <c r="B725" s="57"/>
    </row>
    <row r="726" spans="2:2" ht="12.75">
      <c r="B726" s="57"/>
    </row>
    <row r="727" spans="2:2" ht="12.75">
      <c r="B727" s="57"/>
    </row>
    <row r="728" spans="2:2" ht="12.75">
      <c r="B728" s="57"/>
    </row>
    <row r="729" spans="2:2" ht="12.75">
      <c r="B729" s="57"/>
    </row>
    <row r="730" spans="2:2" ht="12.75">
      <c r="B730" s="57"/>
    </row>
    <row r="731" spans="2:2" ht="12.75">
      <c r="B731" s="57"/>
    </row>
    <row r="732" spans="2:2" ht="12.75">
      <c r="B732" s="57"/>
    </row>
    <row r="733" spans="2:2" ht="12.75">
      <c r="B733" s="57"/>
    </row>
    <row r="734" spans="2:2" ht="12.75">
      <c r="B734" s="57"/>
    </row>
    <row r="735" spans="2:2" ht="12.75">
      <c r="B735" s="57"/>
    </row>
    <row r="736" spans="2:2" ht="12.75">
      <c r="B736" s="57"/>
    </row>
    <row r="737" spans="2:2" ht="12.75">
      <c r="B737" s="57"/>
    </row>
    <row r="738" spans="2:2" ht="12.75">
      <c r="B738" s="57"/>
    </row>
    <row r="739" spans="2:2" ht="12.75">
      <c r="B739" s="57"/>
    </row>
    <row r="740" spans="2:2" ht="12.75">
      <c r="B740" s="57"/>
    </row>
    <row r="741" spans="2:2" ht="12.75">
      <c r="B741" s="57"/>
    </row>
    <row r="742" spans="2:2" ht="12.75">
      <c r="B742" s="57"/>
    </row>
    <row r="743" spans="2:2" ht="12.75">
      <c r="B743" s="57"/>
    </row>
    <row r="744" spans="2:2" ht="12.75">
      <c r="B744" s="57"/>
    </row>
    <row r="745" spans="2:2" ht="12.75">
      <c r="B745" s="57"/>
    </row>
    <row r="746" spans="2:2" ht="12.75">
      <c r="B746" s="57"/>
    </row>
    <row r="747" spans="2:2" ht="12.75">
      <c r="B747" s="57"/>
    </row>
    <row r="748" spans="2:2" ht="12.75">
      <c r="B748" s="57"/>
    </row>
    <row r="749" spans="2:2" ht="12.75">
      <c r="B749" s="57"/>
    </row>
    <row r="750" spans="2:2" ht="12.75">
      <c r="B750" s="57"/>
    </row>
    <row r="751" spans="2:2" ht="12.75">
      <c r="B751" s="57"/>
    </row>
    <row r="752" spans="2:2" ht="12.75">
      <c r="B752" s="57"/>
    </row>
    <row r="753" spans="2:2" ht="12.75">
      <c r="B753" s="57"/>
    </row>
    <row r="754" spans="2:2" ht="12.75">
      <c r="B754" s="57"/>
    </row>
    <row r="755" spans="2:2" ht="12.75">
      <c r="B755" s="57"/>
    </row>
    <row r="756" spans="2:2" ht="12.75">
      <c r="B756" s="57"/>
    </row>
    <row r="757" spans="2:2" ht="12.75">
      <c r="B757" s="57"/>
    </row>
    <row r="758" spans="2:2" ht="12.75">
      <c r="B758" s="57"/>
    </row>
    <row r="759" spans="2:2" ht="12.75">
      <c r="B759" s="57"/>
    </row>
    <row r="760" spans="2:2" ht="12.75">
      <c r="B760" s="57"/>
    </row>
    <row r="761" spans="2:2" ht="12.75">
      <c r="B761" s="57"/>
    </row>
    <row r="762" spans="2:2" ht="12.75">
      <c r="B762" s="57"/>
    </row>
    <row r="763" spans="2:2" ht="12.75">
      <c r="B763" s="57"/>
    </row>
    <row r="764" spans="2:2" ht="12.75">
      <c r="B764" s="57"/>
    </row>
    <row r="765" spans="2:2" ht="12.75">
      <c r="B765" s="57"/>
    </row>
    <row r="766" spans="2:2" ht="12.75">
      <c r="B766" s="57"/>
    </row>
    <row r="767" spans="2:2" ht="12.75">
      <c r="B767" s="57"/>
    </row>
    <row r="768" spans="2:2" ht="12.75">
      <c r="B768" s="57"/>
    </row>
    <row r="769" spans="2:2" ht="12.75">
      <c r="B769" s="57"/>
    </row>
    <row r="770" spans="2:2" ht="12.75">
      <c r="B770" s="57"/>
    </row>
    <row r="771" spans="2:2" ht="12.75">
      <c r="B771" s="57"/>
    </row>
    <row r="772" spans="2:2" ht="12.75">
      <c r="B772" s="57"/>
    </row>
    <row r="773" spans="2:2" ht="12.75">
      <c r="B773" s="57"/>
    </row>
    <row r="774" spans="2:2" ht="12.75">
      <c r="B774" s="57"/>
    </row>
    <row r="775" spans="2:2" ht="12.75">
      <c r="B775" s="57"/>
    </row>
    <row r="776" spans="2:2" ht="12.75">
      <c r="B776" s="57"/>
    </row>
    <row r="777" spans="2:2" ht="12.75">
      <c r="B777" s="57"/>
    </row>
    <row r="778" spans="2:2" ht="12.75">
      <c r="B778" s="57"/>
    </row>
    <row r="779" spans="2:2" ht="12.75">
      <c r="B779" s="57"/>
    </row>
    <row r="780" spans="2:2" ht="12.75">
      <c r="B780" s="57"/>
    </row>
    <row r="781" spans="2:2" ht="12.75">
      <c r="B781" s="57"/>
    </row>
    <row r="782" spans="2:2" ht="12.75">
      <c r="B782" s="57"/>
    </row>
    <row r="783" spans="2:2" ht="12.75">
      <c r="B783" s="57"/>
    </row>
    <row r="784" spans="2:2" ht="12.75">
      <c r="B784" s="57"/>
    </row>
    <row r="785" spans="2:2" ht="12.75">
      <c r="B785" s="57"/>
    </row>
    <row r="786" spans="2:2" ht="12.75">
      <c r="B786" s="57"/>
    </row>
    <row r="787" spans="2:2" ht="12.75">
      <c r="B787" s="57"/>
    </row>
    <row r="788" spans="2:2" ht="12.75">
      <c r="B788" s="57"/>
    </row>
    <row r="789" spans="2:2" ht="12.75">
      <c r="B789" s="57"/>
    </row>
    <row r="790" spans="2:2" ht="12.75">
      <c r="B790" s="57"/>
    </row>
    <row r="791" spans="2:2" ht="12.75">
      <c r="B791" s="57"/>
    </row>
    <row r="792" spans="2:2" ht="12.75">
      <c r="B792" s="57"/>
    </row>
    <row r="793" spans="2:2" ht="12.75">
      <c r="B793" s="57"/>
    </row>
    <row r="794" spans="2:2" ht="12.75">
      <c r="B794" s="57"/>
    </row>
    <row r="795" spans="2:2" ht="12.75">
      <c r="B795" s="57"/>
    </row>
    <row r="796" spans="2:2" ht="12.75">
      <c r="B796" s="57"/>
    </row>
    <row r="797" spans="2:2" ht="12.75">
      <c r="B797" s="57"/>
    </row>
    <row r="798" spans="2:2" ht="12.75">
      <c r="B798" s="57"/>
    </row>
    <row r="799" spans="2:2" ht="12.75">
      <c r="B799" s="57"/>
    </row>
    <row r="800" spans="2:2" ht="12.75">
      <c r="B800" s="57"/>
    </row>
    <row r="801" spans="2:2" ht="12.75">
      <c r="B801" s="57"/>
    </row>
    <row r="802" spans="2:2" ht="12.75">
      <c r="B802" s="57"/>
    </row>
    <row r="803" spans="2:2" ht="12.75">
      <c r="B803" s="57"/>
    </row>
    <row r="804" spans="2:2" ht="12.75">
      <c r="B804" s="57"/>
    </row>
    <row r="805" spans="2:2" ht="12.75">
      <c r="B805" s="57"/>
    </row>
    <row r="806" spans="2:2" ht="12.75">
      <c r="B806" s="57"/>
    </row>
    <row r="807" spans="2:2" ht="12.75">
      <c r="B807" s="57"/>
    </row>
    <row r="808" spans="2:2" ht="12.75">
      <c r="B808" s="57"/>
    </row>
    <row r="809" spans="2:2" ht="12.75">
      <c r="B809" s="57"/>
    </row>
    <row r="810" spans="2:2" ht="12.75">
      <c r="B810" s="57"/>
    </row>
    <row r="811" spans="2:2" ht="12.75">
      <c r="B811" s="57"/>
    </row>
    <row r="812" spans="2:2" ht="12.75">
      <c r="B812" s="57"/>
    </row>
    <row r="813" spans="2:2" ht="12.75">
      <c r="B813" s="57"/>
    </row>
    <row r="814" spans="2:2" ht="12.75">
      <c r="B814" s="57"/>
    </row>
    <row r="815" spans="2:2" ht="12.75">
      <c r="B815" s="57"/>
    </row>
    <row r="816" spans="2:2" ht="12.75">
      <c r="B816" s="57"/>
    </row>
    <row r="817" spans="2:2" ht="12.75">
      <c r="B817" s="57"/>
    </row>
    <row r="818" spans="2:2" ht="12.75">
      <c r="B818" s="57"/>
    </row>
    <row r="819" spans="2:2" ht="12.75">
      <c r="B819" s="57"/>
    </row>
    <row r="820" spans="2:2" ht="12.75">
      <c r="B820" s="57"/>
    </row>
    <row r="821" spans="2:2" ht="12.75">
      <c r="B821" s="57"/>
    </row>
    <row r="822" spans="2:2" ht="12.75">
      <c r="B822" s="57"/>
    </row>
    <row r="823" spans="2:2" ht="12.75">
      <c r="B823" s="57"/>
    </row>
    <row r="824" spans="2:2" ht="12.75">
      <c r="B824" s="57"/>
    </row>
    <row r="825" spans="2:2" ht="12.75">
      <c r="B825" s="57"/>
    </row>
    <row r="826" spans="2:2" ht="12.75">
      <c r="B826" s="57"/>
    </row>
    <row r="827" spans="2:2" ht="12.75">
      <c r="B827" s="57"/>
    </row>
    <row r="828" spans="2:2" ht="12.75">
      <c r="B828" s="57"/>
    </row>
    <row r="829" spans="2:2" ht="12.75">
      <c r="B829" s="57"/>
    </row>
    <row r="830" spans="2:2" ht="12.75">
      <c r="B830" s="57"/>
    </row>
    <row r="831" spans="2:2" ht="12.75">
      <c r="B831" s="57"/>
    </row>
    <row r="832" spans="2:2" ht="12.75">
      <c r="B832" s="57"/>
    </row>
    <row r="833" spans="2:2" ht="12.75">
      <c r="B833" s="57"/>
    </row>
    <row r="834" spans="2:2" ht="12.75">
      <c r="B834" s="57"/>
    </row>
    <row r="835" spans="2:2" ht="12.75">
      <c r="B835" s="57"/>
    </row>
    <row r="836" spans="2:2" ht="12.75">
      <c r="B836" s="57"/>
    </row>
    <row r="837" spans="2:2" ht="12.75">
      <c r="B837" s="57"/>
    </row>
    <row r="838" spans="2:2" ht="12.75">
      <c r="B838" s="57"/>
    </row>
    <row r="839" spans="2:2" ht="12.75">
      <c r="B839" s="57"/>
    </row>
    <row r="840" spans="2:2" ht="12.75">
      <c r="B840" s="57"/>
    </row>
    <row r="841" spans="2:2" ht="12.75">
      <c r="B841" s="57"/>
    </row>
    <row r="842" spans="2:2" ht="12.75">
      <c r="B842" s="57"/>
    </row>
    <row r="843" spans="2:2" ht="12.75">
      <c r="B843" s="57"/>
    </row>
    <row r="844" spans="2:2" ht="12.75">
      <c r="B844" s="57"/>
    </row>
    <row r="845" spans="2:2" ht="12.75">
      <c r="B845" s="57"/>
    </row>
    <row r="846" spans="2:2" ht="12.75">
      <c r="B846" s="57"/>
    </row>
    <row r="847" spans="2:2" ht="12.75">
      <c r="B847" s="57"/>
    </row>
    <row r="848" spans="2:2" ht="12.75">
      <c r="B848" s="57"/>
    </row>
    <row r="849" spans="2:2" ht="12.75">
      <c r="B849" s="57"/>
    </row>
    <row r="850" spans="2:2" ht="12.75">
      <c r="B850" s="57"/>
    </row>
    <row r="851" spans="2:2" ht="12.75">
      <c r="B851" s="57"/>
    </row>
    <row r="852" spans="2:2" ht="12.75">
      <c r="B852" s="57"/>
    </row>
    <row r="853" spans="2:2" ht="12.75">
      <c r="B853" s="57"/>
    </row>
    <row r="854" spans="2:2" ht="12.75">
      <c r="B854" s="57"/>
    </row>
    <row r="855" spans="2:2" ht="12.75">
      <c r="B855" s="57"/>
    </row>
    <row r="856" spans="2:2" ht="12.75">
      <c r="B856" s="57"/>
    </row>
    <row r="857" spans="2:2" ht="12.75">
      <c r="B857" s="57"/>
    </row>
    <row r="858" spans="2:2" ht="12.75">
      <c r="B858" s="57"/>
    </row>
    <row r="859" spans="2:2" ht="12.75">
      <c r="B859" s="57"/>
    </row>
    <row r="860" spans="2:2" ht="12.75">
      <c r="B860" s="57"/>
    </row>
    <row r="861" spans="2:2" ht="12.75">
      <c r="B861" s="57"/>
    </row>
    <row r="862" spans="2:2" ht="12.75">
      <c r="B862" s="57"/>
    </row>
    <row r="863" spans="2:2" ht="12.75">
      <c r="B863" s="57"/>
    </row>
    <row r="864" spans="2:2" ht="12.75">
      <c r="B864" s="57"/>
    </row>
    <row r="865" spans="2:2" ht="12.75">
      <c r="B865" s="57"/>
    </row>
    <row r="866" spans="2:2" ht="12.75">
      <c r="B866" s="57"/>
    </row>
    <row r="867" spans="2:2" ht="12.75">
      <c r="B867" s="57"/>
    </row>
    <row r="868" spans="2:2" ht="12.75">
      <c r="B868" s="57"/>
    </row>
    <row r="869" spans="2:2" ht="12.75">
      <c r="B869" s="57"/>
    </row>
    <row r="870" spans="2:2" ht="12.75">
      <c r="B870" s="57"/>
    </row>
    <row r="871" spans="2:2" ht="12.75">
      <c r="B871" s="57"/>
    </row>
    <row r="872" spans="2:2" ht="12.75">
      <c r="B872" s="57"/>
    </row>
    <row r="873" spans="2:2" ht="12.75">
      <c r="B873" s="57"/>
    </row>
    <row r="874" spans="2:2" ht="12.75">
      <c r="B874" s="57"/>
    </row>
    <row r="875" spans="2:2" ht="12.75">
      <c r="B875" s="57"/>
    </row>
    <row r="876" spans="2:2" ht="12.75">
      <c r="B876" s="57"/>
    </row>
    <row r="877" spans="2:2" ht="12.75">
      <c r="B877" s="57"/>
    </row>
    <row r="878" spans="2:2" ht="12.75">
      <c r="B878" s="57"/>
    </row>
    <row r="879" spans="2:2" ht="12.75">
      <c r="B879" s="57"/>
    </row>
    <row r="880" spans="2:2" ht="12.75">
      <c r="B880" s="57"/>
    </row>
    <row r="881" spans="2:2" ht="12.75">
      <c r="B881" s="57"/>
    </row>
    <row r="882" spans="2:2" ht="12.75">
      <c r="B882" s="57"/>
    </row>
    <row r="883" spans="2:2" ht="12.75">
      <c r="B883" s="57"/>
    </row>
    <row r="884" spans="2:2" ht="12.75">
      <c r="B884" s="57"/>
    </row>
    <row r="885" spans="2:2" ht="12.75">
      <c r="B885" s="57"/>
    </row>
    <row r="886" spans="2:2" ht="12.75">
      <c r="B886" s="57"/>
    </row>
    <row r="887" spans="2:2" ht="12.75">
      <c r="B887" s="57"/>
    </row>
    <row r="888" spans="2:2" ht="12.75">
      <c r="B888" s="57"/>
    </row>
    <row r="889" spans="2:2" ht="12.75">
      <c r="B889" s="57"/>
    </row>
    <row r="890" spans="2:2" ht="12.75">
      <c r="B890" s="57"/>
    </row>
    <row r="891" spans="2:2" ht="12.75">
      <c r="B891" s="57"/>
    </row>
    <row r="892" spans="2:2" ht="12.75">
      <c r="B892" s="57"/>
    </row>
    <row r="893" spans="2:2" ht="12.75">
      <c r="B893" s="57"/>
    </row>
    <row r="894" spans="2:2" ht="12.75">
      <c r="B894" s="57"/>
    </row>
    <row r="895" spans="2:2" ht="12.75">
      <c r="B895" s="57"/>
    </row>
    <row r="896" spans="2:2" ht="12.75">
      <c r="B896" s="57"/>
    </row>
    <row r="897" spans="2:2" ht="12.75">
      <c r="B897" s="57"/>
    </row>
    <row r="898" spans="2:2" ht="12.75">
      <c r="B898" s="57"/>
    </row>
    <row r="899" spans="2:2" ht="12.75">
      <c r="B899" s="57"/>
    </row>
    <row r="900" spans="2:2" ht="12.75">
      <c r="B900" s="57"/>
    </row>
    <row r="901" spans="2:2" ht="12.75">
      <c r="B901" s="57"/>
    </row>
    <row r="902" spans="2:2" ht="12.75">
      <c r="B902" s="57"/>
    </row>
    <row r="903" spans="2:2" ht="12.75">
      <c r="B903" s="57"/>
    </row>
    <row r="904" spans="2:2" ht="12.75">
      <c r="B904" s="57"/>
    </row>
    <row r="905" spans="2:2" ht="12.75">
      <c r="B905" s="57"/>
    </row>
    <row r="906" spans="2:2" ht="12.75">
      <c r="B906" s="57"/>
    </row>
    <row r="907" spans="2:2" ht="12.75">
      <c r="B907" s="57"/>
    </row>
    <row r="908" spans="2:2" ht="12.75">
      <c r="B908" s="57"/>
    </row>
    <row r="909" spans="2:2" ht="12.75">
      <c r="B909" s="57"/>
    </row>
    <row r="910" spans="2:2" ht="12.75">
      <c r="B910" s="57"/>
    </row>
    <row r="911" spans="2:2" ht="12.75">
      <c r="B911" s="57"/>
    </row>
    <row r="912" spans="2:2" ht="12.75">
      <c r="B912" s="57"/>
    </row>
    <row r="913" spans="2:2" ht="12.75">
      <c r="B913" s="57"/>
    </row>
    <row r="914" spans="2:2" ht="12.75">
      <c r="B914" s="57"/>
    </row>
    <row r="915" spans="2:2" ht="12.75">
      <c r="B915" s="57"/>
    </row>
    <row r="916" spans="2:2" ht="12.75">
      <c r="B916" s="57"/>
    </row>
    <row r="917" spans="2:2" ht="12.75">
      <c r="B917" s="57"/>
    </row>
    <row r="918" spans="2:2" ht="12.75">
      <c r="B918" s="57"/>
    </row>
    <row r="919" spans="2:2" ht="12.75">
      <c r="B919" s="57"/>
    </row>
    <row r="920" spans="2:2" ht="12.75">
      <c r="B920" s="57"/>
    </row>
    <row r="921" spans="2:2" ht="12.75">
      <c r="B921" s="57"/>
    </row>
    <row r="922" spans="2:2" ht="12.75">
      <c r="B922" s="57"/>
    </row>
    <row r="923" spans="2:2" ht="12.75">
      <c r="B923" s="57"/>
    </row>
    <row r="924" spans="2:2" ht="12.75">
      <c r="B924" s="57"/>
    </row>
    <row r="925" spans="2:2" ht="12.75">
      <c r="B925" s="57"/>
    </row>
    <row r="926" spans="2:2" ht="12.75">
      <c r="B926" s="57"/>
    </row>
    <row r="927" spans="2:2" ht="12.75">
      <c r="B927" s="57"/>
    </row>
    <row r="928" spans="2:2" ht="12.75">
      <c r="B928" s="57"/>
    </row>
    <row r="929" spans="2:2" ht="12.75">
      <c r="B929" s="57"/>
    </row>
    <row r="930" spans="2:2" ht="12.75">
      <c r="B930" s="57"/>
    </row>
    <row r="931" spans="2:2" ht="12.75">
      <c r="B931" s="57"/>
    </row>
    <row r="932" spans="2:2" ht="12.75">
      <c r="B932" s="57"/>
    </row>
    <row r="933" spans="2:2" ht="12.75">
      <c r="B933" s="57"/>
    </row>
    <row r="934" spans="2:2" ht="12.75">
      <c r="B934" s="57"/>
    </row>
    <row r="935" spans="2:2" ht="12.75">
      <c r="B935" s="57"/>
    </row>
    <row r="936" spans="2:2" ht="12.75">
      <c r="B936" s="57"/>
    </row>
    <row r="937" spans="2:2" ht="12.75">
      <c r="B937" s="57"/>
    </row>
    <row r="938" spans="2:2" ht="12.75">
      <c r="B938" s="57"/>
    </row>
    <row r="939" spans="2:2" ht="12.75">
      <c r="B939" s="57"/>
    </row>
    <row r="940" spans="2:2" ht="12.75">
      <c r="B940" s="57"/>
    </row>
    <row r="941" spans="2:2" ht="12.75">
      <c r="B941" s="57"/>
    </row>
    <row r="942" spans="2:2" ht="12.75">
      <c r="B942" s="57"/>
    </row>
    <row r="943" spans="2:2" ht="12.75">
      <c r="B943" s="57"/>
    </row>
    <row r="944" spans="2:2" ht="12.75">
      <c r="B944" s="57"/>
    </row>
    <row r="945" spans="2:2" ht="12.75">
      <c r="B945" s="57"/>
    </row>
    <row r="946" spans="2:2" ht="12.75">
      <c r="B946" s="57"/>
    </row>
    <row r="947" spans="2:2" ht="12.75">
      <c r="B947" s="57"/>
    </row>
    <row r="948" spans="2:2" ht="12.75">
      <c r="B948" s="57"/>
    </row>
    <row r="949" spans="2:2" ht="12.75">
      <c r="B949" s="57"/>
    </row>
    <row r="950" spans="2:2" ht="12.75">
      <c r="B950" s="57"/>
    </row>
    <row r="951" spans="2:2" ht="12.75">
      <c r="B951" s="57"/>
    </row>
    <row r="952" spans="2:2" ht="12.75">
      <c r="B952" s="57"/>
    </row>
    <row r="953" spans="2:2" ht="12.75">
      <c r="B953" s="57"/>
    </row>
    <row r="954" spans="2:2" ht="12.75">
      <c r="B954" s="57"/>
    </row>
    <row r="955" spans="2:2" ht="12.75">
      <c r="B955" s="57"/>
    </row>
    <row r="956" spans="2:2" ht="12.75">
      <c r="B956" s="57"/>
    </row>
    <row r="957" spans="2:2" ht="12.75">
      <c r="B957" s="57"/>
    </row>
    <row r="958" spans="2:2" ht="12.75">
      <c r="B958" s="57"/>
    </row>
    <row r="959" spans="2:2" ht="12.75">
      <c r="B959" s="57"/>
    </row>
    <row r="960" spans="2:2" ht="12.75">
      <c r="B960" s="57"/>
    </row>
    <row r="961" spans="2:2" ht="12.75">
      <c r="B961" s="57"/>
    </row>
    <row r="962" spans="2:2" ht="12.75">
      <c r="B962" s="57"/>
    </row>
    <row r="963" spans="2:2" ht="12.75">
      <c r="B963" s="57"/>
    </row>
    <row r="964" spans="2:2" ht="12.75">
      <c r="B964" s="57"/>
    </row>
    <row r="965" spans="2:2" ht="12.75">
      <c r="B965" s="57"/>
    </row>
    <row r="966" spans="2:2" ht="12.75">
      <c r="B966" s="57"/>
    </row>
    <row r="967" spans="2:2" ht="12.75">
      <c r="B967" s="57"/>
    </row>
    <row r="968" spans="2:2" ht="12.75">
      <c r="B968" s="57"/>
    </row>
    <row r="969" spans="2:2" ht="12.75">
      <c r="B969" s="57"/>
    </row>
    <row r="970" spans="2:2" ht="12.75">
      <c r="B970" s="57"/>
    </row>
    <row r="971" spans="2:2" ht="12.75">
      <c r="B971" s="57"/>
    </row>
    <row r="972" spans="2:2" ht="12.75">
      <c r="B972" s="57"/>
    </row>
    <row r="973" spans="2:2" ht="12.75">
      <c r="B973" s="57"/>
    </row>
    <row r="974" spans="2:2" ht="12.75">
      <c r="B974" s="57"/>
    </row>
    <row r="975" spans="2:2" ht="12.75">
      <c r="B975" s="57"/>
    </row>
    <row r="976" spans="2:2" ht="12.75">
      <c r="B976" s="57"/>
    </row>
    <row r="977" spans="2:2" ht="12.75">
      <c r="B977" s="57"/>
    </row>
    <row r="978" spans="2:2" ht="12.75">
      <c r="B978" s="57"/>
    </row>
    <row r="979" spans="2:2" ht="12.75">
      <c r="B979" s="57"/>
    </row>
    <row r="980" spans="2:2" ht="12.75">
      <c r="B980" s="57"/>
    </row>
    <row r="981" spans="2:2" ht="12.75">
      <c r="B981" s="57"/>
    </row>
    <row r="982" spans="2:2" ht="12.75">
      <c r="B982" s="57"/>
    </row>
    <row r="983" spans="2:2" ht="12.75">
      <c r="B983" s="57"/>
    </row>
    <row r="984" spans="2:2" ht="12.75">
      <c r="B984" s="57"/>
    </row>
    <row r="985" spans="2:2" ht="12.75">
      <c r="B985" s="57"/>
    </row>
    <row r="986" spans="2:2" ht="12.75">
      <c r="B986" s="57"/>
    </row>
    <row r="987" spans="2:2" ht="12.75">
      <c r="B987" s="57"/>
    </row>
    <row r="988" spans="2:2" ht="12.75">
      <c r="B988" s="57"/>
    </row>
    <row r="989" spans="2:2" ht="12.75">
      <c r="B989" s="57"/>
    </row>
    <row r="990" spans="2:2" ht="12.75">
      <c r="B990" s="57"/>
    </row>
    <row r="991" spans="2:2" ht="12.75">
      <c r="B991" s="57"/>
    </row>
    <row r="992" spans="2:2" ht="12.75">
      <c r="B992" s="57"/>
    </row>
    <row r="993" spans="2:2" ht="12.75">
      <c r="B993" s="57"/>
    </row>
    <row r="994" spans="2:2" ht="12.75">
      <c r="B994" s="57"/>
    </row>
    <row r="995" spans="2:2" ht="12.75">
      <c r="B995" s="57"/>
    </row>
    <row r="996" spans="2:2" ht="12.75">
      <c r="B996" s="57"/>
    </row>
    <row r="997" spans="2:2" ht="12.75">
      <c r="B997" s="57"/>
    </row>
    <row r="998" spans="2:2" ht="12.75">
      <c r="B998" s="57"/>
    </row>
    <row r="999" spans="2:2" ht="12.75">
      <c r="B999" s="57"/>
    </row>
    <row r="1000" spans="2:2" ht="12.75">
      <c r="B1000" s="57"/>
    </row>
  </sheetData>
  <mergeCells count="64">
    <mergeCell ref="AX6:AY6"/>
    <mergeCell ref="AZ6:BA6"/>
    <mergeCell ref="BB6:BC6"/>
    <mergeCell ref="BD6:BE6"/>
    <mergeCell ref="BF6:BG6"/>
    <mergeCell ref="BH6:BI6"/>
    <mergeCell ref="BJ6:BK6"/>
    <mergeCell ref="BZ6:CA6"/>
    <mergeCell ref="CB6:CC6"/>
    <mergeCell ref="CD6:CE6"/>
    <mergeCell ref="CF6:CG6"/>
    <mergeCell ref="CH6:CI6"/>
    <mergeCell ref="BL6:BM6"/>
    <mergeCell ref="BN6:BO6"/>
    <mergeCell ref="BP6:BQ6"/>
    <mergeCell ref="BR6:BS6"/>
    <mergeCell ref="BT6:BU6"/>
    <mergeCell ref="BV6:BW6"/>
    <mergeCell ref="BX6:BY6"/>
    <mergeCell ref="C106:E106"/>
    <mergeCell ref="C118:E118"/>
    <mergeCell ref="C126:E126"/>
    <mergeCell ref="C144:E144"/>
    <mergeCell ref="C36:E36"/>
    <mergeCell ref="C50:E50"/>
    <mergeCell ref="B51:E51"/>
    <mergeCell ref="C64:E64"/>
    <mergeCell ref="C70:E70"/>
    <mergeCell ref="C82:E82"/>
    <mergeCell ref="C94:E94"/>
    <mergeCell ref="F5:Y5"/>
    <mergeCell ref="C6:E6"/>
    <mergeCell ref="V6:W6"/>
    <mergeCell ref="X6:Y6"/>
    <mergeCell ref="J6:K6"/>
    <mergeCell ref="L6:M6"/>
    <mergeCell ref="N6:O6"/>
    <mergeCell ref="P6:Q6"/>
    <mergeCell ref="R6:S6"/>
    <mergeCell ref="A1:B1"/>
    <mergeCell ref="C1:E1"/>
    <mergeCell ref="A2:B2"/>
    <mergeCell ref="A4:E4"/>
    <mergeCell ref="A5:E5"/>
    <mergeCell ref="AV6:AW6"/>
    <mergeCell ref="F6:G6"/>
    <mergeCell ref="H6:I6"/>
    <mergeCell ref="C8:E8"/>
    <mergeCell ref="AJ6:AK6"/>
    <mergeCell ref="AL6:AM6"/>
    <mergeCell ref="AN6:AO6"/>
    <mergeCell ref="AP6:AQ6"/>
    <mergeCell ref="AR6:AS6"/>
    <mergeCell ref="Z6:AA6"/>
    <mergeCell ref="AB6:AC6"/>
    <mergeCell ref="AD6:AE6"/>
    <mergeCell ref="AF6:AG6"/>
    <mergeCell ref="AH6:AI6"/>
    <mergeCell ref="T6:U6"/>
    <mergeCell ref="B9:E9"/>
    <mergeCell ref="C22:E22"/>
    <mergeCell ref="B23:E23"/>
    <mergeCell ref="B37:E37"/>
    <mergeCell ref="AT6:AU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T90"/>
  <sheetViews>
    <sheetView zoomScale="85" zoomScaleNormal="85" workbookViewId="0">
      <pane xSplit="5" ySplit="7" topLeftCell="AK8" activePane="bottomRight" state="frozen"/>
      <selection pane="topRight" activeCell="F1" sqref="F1"/>
      <selection pane="bottomLeft" activeCell="A8" sqref="A8"/>
      <selection pane="bottomRight" activeCell="AR6" sqref="AR6"/>
    </sheetView>
  </sheetViews>
  <sheetFormatPr defaultColWidth="12.5703125" defaultRowHeight="15.75" customHeight="1"/>
  <cols>
    <col min="1" max="1" width="24.28515625" customWidth="1"/>
    <col min="2" max="2" width="47.28515625" customWidth="1"/>
    <col min="3" max="5" width="6.42578125" customWidth="1"/>
    <col min="6" max="7" width="15.140625" customWidth="1"/>
    <col min="8" max="8" width="15.140625" hidden="1" customWidth="1"/>
    <col min="9" max="9" width="15.140625" customWidth="1"/>
    <col min="10" max="10" width="15.140625" hidden="1" customWidth="1"/>
    <col min="11" max="11" width="15.140625" customWidth="1"/>
    <col min="12" max="13" width="15.140625" hidden="1" customWidth="1"/>
    <col min="14" max="46" width="15.140625" customWidth="1"/>
  </cols>
  <sheetData>
    <row r="1" spans="1:46" ht="30">
      <c r="A1" s="148" t="s">
        <v>0</v>
      </c>
      <c r="B1" s="128"/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</row>
    <row r="2" spans="1:46" ht="31.5">
      <c r="A2" s="150" t="s">
        <v>324</v>
      </c>
      <c r="B2" s="130"/>
      <c r="C2" s="4"/>
      <c r="D2" s="4"/>
      <c r="E2" s="4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spans="1:46" ht="18">
      <c r="A3" s="60" t="s">
        <v>2</v>
      </c>
      <c r="B3" s="4"/>
      <c r="C3" s="67"/>
      <c r="D3" s="4"/>
      <c r="E3" s="4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spans="1:46" ht="18">
      <c r="A4" s="60" t="s">
        <v>3</v>
      </c>
      <c r="B4" s="4"/>
      <c r="C4" s="67"/>
      <c r="D4" s="4"/>
      <c r="E4" s="4"/>
      <c r="F4" s="3"/>
      <c r="G4" s="3"/>
      <c r="H4" s="3"/>
      <c r="I4" s="4"/>
      <c r="J4" s="3"/>
      <c r="K4" s="3" t="s">
        <v>5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</row>
    <row r="5" spans="1:46" ht="18.75">
      <c r="A5" s="4"/>
      <c r="B5" s="4"/>
      <c r="C5" s="67"/>
      <c r="D5" s="4"/>
      <c r="E5" s="4"/>
      <c r="F5" s="131" t="s">
        <v>6</v>
      </c>
      <c r="G5" s="128"/>
      <c r="H5" s="128"/>
      <c r="I5" s="128"/>
      <c r="J5" s="128"/>
      <c r="K5" s="128"/>
      <c r="L5" s="128"/>
      <c r="M5" s="128"/>
      <c r="N5" s="128"/>
      <c r="O5" s="128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</row>
    <row r="6" spans="1:46" ht="51.75" customHeight="1">
      <c r="A6" s="61"/>
      <c r="B6" s="61"/>
      <c r="C6" s="155" t="s">
        <v>7</v>
      </c>
      <c r="D6" s="133"/>
      <c r="E6" s="134"/>
      <c r="F6" s="68" t="s">
        <v>8</v>
      </c>
      <c r="G6" s="68" t="s">
        <v>9</v>
      </c>
      <c r="H6" s="68" t="s">
        <v>10</v>
      </c>
      <c r="I6" s="68" t="s">
        <v>11</v>
      </c>
      <c r="J6" s="68" t="s">
        <v>12</v>
      </c>
      <c r="K6" s="68" t="s">
        <v>13</v>
      </c>
      <c r="L6" s="68" t="s">
        <v>14</v>
      </c>
      <c r="M6" s="68" t="s">
        <v>15</v>
      </c>
      <c r="N6" s="69" t="s">
        <v>16</v>
      </c>
      <c r="O6" s="69" t="s">
        <v>17</v>
      </c>
      <c r="P6" s="70" t="s">
        <v>18</v>
      </c>
      <c r="Q6" s="70" t="s">
        <v>19</v>
      </c>
      <c r="R6" s="70" t="s">
        <v>20</v>
      </c>
      <c r="S6" s="70" t="s">
        <v>21</v>
      </c>
      <c r="T6" s="70" t="s">
        <v>22</v>
      </c>
      <c r="U6" s="70" t="s">
        <v>23</v>
      </c>
      <c r="V6" s="70" t="s">
        <v>24</v>
      </c>
      <c r="W6" s="70" t="s">
        <v>25</v>
      </c>
      <c r="X6" s="70" t="s">
        <v>26</v>
      </c>
      <c r="Y6" s="70" t="s">
        <v>27</v>
      </c>
      <c r="Z6" s="70" t="s">
        <v>28</v>
      </c>
      <c r="AA6" s="70" t="s">
        <v>29</v>
      </c>
      <c r="AB6" s="70" t="s">
        <v>30</v>
      </c>
      <c r="AC6" s="70" t="s">
        <v>31</v>
      </c>
      <c r="AD6" s="70" t="s">
        <v>32</v>
      </c>
      <c r="AE6" s="70" t="s">
        <v>33</v>
      </c>
      <c r="AF6" s="70" t="s">
        <v>34</v>
      </c>
      <c r="AG6" s="70" t="s">
        <v>35</v>
      </c>
      <c r="AH6" s="70" t="s">
        <v>36</v>
      </c>
      <c r="AI6" s="70" t="s">
        <v>37</v>
      </c>
      <c r="AJ6" s="70" t="s">
        <v>38</v>
      </c>
      <c r="AK6" s="70" t="s">
        <v>39</v>
      </c>
      <c r="AL6" s="70" t="s">
        <v>40</v>
      </c>
      <c r="AM6" s="70" t="s">
        <v>41</v>
      </c>
      <c r="AN6" s="70" t="s">
        <v>42</v>
      </c>
      <c r="AO6" s="70" t="s">
        <v>43</v>
      </c>
      <c r="AP6" s="70" t="s">
        <v>44</v>
      </c>
      <c r="AQ6" s="70" t="s">
        <v>45</v>
      </c>
      <c r="AR6" s="70" t="s">
        <v>46</v>
      </c>
      <c r="AS6" s="70" t="s">
        <v>47</v>
      </c>
      <c r="AT6" s="70" t="s">
        <v>48</v>
      </c>
    </row>
    <row r="7" spans="1:46">
      <c r="A7" s="14" t="s">
        <v>325</v>
      </c>
      <c r="B7" s="14" t="s">
        <v>49</v>
      </c>
      <c r="C7" s="14" t="s">
        <v>50</v>
      </c>
      <c r="D7" s="14" t="s">
        <v>51</v>
      </c>
      <c r="E7" s="14" t="s">
        <v>52</v>
      </c>
      <c r="F7" s="71"/>
      <c r="G7" s="71"/>
      <c r="H7" s="71"/>
      <c r="I7" s="71"/>
      <c r="J7" s="71"/>
      <c r="K7" s="71"/>
      <c r="L7" s="71"/>
      <c r="M7" s="71"/>
      <c r="N7" s="71"/>
      <c r="O7" s="71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  <c r="AA7" s="72"/>
      <c r="AB7" s="72"/>
      <c r="AC7" s="72"/>
      <c r="AD7" s="72"/>
      <c r="AE7" s="72"/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2"/>
      <c r="AQ7" s="72"/>
      <c r="AR7" s="72"/>
      <c r="AS7" s="72"/>
      <c r="AT7" s="72"/>
    </row>
    <row r="8" spans="1:46" ht="75" customHeight="1">
      <c r="A8" s="16" t="e">
        <f ca="1">_xludf.image("https://lh3.google.com/u/0/d/1Poqrww6CaBi9ZVKG3uI322Skg4NK9bpa",1)</f>
        <v>#NAME?</v>
      </c>
      <c r="B8" s="17" t="s">
        <v>326</v>
      </c>
      <c r="C8" s="153"/>
      <c r="D8" s="145"/>
      <c r="E8" s="146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63"/>
      <c r="AK8" s="63"/>
      <c r="AL8" s="63"/>
      <c r="AM8" s="63"/>
      <c r="AN8" s="63"/>
      <c r="AO8" s="63"/>
      <c r="AP8" s="63"/>
      <c r="AQ8" s="63"/>
      <c r="AR8" s="63"/>
      <c r="AS8" s="63"/>
      <c r="AT8" s="63"/>
    </row>
    <row r="9" spans="1:46" ht="12.75">
      <c r="A9" s="20"/>
      <c r="B9" s="21" t="s">
        <v>327</v>
      </c>
      <c r="C9" s="73"/>
      <c r="D9" s="73"/>
      <c r="E9" s="74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</row>
    <row r="10" spans="1:46">
      <c r="A10" s="24"/>
      <c r="B10" s="25" t="s">
        <v>328</v>
      </c>
      <c r="C10" s="75">
        <v>600</v>
      </c>
      <c r="D10" s="75">
        <v>2400</v>
      </c>
      <c r="E10" s="75">
        <v>450</v>
      </c>
      <c r="F10" s="27">
        <v>14349000</v>
      </c>
      <c r="G10" s="27">
        <v>12074000</v>
      </c>
      <c r="H10" s="29"/>
      <c r="I10" s="27">
        <v>14558000</v>
      </c>
      <c r="J10" s="29"/>
      <c r="K10" s="27">
        <v>11285000</v>
      </c>
      <c r="L10" s="29"/>
      <c r="M10" s="29"/>
      <c r="N10" s="27">
        <v>9887000</v>
      </c>
      <c r="O10" s="27">
        <v>9467000</v>
      </c>
      <c r="P10" s="27">
        <v>10380000</v>
      </c>
      <c r="Q10" s="27">
        <v>10578000</v>
      </c>
      <c r="R10" s="27">
        <v>10638000</v>
      </c>
      <c r="S10" s="27">
        <v>11000000</v>
      </c>
      <c r="T10" s="27">
        <v>11000000</v>
      </c>
      <c r="U10" s="27">
        <v>10570000</v>
      </c>
      <c r="V10" s="27">
        <v>11284000</v>
      </c>
      <c r="W10" s="27">
        <v>9902000</v>
      </c>
      <c r="X10" s="27">
        <v>11020000</v>
      </c>
      <c r="Y10" s="27">
        <v>11308000</v>
      </c>
      <c r="Z10" s="27">
        <v>11020000</v>
      </c>
      <c r="AA10" s="27">
        <v>11120000</v>
      </c>
      <c r="AB10" s="27">
        <v>11047000</v>
      </c>
      <c r="AC10" s="27">
        <v>11211000</v>
      </c>
      <c r="AD10" s="27">
        <v>10184000</v>
      </c>
      <c r="AE10" s="27">
        <v>10184000</v>
      </c>
      <c r="AF10" s="27">
        <v>10184000</v>
      </c>
      <c r="AG10" s="27">
        <v>10184000</v>
      </c>
      <c r="AH10" s="27">
        <v>10164000</v>
      </c>
      <c r="AI10" s="27">
        <v>10288000</v>
      </c>
      <c r="AJ10" s="27">
        <v>10288000</v>
      </c>
      <c r="AK10" s="27">
        <v>10262000</v>
      </c>
      <c r="AL10" s="27">
        <v>10184000</v>
      </c>
      <c r="AM10" s="27">
        <v>10158000</v>
      </c>
      <c r="AN10" s="27">
        <v>10158000</v>
      </c>
      <c r="AO10" s="27">
        <v>10158000</v>
      </c>
      <c r="AP10" s="27">
        <v>10040000</v>
      </c>
      <c r="AQ10" s="27">
        <v>9914000</v>
      </c>
      <c r="AR10" s="27">
        <v>9914000</v>
      </c>
      <c r="AS10" s="27">
        <v>10040000</v>
      </c>
      <c r="AT10" s="27">
        <v>10811000</v>
      </c>
    </row>
    <row r="11" spans="1:46">
      <c r="A11" s="24"/>
      <c r="B11" s="25" t="s">
        <v>329</v>
      </c>
      <c r="C11" s="75">
        <v>600</v>
      </c>
      <c r="D11" s="75">
        <v>2700</v>
      </c>
      <c r="E11" s="75">
        <v>450</v>
      </c>
      <c r="F11" s="27">
        <v>16548000</v>
      </c>
      <c r="G11" s="27">
        <v>13492000</v>
      </c>
      <c r="H11" s="29"/>
      <c r="I11" s="27">
        <v>16287000</v>
      </c>
      <c r="J11" s="29"/>
      <c r="K11" s="27">
        <v>12547000</v>
      </c>
      <c r="L11" s="29"/>
      <c r="M11" s="29"/>
      <c r="N11" s="27">
        <v>11028000</v>
      </c>
      <c r="O11" s="27">
        <v>10556000</v>
      </c>
      <c r="P11" s="27">
        <v>11580000</v>
      </c>
      <c r="Q11" s="27">
        <v>11800000</v>
      </c>
      <c r="R11" s="27">
        <v>11866000</v>
      </c>
      <c r="S11" s="27">
        <v>12270000</v>
      </c>
      <c r="T11" s="27">
        <v>12270000</v>
      </c>
      <c r="U11" s="27">
        <v>11792000</v>
      </c>
      <c r="V11" s="27">
        <v>12595000</v>
      </c>
      <c r="W11" s="27">
        <v>11042000</v>
      </c>
      <c r="X11" s="27">
        <v>12298000</v>
      </c>
      <c r="Y11" s="27">
        <v>12621000</v>
      </c>
      <c r="Z11" s="27">
        <v>12298000</v>
      </c>
      <c r="AA11" s="27">
        <v>12410000</v>
      </c>
      <c r="AB11" s="27">
        <v>12328000</v>
      </c>
      <c r="AC11" s="27">
        <v>12513000</v>
      </c>
      <c r="AD11" s="27">
        <v>11362000</v>
      </c>
      <c r="AE11" s="27">
        <v>11362000</v>
      </c>
      <c r="AF11" s="27">
        <v>11362000</v>
      </c>
      <c r="AG11" s="27">
        <v>11362000</v>
      </c>
      <c r="AH11" s="27">
        <v>11340000</v>
      </c>
      <c r="AI11" s="27">
        <v>11480000</v>
      </c>
      <c r="AJ11" s="27">
        <v>11480000</v>
      </c>
      <c r="AK11" s="27">
        <v>11450000</v>
      </c>
      <c r="AL11" s="27">
        <v>11362000</v>
      </c>
      <c r="AM11" s="27">
        <v>11333000</v>
      </c>
      <c r="AN11" s="27">
        <v>11333000</v>
      </c>
      <c r="AO11" s="27">
        <v>11333000</v>
      </c>
      <c r="AP11" s="27"/>
      <c r="AQ11" s="27"/>
      <c r="AR11" s="27"/>
      <c r="AS11" s="27"/>
      <c r="AT11" s="27"/>
    </row>
    <row r="12" spans="1:46" ht="75" customHeight="1">
      <c r="A12" s="16" t="e">
        <f ca="1">_xludf.image("https://lh3.google.com/u/0/d/103pPxfDfu9_yF-6be0AbLHwbMoKa6WG4",1)</f>
        <v>#NAME?</v>
      </c>
      <c r="B12" s="17" t="s">
        <v>330</v>
      </c>
      <c r="C12" s="153"/>
      <c r="D12" s="145"/>
      <c r="E12" s="146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63"/>
      <c r="AS12" s="63"/>
      <c r="AT12" s="63"/>
    </row>
    <row r="13" spans="1:46" ht="12.75">
      <c r="A13" s="20"/>
      <c r="B13" s="21" t="s">
        <v>331</v>
      </c>
      <c r="C13" s="73"/>
      <c r="D13" s="73"/>
      <c r="E13" s="74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</row>
    <row r="14" spans="1:46">
      <c r="A14" s="24"/>
      <c r="B14" s="25" t="s">
        <v>332</v>
      </c>
      <c r="C14" s="75">
        <v>600</v>
      </c>
      <c r="D14" s="75">
        <v>2400</v>
      </c>
      <c r="E14" s="75">
        <v>600</v>
      </c>
      <c r="F14" s="27">
        <v>18406000</v>
      </c>
      <c r="G14" s="27">
        <v>15372000</v>
      </c>
      <c r="H14" s="29"/>
      <c r="I14" s="27">
        <v>18684000</v>
      </c>
      <c r="J14" s="29"/>
      <c r="K14" s="27">
        <v>13815000</v>
      </c>
      <c r="L14" s="29"/>
      <c r="M14" s="29"/>
      <c r="N14" s="27">
        <v>12433000</v>
      </c>
      <c r="O14" s="27">
        <v>11874000</v>
      </c>
      <c r="P14" s="27">
        <v>13064000</v>
      </c>
      <c r="Q14" s="27">
        <v>13315000</v>
      </c>
      <c r="R14" s="27">
        <v>13377000</v>
      </c>
      <c r="S14" s="27">
        <v>13844000</v>
      </c>
      <c r="T14" s="27">
        <v>13844000</v>
      </c>
      <c r="U14" s="27">
        <v>13313000</v>
      </c>
      <c r="V14" s="27">
        <v>14260000</v>
      </c>
      <c r="W14" s="27">
        <v>12427000</v>
      </c>
      <c r="X14" s="27">
        <v>13902000</v>
      </c>
      <c r="Y14" s="27">
        <v>14286000</v>
      </c>
      <c r="Z14" s="27">
        <v>13902000</v>
      </c>
      <c r="AA14" s="27">
        <v>14040000</v>
      </c>
      <c r="AB14" s="27">
        <v>13943000</v>
      </c>
      <c r="AC14" s="27">
        <v>14162000</v>
      </c>
      <c r="AD14" s="27">
        <v>12827000</v>
      </c>
      <c r="AE14" s="27">
        <v>12827000</v>
      </c>
      <c r="AF14" s="27">
        <v>12827000</v>
      </c>
      <c r="AG14" s="27">
        <v>12827000</v>
      </c>
      <c r="AH14" s="27">
        <v>12801000</v>
      </c>
      <c r="AI14" s="27">
        <v>12966000</v>
      </c>
      <c r="AJ14" s="27">
        <v>12966000</v>
      </c>
      <c r="AK14" s="27">
        <v>12931000</v>
      </c>
      <c r="AL14" s="27">
        <v>12827000</v>
      </c>
      <c r="AM14" s="27">
        <v>12792000</v>
      </c>
      <c r="AN14" s="27">
        <v>12792000</v>
      </c>
      <c r="AO14" s="27">
        <v>12792000</v>
      </c>
      <c r="AP14" s="27">
        <v>12572000</v>
      </c>
      <c r="AQ14" s="27">
        <v>12405000</v>
      </c>
      <c r="AR14" s="27">
        <v>12405000</v>
      </c>
      <c r="AS14" s="27">
        <v>12572000</v>
      </c>
      <c r="AT14" s="27">
        <v>13617000</v>
      </c>
    </row>
    <row r="15" spans="1:46">
      <c r="A15" s="24"/>
      <c r="B15" s="25" t="s">
        <v>333</v>
      </c>
      <c r="C15" s="75">
        <v>600</v>
      </c>
      <c r="D15" s="75">
        <v>2700</v>
      </c>
      <c r="E15" s="75">
        <v>600</v>
      </c>
      <c r="F15" s="27">
        <v>21192000</v>
      </c>
      <c r="G15" s="27">
        <v>17118000</v>
      </c>
      <c r="H15" s="29"/>
      <c r="I15" s="27">
        <v>20844000</v>
      </c>
      <c r="J15" s="29"/>
      <c r="K15" s="27">
        <v>15325000</v>
      </c>
      <c r="L15" s="29"/>
      <c r="M15" s="29"/>
      <c r="N15" s="27">
        <v>13808000</v>
      </c>
      <c r="O15" s="27">
        <v>13178000</v>
      </c>
      <c r="P15" s="27">
        <v>14512000</v>
      </c>
      <c r="Q15" s="27">
        <v>14792000</v>
      </c>
      <c r="R15" s="27">
        <v>14859000</v>
      </c>
      <c r="S15" s="27">
        <v>15380000</v>
      </c>
      <c r="T15" s="27">
        <v>15380000</v>
      </c>
      <c r="U15" s="27">
        <v>14791000</v>
      </c>
      <c r="V15" s="27">
        <v>15856000</v>
      </c>
      <c r="W15" s="27">
        <v>13796000</v>
      </c>
      <c r="X15" s="27">
        <v>15453000</v>
      </c>
      <c r="Y15" s="27">
        <v>15884000</v>
      </c>
      <c r="Z15" s="27">
        <v>15453000</v>
      </c>
      <c r="AA15" s="27">
        <v>15608000</v>
      </c>
      <c r="AB15" s="27">
        <v>15499000</v>
      </c>
      <c r="AC15" s="27">
        <v>15746000</v>
      </c>
      <c r="AD15" s="27">
        <v>14250000</v>
      </c>
      <c r="AE15" s="27">
        <v>14250000</v>
      </c>
      <c r="AF15" s="27">
        <v>14250000</v>
      </c>
      <c r="AG15" s="27">
        <v>14250000</v>
      </c>
      <c r="AH15" s="27">
        <v>14221000</v>
      </c>
      <c r="AI15" s="27">
        <v>14407000</v>
      </c>
      <c r="AJ15" s="27">
        <v>14407000</v>
      </c>
      <c r="AK15" s="27">
        <v>14368000</v>
      </c>
      <c r="AL15" s="27">
        <v>14250000</v>
      </c>
      <c r="AM15" s="27">
        <v>14211000</v>
      </c>
      <c r="AN15" s="27">
        <v>14211000</v>
      </c>
      <c r="AO15" s="27">
        <v>14211000</v>
      </c>
      <c r="AP15" s="27"/>
      <c r="AQ15" s="27"/>
      <c r="AR15" s="27"/>
      <c r="AS15" s="27"/>
      <c r="AT15" s="27"/>
    </row>
    <row r="16" spans="1:46" ht="75" customHeight="1">
      <c r="A16" s="16" t="e">
        <f ca="1">_xludf.image("https://lh3.google.com/u/0/d/1A5LvqnFUhBZjOqlIJS9t-uO0UIPwOEkA",1)</f>
        <v>#NAME?</v>
      </c>
      <c r="B16" s="17" t="s">
        <v>334</v>
      </c>
      <c r="C16" s="153"/>
      <c r="D16" s="145"/>
      <c r="E16" s="146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63"/>
      <c r="AS16" s="63"/>
      <c r="AT16" s="63"/>
    </row>
    <row r="17" spans="1:46" ht="12.75">
      <c r="A17" s="20"/>
      <c r="B17" s="21" t="s">
        <v>335</v>
      </c>
      <c r="C17" s="73"/>
      <c r="D17" s="73"/>
      <c r="E17" s="74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</row>
    <row r="18" spans="1:46">
      <c r="A18" s="43"/>
      <c r="B18" s="25" t="s">
        <v>336</v>
      </c>
      <c r="C18" s="75">
        <v>600</v>
      </c>
      <c r="D18" s="75">
        <v>2400</v>
      </c>
      <c r="E18" s="75">
        <v>600</v>
      </c>
      <c r="F18" s="42">
        <v>16689000</v>
      </c>
      <c r="G18" s="42">
        <v>14363000</v>
      </c>
      <c r="H18" s="29"/>
      <c r="I18" s="42">
        <v>16902000</v>
      </c>
      <c r="J18" s="29"/>
      <c r="K18" s="27">
        <v>14091000</v>
      </c>
      <c r="L18" s="29"/>
      <c r="M18" s="29"/>
      <c r="N18" s="27">
        <v>12133000</v>
      </c>
      <c r="O18" s="27">
        <v>11704000</v>
      </c>
      <c r="P18" s="27">
        <v>12646000</v>
      </c>
      <c r="Q18" s="27">
        <v>12851000</v>
      </c>
      <c r="R18" s="27">
        <v>12918000</v>
      </c>
      <c r="S18" s="27">
        <v>13292000</v>
      </c>
      <c r="T18" s="27">
        <v>13292000</v>
      </c>
      <c r="U18" s="27">
        <v>12840000</v>
      </c>
      <c r="V18" s="27">
        <v>13572000</v>
      </c>
      <c r="W18" s="27">
        <v>12156000</v>
      </c>
      <c r="X18" s="27">
        <v>13304000</v>
      </c>
      <c r="Y18" s="27">
        <v>13598000</v>
      </c>
      <c r="Z18" s="27">
        <v>13304000</v>
      </c>
      <c r="AA18" s="27">
        <v>13404000</v>
      </c>
      <c r="AB18" s="27">
        <v>13330000</v>
      </c>
      <c r="AC18" s="27">
        <v>13498000</v>
      </c>
      <c r="AD18" s="27">
        <v>12437000</v>
      </c>
      <c r="AE18" s="27">
        <v>12437000</v>
      </c>
      <c r="AF18" s="27">
        <v>12437000</v>
      </c>
      <c r="AG18" s="27">
        <v>12437000</v>
      </c>
      <c r="AH18" s="27">
        <v>12417000</v>
      </c>
      <c r="AI18" s="27">
        <v>12544000</v>
      </c>
      <c r="AJ18" s="27">
        <v>12544000</v>
      </c>
      <c r="AK18" s="27">
        <v>12517000</v>
      </c>
      <c r="AL18" s="27">
        <v>12437000</v>
      </c>
      <c r="AM18" s="27">
        <v>12411000</v>
      </c>
      <c r="AN18" s="27">
        <v>12411000</v>
      </c>
      <c r="AO18" s="27">
        <v>12411000</v>
      </c>
      <c r="AP18" s="27">
        <v>12308000</v>
      </c>
      <c r="AQ18" s="27">
        <v>12180000</v>
      </c>
      <c r="AR18" s="27">
        <v>12180000</v>
      </c>
      <c r="AS18" s="27">
        <v>12308000</v>
      </c>
      <c r="AT18" s="27">
        <v>13092000</v>
      </c>
    </row>
    <row r="19" spans="1:46">
      <c r="A19" s="43"/>
      <c r="B19" s="25" t="s">
        <v>337</v>
      </c>
      <c r="C19" s="75">
        <v>600</v>
      </c>
      <c r="D19" s="75">
        <v>2700</v>
      </c>
      <c r="E19" s="75">
        <v>600</v>
      </c>
      <c r="F19" s="42">
        <v>19113000</v>
      </c>
      <c r="G19" s="42">
        <v>16109000</v>
      </c>
      <c r="H19" s="29"/>
      <c r="I19" s="42">
        <v>19062000</v>
      </c>
      <c r="J19" s="29"/>
      <c r="K19" s="27">
        <v>15601000</v>
      </c>
      <c r="L19" s="29"/>
      <c r="M19" s="29"/>
      <c r="N19" s="27">
        <v>13508000</v>
      </c>
      <c r="O19" s="27">
        <v>13009000</v>
      </c>
      <c r="P19" s="27">
        <v>14094000</v>
      </c>
      <c r="Q19" s="27">
        <v>14328000</v>
      </c>
      <c r="R19" s="27">
        <v>14400000</v>
      </c>
      <c r="S19" s="27">
        <v>14829000</v>
      </c>
      <c r="T19" s="27">
        <v>14829000</v>
      </c>
      <c r="U19" s="27">
        <v>14319000</v>
      </c>
      <c r="V19" s="27">
        <v>15168000</v>
      </c>
      <c r="W19" s="27">
        <v>13525000</v>
      </c>
      <c r="X19" s="27">
        <v>14854000</v>
      </c>
      <c r="Y19" s="27">
        <v>15196000</v>
      </c>
      <c r="Z19" s="27">
        <v>14854000</v>
      </c>
      <c r="AA19" s="27">
        <v>14973000</v>
      </c>
      <c r="AB19" s="27">
        <v>14886000</v>
      </c>
      <c r="AC19" s="27">
        <v>15081000</v>
      </c>
      <c r="AD19" s="27">
        <v>13861000</v>
      </c>
      <c r="AE19" s="27">
        <v>13861000</v>
      </c>
      <c r="AF19" s="27">
        <v>13861000</v>
      </c>
      <c r="AG19" s="27">
        <v>13861000</v>
      </c>
      <c r="AH19" s="27">
        <v>13837000</v>
      </c>
      <c r="AI19" s="27">
        <v>13985000</v>
      </c>
      <c r="AJ19" s="27">
        <v>13985000</v>
      </c>
      <c r="AK19" s="27">
        <v>13954000</v>
      </c>
      <c r="AL19" s="27">
        <v>13861000</v>
      </c>
      <c r="AM19" s="27">
        <v>13830000</v>
      </c>
      <c r="AN19" s="27">
        <v>13830000</v>
      </c>
      <c r="AO19" s="27">
        <v>13830000</v>
      </c>
      <c r="AP19" s="27"/>
      <c r="AQ19" s="27"/>
      <c r="AR19" s="27"/>
      <c r="AS19" s="27"/>
      <c r="AT19" s="27"/>
    </row>
    <row r="20" spans="1:46" ht="75" customHeight="1">
      <c r="A20" s="16" t="e">
        <f ca="1">_xludf.image("https://lh3.google.com/u/0/d/12FMOt7-yNNfBlKvX8jyDhkVRotDPb6W2",1)</f>
        <v>#NAME?</v>
      </c>
      <c r="B20" s="17" t="s">
        <v>338</v>
      </c>
      <c r="C20" s="153"/>
      <c r="D20" s="145"/>
      <c r="E20" s="146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63"/>
      <c r="AK20" s="63"/>
      <c r="AL20" s="63"/>
      <c r="AM20" s="63"/>
      <c r="AN20" s="63"/>
      <c r="AO20" s="63"/>
      <c r="AP20" s="63"/>
      <c r="AQ20" s="63"/>
      <c r="AR20" s="63"/>
      <c r="AS20" s="63"/>
      <c r="AT20" s="63"/>
    </row>
    <row r="21" spans="1:46" ht="25.5">
      <c r="A21" s="20"/>
      <c r="B21" s="21" t="s">
        <v>339</v>
      </c>
      <c r="C21" s="73"/>
      <c r="D21" s="73"/>
      <c r="E21" s="74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</row>
    <row r="22" spans="1:46">
      <c r="A22" s="43"/>
      <c r="B22" s="25" t="s">
        <v>340</v>
      </c>
      <c r="C22" s="75">
        <v>600</v>
      </c>
      <c r="D22" s="75">
        <v>2400</v>
      </c>
      <c r="E22" s="75">
        <v>150</v>
      </c>
      <c r="F22" s="42">
        <v>6074000</v>
      </c>
      <c r="G22" s="42">
        <v>5315000</v>
      </c>
      <c r="H22" s="29"/>
      <c r="I22" s="42">
        <v>6143000</v>
      </c>
      <c r="J22" s="29"/>
      <c r="K22" s="29"/>
      <c r="L22" s="29"/>
      <c r="M22" s="29"/>
      <c r="N22" s="27">
        <v>4630000</v>
      </c>
      <c r="O22" s="27">
        <v>4490000</v>
      </c>
      <c r="P22" s="27">
        <v>4850000</v>
      </c>
      <c r="Q22" s="27">
        <v>4940000</v>
      </c>
      <c r="R22" s="27">
        <v>4997000</v>
      </c>
      <c r="S22" s="27">
        <v>5150000</v>
      </c>
      <c r="T22" s="27">
        <v>5150000</v>
      </c>
      <c r="U22" s="27">
        <v>4921000</v>
      </c>
      <c r="V22" s="27">
        <v>5168000</v>
      </c>
      <c r="W22" s="27">
        <v>4688000</v>
      </c>
      <c r="X22" s="27">
        <v>5093000</v>
      </c>
      <c r="Y22" s="27">
        <v>5188000</v>
      </c>
      <c r="Z22" s="27">
        <v>5093000</v>
      </c>
      <c r="AA22" s="27">
        <v>5116000</v>
      </c>
      <c r="AB22" s="27">
        <v>5092000</v>
      </c>
      <c r="AC22" s="27">
        <v>5146000</v>
      </c>
      <c r="AD22" s="27">
        <v>4733000</v>
      </c>
      <c r="AE22" s="27">
        <v>4733000</v>
      </c>
      <c r="AF22" s="27">
        <v>4733000</v>
      </c>
      <c r="AG22" s="27">
        <v>4733000</v>
      </c>
      <c r="AH22" s="27">
        <v>4727000</v>
      </c>
      <c r="AI22" s="27">
        <v>4768000</v>
      </c>
      <c r="AJ22" s="27">
        <v>4768000</v>
      </c>
      <c r="AK22" s="27">
        <v>4760000</v>
      </c>
      <c r="AL22" s="27">
        <v>4733000</v>
      </c>
      <c r="AM22" s="27">
        <v>4725000</v>
      </c>
      <c r="AN22" s="27">
        <v>4725000</v>
      </c>
      <c r="AO22" s="27">
        <v>4725000</v>
      </c>
      <c r="AP22" s="27">
        <v>4811000</v>
      </c>
      <c r="AQ22" s="27">
        <v>4769000</v>
      </c>
      <c r="AR22" s="27">
        <v>4769000</v>
      </c>
      <c r="AS22" s="27">
        <v>4811000</v>
      </c>
      <c r="AT22" s="27">
        <v>5035000</v>
      </c>
    </row>
    <row r="23" spans="1:46">
      <c r="A23" s="43"/>
      <c r="B23" s="25" t="s">
        <v>341</v>
      </c>
      <c r="C23" s="75">
        <v>600</v>
      </c>
      <c r="D23" s="75">
        <v>2700</v>
      </c>
      <c r="E23" s="75">
        <v>150</v>
      </c>
      <c r="F23" s="42">
        <v>7201000</v>
      </c>
      <c r="G23" s="76">
        <v>6183000</v>
      </c>
      <c r="H23" s="77"/>
      <c r="I23" s="76">
        <v>7114000</v>
      </c>
      <c r="J23" s="77"/>
      <c r="K23" s="77"/>
      <c r="L23" s="77"/>
      <c r="M23" s="77"/>
      <c r="N23" s="27">
        <v>5411000</v>
      </c>
      <c r="O23" s="27">
        <v>5254000</v>
      </c>
      <c r="P23" s="27">
        <v>5657000</v>
      </c>
      <c r="Q23" s="27">
        <v>5758000</v>
      </c>
      <c r="R23" s="27">
        <v>5821000</v>
      </c>
      <c r="S23" s="27">
        <v>5992000</v>
      </c>
      <c r="T23" s="27">
        <v>5992000</v>
      </c>
      <c r="U23" s="27">
        <v>5737000</v>
      </c>
      <c r="V23" s="27">
        <v>6015000</v>
      </c>
      <c r="W23" s="27">
        <v>5475000</v>
      </c>
      <c r="X23" s="27">
        <v>5929000</v>
      </c>
      <c r="Y23" s="27">
        <v>6037000</v>
      </c>
      <c r="Z23" s="27">
        <v>5929000</v>
      </c>
      <c r="AA23" s="27">
        <v>5955000</v>
      </c>
      <c r="AB23" s="27">
        <v>5928000</v>
      </c>
      <c r="AC23" s="27">
        <v>5990000</v>
      </c>
      <c r="AD23" s="27">
        <v>5527000</v>
      </c>
      <c r="AE23" s="27">
        <v>5527000</v>
      </c>
      <c r="AF23" s="27">
        <v>5527000</v>
      </c>
      <c r="AG23" s="27">
        <v>5527000</v>
      </c>
      <c r="AH23" s="27">
        <v>5520000</v>
      </c>
      <c r="AI23" s="27">
        <v>5566000</v>
      </c>
      <c r="AJ23" s="27">
        <v>5566000</v>
      </c>
      <c r="AK23" s="27">
        <v>5556000</v>
      </c>
      <c r="AL23" s="27">
        <v>5527000</v>
      </c>
      <c r="AM23" s="27">
        <v>5517000</v>
      </c>
      <c r="AN23" s="27">
        <v>5517000</v>
      </c>
      <c r="AO23" s="27">
        <v>5517000</v>
      </c>
      <c r="AP23" s="27"/>
      <c r="AQ23" s="27"/>
      <c r="AR23" s="27"/>
      <c r="AS23" s="27"/>
      <c r="AT23" s="27"/>
    </row>
    <row r="24" spans="1:46">
      <c r="A24" s="43"/>
      <c r="B24" s="25" t="s">
        <v>342</v>
      </c>
      <c r="C24" s="75">
        <v>600</v>
      </c>
      <c r="D24" s="75">
        <v>2400</v>
      </c>
      <c r="E24" s="75">
        <v>450</v>
      </c>
      <c r="F24" s="42">
        <v>10204000</v>
      </c>
      <c r="G24" s="27">
        <v>7929000</v>
      </c>
      <c r="H24" s="29"/>
      <c r="I24" s="27">
        <v>10413000</v>
      </c>
      <c r="J24" s="29"/>
      <c r="K24" s="27">
        <v>7140000</v>
      </c>
      <c r="L24" s="29"/>
      <c r="M24" s="29"/>
      <c r="N24" s="27">
        <v>5742000</v>
      </c>
      <c r="O24" s="27">
        <v>5322000</v>
      </c>
      <c r="P24" s="27">
        <v>6235000</v>
      </c>
      <c r="Q24" s="27">
        <v>6433000</v>
      </c>
      <c r="R24" s="27">
        <v>6493000</v>
      </c>
      <c r="S24" s="27">
        <v>6855000</v>
      </c>
      <c r="T24" s="27">
        <v>6855000</v>
      </c>
      <c r="U24" s="27">
        <v>6425000</v>
      </c>
      <c r="V24" s="27">
        <v>7139000</v>
      </c>
      <c r="W24" s="27">
        <v>5757000</v>
      </c>
      <c r="X24" s="27">
        <v>6875000</v>
      </c>
      <c r="Y24" s="27">
        <v>7163000</v>
      </c>
      <c r="Z24" s="27">
        <v>6875000</v>
      </c>
      <c r="AA24" s="27">
        <v>6975000</v>
      </c>
      <c r="AB24" s="27">
        <v>6902000</v>
      </c>
      <c r="AC24" s="27">
        <v>7066000</v>
      </c>
      <c r="AD24" s="27">
        <v>6039000</v>
      </c>
      <c r="AE24" s="27">
        <v>6039000</v>
      </c>
      <c r="AF24" s="27">
        <v>6039000</v>
      </c>
      <c r="AG24" s="27">
        <v>6039000</v>
      </c>
      <c r="AH24" s="27">
        <v>6019000</v>
      </c>
      <c r="AI24" s="27">
        <v>6143000</v>
      </c>
      <c r="AJ24" s="27">
        <v>6143000</v>
      </c>
      <c r="AK24" s="27">
        <v>6117000</v>
      </c>
      <c r="AL24" s="27">
        <v>6039000</v>
      </c>
      <c r="AM24" s="27">
        <v>6013000</v>
      </c>
      <c r="AN24" s="27">
        <v>6013000</v>
      </c>
      <c r="AO24" s="27">
        <v>6013000</v>
      </c>
      <c r="AP24" s="27">
        <v>5895000</v>
      </c>
      <c r="AQ24" s="27">
        <v>5769000</v>
      </c>
      <c r="AR24" s="27">
        <v>5769000</v>
      </c>
      <c r="AS24" s="27">
        <v>5895000</v>
      </c>
      <c r="AT24" s="27">
        <v>6666000</v>
      </c>
    </row>
    <row r="25" spans="1:46">
      <c r="A25" s="43"/>
      <c r="B25" s="25" t="s">
        <v>343</v>
      </c>
      <c r="C25" s="75">
        <v>600</v>
      </c>
      <c r="D25" s="75">
        <v>2700</v>
      </c>
      <c r="E25" s="75">
        <v>450</v>
      </c>
      <c r="F25" s="42">
        <v>12328000</v>
      </c>
      <c r="G25" s="27">
        <v>9272000</v>
      </c>
      <c r="H25" s="29"/>
      <c r="I25" s="27">
        <v>12067000</v>
      </c>
      <c r="J25" s="29"/>
      <c r="K25" s="27">
        <v>8327000</v>
      </c>
      <c r="L25" s="29"/>
      <c r="M25" s="29"/>
      <c r="N25" s="27">
        <v>6808000</v>
      </c>
      <c r="O25" s="27">
        <v>6336000</v>
      </c>
      <c r="P25" s="27">
        <v>7360000</v>
      </c>
      <c r="Q25" s="27">
        <v>7580000</v>
      </c>
      <c r="R25" s="27">
        <v>7646000</v>
      </c>
      <c r="S25" s="27">
        <v>8050000</v>
      </c>
      <c r="T25" s="27">
        <v>8050000</v>
      </c>
      <c r="U25" s="27">
        <v>7572000</v>
      </c>
      <c r="V25" s="27">
        <v>8375000</v>
      </c>
      <c r="W25" s="27">
        <v>6822000</v>
      </c>
      <c r="X25" s="27">
        <v>8078000</v>
      </c>
      <c r="Y25" s="27">
        <v>8401000</v>
      </c>
      <c r="Z25" s="27">
        <v>8078000</v>
      </c>
      <c r="AA25" s="27">
        <v>8190000</v>
      </c>
      <c r="AB25" s="27">
        <v>8108000</v>
      </c>
      <c r="AC25" s="27">
        <v>8293000</v>
      </c>
      <c r="AD25" s="27">
        <v>7142000</v>
      </c>
      <c r="AE25" s="27">
        <v>7142000</v>
      </c>
      <c r="AF25" s="27">
        <v>7142000</v>
      </c>
      <c r="AG25" s="27">
        <v>7142000</v>
      </c>
      <c r="AH25" s="27">
        <v>7120000</v>
      </c>
      <c r="AI25" s="27">
        <v>7260000</v>
      </c>
      <c r="AJ25" s="27">
        <v>7260000</v>
      </c>
      <c r="AK25" s="27">
        <v>7230000</v>
      </c>
      <c r="AL25" s="27">
        <v>7142000</v>
      </c>
      <c r="AM25" s="27">
        <v>7113000</v>
      </c>
      <c r="AN25" s="27">
        <v>7113000</v>
      </c>
      <c r="AO25" s="27">
        <v>7113000</v>
      </c>
      <c r="AP25" s="27"/>
      <c r="AQ25" s="27"/>
      <c r="AR25" s="27"/>
      <c r="AS25" s="27"/>
      <c r="AT25" s="27"/>
    </row>
    <row r="26" spans="1:46">
      <c r="A26" s="43"/>
      <c r="B26" s="25" t="s">
        <v>344</v>
      </c>
      <c r="C26" s="75">
        <v>600</v>
      </c>
      <c r="D26" s="75">
        <v>2400</v>
      </c>
      <c r="E26" s="75">
        <v>600</v>
      </c>
      <c r="F26" s="42">
        <v>12270000</v>
      </c>
      <c r="G26" s="27">
        <v>9236000</v>
      </c>
      <c r="H26" s="29"/>
      <c r="I26" s="27">
        <v>12548000</v>
      </c>
      <c r="J26" s="29"/>
      <c r="K26" s="27">
        <v>7955000</v>
      </c>
      <c r="L26" s="29"/>
      <c r="M26" s="29"/>
      <c r="N26" s="27">
        <v>6297000</v>
      </c>
      <c r="O26" s="27">
        <v>5738000</v>
      </c>
      <c r="P26" s="27">
        <v>6928000</v>
      </c>
      <c r="Q26" s="27">
        <v>7179000</v>
      </c>
      <c r="R26" s="27">
        <v>7241000</v>
      </c>
      <c r="S26" s="27">
        <v>7708000</v>
      </c>
      <c r="T26" s="27">
        <v>7708000</v>
      </c>
      <c r="U26" s="27">
        <v>7177000</v>
      </c>
      <c r="V26" s="27">
        <v>8124000</v>
      </c>
      <c r="W26" s="27">
        <v>6291000</v>
      </c>
      <c r="X26" s="27">
        <v>7766000</v>
      </c>
      <c r="Y26" s="27">
        <v>8150000</v>
      </c>
      <c r="Z26" s="27">
        <v>7766000</v>
      </c>
      <c r="AA26" s="27">
        <v>7904000</v>
      </c>
      <c r="AB26" s="27">
        <v>7807000</v>
      </c>
      <c r="AC26" s="27">
        <v>8026000</v>
      </c>
      <c r="AD26" s="27">
        <v>6691000</v>
      </c>
      <c r="AE26" s="27">
        <v>6691000</v>
      </c>
      <c r="AF26" s="27">
        <v>6691000</v>
      </c>
      <c r="AG26" s="27">
        <v>6691000</v>
      </c>
      <c r="AH26" s="27">
        <v>6665000</v>
      </c>
      <c r="AI26" s="27">
        <v>6830000</v>
      </c>
      <c r="AJ26" s="27">
        <v>6830000</v>
      </c>
      <c r="AK26" s="27">
        <v>6795000</v>
      </c>
      <c r="AL26" s="27">
        <v>6691000</v>
      </c>
      <c r="AM26" s="27">
        <v>6656000</v>
      </c>
      <c r="AN26" s="27">
        <v>6656000</v>
      </c>
      <c r="AO26" s="27">
        <v>6656000</v>
      </c>
      <c r="AP26" s="27">
        <v>6436000</v>
      </c>
      <c r="AQ26" s="27">
        <v>6269000</v>
      </c>
      <c r="AR26" s="27">
        <v>6269000</v>
      </c>
      <c r="AS26" s="27">
        <v>6436000</v>
      </c>
      <c r="AT26" s="27">
        <v>7481000</v>
      </c>
    </row>
    <row r="27" spans="1:46">
      <c r="A27" s="43"/>
      <c r="B27" s="25" t="s">
        <v>345</v>
      </c>
      <c r="C27" s="75">
        <v>600</v>
      </c>
      <c r="D27" s="75">
        <v>2700</v>
      </c>
      <c r="E27" s="75">
        <v>600</v>
      </c>
      <c r="F27" s="42">
        <v>14891000</v>
      </c>
      <c r="G27" s="27">
        <v>10817000</v>
      </c>
      <c r="H27" s="29"/>
      <c r="I27" s="27">
        <v>14543000</v>
      </c>
      <c r="J27" s="29"/>
      <c r="K27" s="27">
        <v>9300000</v>
      </c>
      <c r="L27" s="29"/>
      <c r="M27" s="29"/>
      <c r="N27" s="27">
        <v>7507000</v>
      </c>
      <c r="O27" s="27">
        <v>6878000</v>
      </c>
      <c r="P27" s="27">
        <v>8211000</v>
      </c>
      <c r="Q27" s="27">
        <v>8492000</v>
      </c>
      <c r="R27" s="27">
        <v>8558000</v>
      </c>
      <c r="S27" s="27">
        <v>9080000</v>
      </c>
      <c r="T27" s="27">
        <v>9080000</v>
      </c>
      <c r="U27" s="27">
        <v>8490000</v>
      </c>
      <c r="V27" s="27">
        <v>9555000</v>
      </c>
      <c r="W27" s="27">
        <v>7496000</v>
      </c>
      <c r="X27" s="27">
        <v>9152000</v>
      </c>
      <c r="Y27" s="27">
        <v>9583000</v>
      </c>
      <c r="Z27" s="27">
        <v>9152000</v>
      </c>
      <c r="AA27" s="27">
        <v>9308000</v>
      </c>
      <c r="AB27" s="27">
        <v>9198000</v>
      </c>
      <c r="AC27" s="27">
        <v>9445000</v>
      </c>
      <c r="AD27" s="27">
        <v>7950000</v>
      </c>
      <c r="AE27" s="27">
        <v>7950000</v>
      </c>
      <c r="AF27" s="27">
        <v>7950000</v>
      </c>
      <c r="AG27" s="27">
        <v>7950000</v>
      </c>
      <c r="AH27" s="27">
        <v>7920000</v>
      </c>
      <c r="AI27" s="27">
        <v>8106000</v>
      </c>
      <c r="AJ27" s="27">
        <v>8106000</v>
      </c>
      <c r="AK27" s="27">
        <v>8067000</v>
      </c>
      <c r="AL27" s="27">
        <v>7950000</v>
      </c>
      <c r="AM27" s="27">
        <v>7911000</v>
      </c>
      <c r="AN27" s="27">
        <v>7911000</v>
      </c>
      <c r="AO27" s="27">
        <v>7911000</v>
      </c>
      <c r="AP27" s="27"/>
      <c r="AQ27" s="27"/>
      <c r="AR27" s="27"/>
      <c r="AS27" s="27"/>
      <c r="AT27" s="27"/>
    </row>
    <row r="28" spans="1:46" ht="75" customHeight="1">
      <c r="A28" s="16" t="e">
        <f ca="1">_xludf.image("https://lh3.google.com/u/0/d/1CpkzWBYR9_iA8kTMyw-DEy72_yFptv8J",1)</f>
        <v>#NAME?</v>
      </c>
      <c r="B28" s="17" t="s">
        <v>346</v>
      </c>
      <c r="C28" s="153"/>
      <c r="D28" s="145"/>
      <c r="E28" s="146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63"/>
      <c r="AK28" s="63"/>
      <c r="AL28" s="63"/>
      <c r="AM28" s="63"/>
      <c r="AN28" s="63"/>
      <c r="AO28" s="63"/>
      <c r="AP28" s="63"/>
      <c r="AQ28" s="63"/>
      <c r="AR28" s="63"/>
      <c r="AS28" s="63"/>
      <c r="AT28" s="63"/>
    </row>
    <row r="29" spans="1:46" ht="12.75">
      <c r="A29" s="20"/>
      <c r="B29" s="52"/>
      <c r="C29" s="73"/>
      <c r="D29" s="73"/>
      <c r="E29" s="74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</row>
    <row r="30" spans="1:46">
      <c r="A30" s="43"/>
      <c r="B30" s="25" t="s">
        <v>347</v>
      </c>
      <c r="C30" s="75">
        <v>600</v>
      </c>
      <c r="D30" s="75">
        <v>2400</v>
      </c>
      <c r="E30" s="75">
        <v>300</v>
      </c>
      <c r="F30" s="42">
        <v>9475000</v>
      </c>
      <c r="G30" s="42">
        <v>7958000</v>
      </c>
      <c r="H30" s="29"/>
      <c r="I30" s="42">
        <v>9614000</v>
      </c>
      <c r="J30" s="29"/>
      <c r="K30" s="27">
        <v>7661000</v>
      </c>
      <c r="L30" s="29"/>
      <c r="M30" s="29"/>
      <c r="N30" s="27">
        <v>6522000</v>
      </c>
      <c r="O30" s="27">
        <v>6242000</v>
      </c>
      <c r="P30" s="27">
        <v>6878000</v>
      </c>
      <c r="Q30" s="27">
        <v>7023000</v>
      </c>
      <c r="R30" s="27">
        <v>7081000</v>
      </c>
      <c r="S30" s="27">
        <v>7338000</v>
      </c>
      <c r="T30" s="27">
        <v>7338000</v>
      </c>
      <c r="U30" s="27">
        <v>7009000</v>
      </c>
      <c r="V30" s="27">
        <v>7490000</v>
      </c>
      <c r="W30" s="27">
        <v>6559000</v>
      </c>
      <c r="X30" s="27">
        <v>7320000</v>
      </c>
      <c r="Y30" s="27">
        <v>7511000</v>
      </c>
      <c r="Z30" s="27">
        <v>7320000</v>
      </c>
      <c r="AA30" s="27">
        <v>7381000</v>
      </c>
      <c r="AB30" s="27">
        <v>7333000</v>
      </c>
      <c r="AC30" s="27">
        <v>7442000</v>
      </c>
      <c r="AD30" s="27">
        <v>6722000</v>
      </c>
      <c r="AE30" s="27">
        <v>6722000</v>
      </c>
      <c r="AF30" s="27">
        <v>6722000</v>
      </c>
      <c r="AG30" s="27">
        <v>6722000</v>
      </c>
      <c r="AH30" s="27">
        <v>6709000</v>
      </c>
      <c r="AI30" s="27">
        <v>6791000</v>
      </c>
      <c r="AJ30" s="27">
        <v>6791000</v>
      </c>
      <c r="AK30" s="27">
        <v>6774000</v>
      </c>
      <c r="AL30" s="27">
        <v>6722000</v>
      </c>
      <c r="AM30" s="27">
        <v>6705000</v>
      </c>
      <c r="AN30" s="27">
        <v>6705000</v>
      </c>
      <c r="AO30" s="27">
        <v>6705000</v>
      </c>
      <c r="AP30" s="27">
        <v>6689000</v>
      </c>
      <c r="AQ30" s="27">
        <v>6605000</v>
      </c>
      <c r="AR30" s="27">
        <v>6605000</v>
      </c>
      <c r="AS30" s="27">
        <v>6689000</v>
      </c>
      <c r="AT30" s="27">
        <v>7186000</v>
      </c>
    </row>
    <row r="31" spans="1:46">
      <c r="A31" s="43"/>
      <c r="B31" s="25" t="s">
        <v>348</v>
      </c>
      <c r="C31" s="75">
        <v>600</v>
      </c>
      <c r="D31" s="75">
        <v>2700</v>
      </c>
      <c r="E31" s="75">
        <v>300</v>
      </c>
      <c r="F31" s="42">
        <v>11100000</v>
      </c>
      <c r="G31" s="42">
        <v>9063000</v>
      </c>
      <c r="H31" s="29"/>
      <c r="I31" s="42">
        <v>10926000</v>
      </c>
      <c r="J31" s="29"/>
      <c r="K31" s="27">
        <v>8689000</v>
      </c>
      <c r="L31" s="29"/>
      <c r="M31" s="29"/>
      <c r="N31" s="27">
        <v>7446000</v>
      </c>
      <c r="O31" s="27">
        <v>7131000</v>
      </c>
      <c r="P31" s="27">
        <v>7844000</v>
      </c>
      <c r="Q31" s="27">
        <v>8005000</v>
      </c>
      <c r="R31" s="27">
        <v>8069000</v>
      </c>
      <c r="S31" s="27">
        <v>8357000</v>
      </c>
      <c r="T31" s="27">
        <v>8357000</v>
      </c>
      <c r="U31" s="27">
        <v>7990000</v>
      </c>
      <c r="V31" s="27">
        <v>8531000</v>
      </c>
      <c r="W31" s="27">
        <v>7484000</v>
      </c>
      <c r="X31" s="27">
        <v>8339000</v>
      </c>
      <c r="Y31" s="27">
        <v>8555000</v>
      </c>
      <c r="Z31" s="27">
        <v>8339000</v>
      </c>
      <c r="AA31" s="27">
        <v>8409000</v>
      </c>
      <c r="AB31" s="27">
        <v>8354000</v>
      </c>
      <c r="AC31" s="27">
        <v>8477000</v>
      </c>
      <c r="AD31" s="27">
        <v>7670000</v>
      </c>
      <c r="AE31" s="27">
        <v>7670000</v>
      </c>
      <c r="AF31" s="27">
        <v>7670000</v>
      </c>
      <c r="AG31" s="27">
        <v>7670000</v>
      </c>
      <c r="AH31" s="27">
        <v>7656000</v>
      </c>
      <c r="AI31" s="27">
        <v>7749000</v>
      </c>
      <c r="AJ31" s="27">
        <v>7749000</v>
      </c>
      <c r="AK31" s="27">
        <v>7729000</v>
      </c>
      <c r="AL31" s="27">
        <v>7670000</v>
      </c>
      <c r="AM31" s="27">
        <v>7651000</v>
      </c>
      <c r="AN31" s="27">
        <v>7651000</v>
      </c>
      <c r="AO31" s="27">
        <v>7651000</v>
      </c>
      <c r="AP31" s="27"/>
      <c r="AQ31" s="27"/>
      <c r="AR31" s="27"/>
      <c r="AS31" s="27"/>
      <c r="AT31" s="27"/>
    </row>
    <row r="32" spans="1:46">
      <c r="A32" s="43"/>
      <c r="B32" s="25" t="s">
        <v>349</v>
      </c>
      <c r="C32" s="75">
        <v>600</v>
      </c>
      <c r="D32" s="75">
        <v>2400</v>
      </c>
      <c r="E32" s="75">
        <v>450</v>
      </c>
      <c r="F32" s="42">
        <v>12054000</v>
      </c>
      <c r="G32" s="42">
        <v>9779000</v>
      </c>
      <c r="H32" s="29"/>
      <c r="I32" s="42">
        <v>12263000</v>
      </c>
      <c r="J32" s="29"/>
      <c r="K32" s="27">
        <v>8990000</v>
      </c>
      <c r="L32" s="29"/>
      <c r="M32" s="29"/>
      <c r="N32" s="27">
        <v>7592000</v>
      </c>
      <c r="O32" s="27">
        <v>7172000</v>
      </c>
      <c r="P32" s="27">
        <v>8085000</v>
      </c>
      <c r="Q32" s="27">
        <v>8283000</v>
      </c>
      <c r="R32" s="27">
        <v>8343000</v>
      </c>
      <c r="S32" s="27">
        <v>8705000</v>
      </c>
      <c r="T32" s="27">
        <v>8705000</v>
      </c>
      <c r="U32" s="27">
        <v>8275000</v>
      </c>
      <c r="V32" s="27">
        <v>8989000</v>
      </c>
      <c r="W32" s="27">
        <v>7607000</v>
      </c>
      <c r="X32" s="27">
        <v>8725000</v>
      </c>
      <c r="Y32" s="27">
        <v>9013000</v>
      </c>
      <c r="Z32" s="27">
        <v>8725000</v>
      </c>
      <c r="AA32" s="27">
        <v>8825000</v>
      </c>
      <c r="AB32" s="27">
        <v>8752000</v>
      </c>
      <c r="AC32" s="27">
        <v>8916000</v>
      </c>
      <c r="AD32" s="27">
        <v>7889000</v>
      </c>
      <c r="AE32" s="27">
        <v>7889000</v>
      </c>
      <c r="AF32" s="27">
        <v>7889000</v>
      </c>
      <c r="AG32" s="27">
        <v>7889000</v>
      </c>
      <c r="AH32" s="27">
        <v>7869000</v>
      </c>
      <c r="AI32" s="27">
        <v>7993000</v>
      </c>
      <c r="AJ32" s="27">
        <v>7993000</v>
      </c>
      <c r="AK32" s="27">
        <v>7967000</v>
      </c>
      <c r="AL32" s="27">
        <v>7889000</v>
      </c>
      <c r="AM32" s="27">
        <v>7863000</v>
      </c>
      <c r="AN32" s="27">
        <v>7863000</v>
      </c>
      <c r="AO32" s="27">
        <v>7863000</v>
      </c>
      <c r="AP32" s="27">
        <v>7745000</v>
      </c>
      <c r="AQ32" s="27">
        <v>7619000</v>
      </c>
      <c r="AR32" s="27">
        <v>7619000</v>
      </c>
      <c r="AS32" s="27">
        <v>7745000</v>
      </c>
      <c r="AT32" s="27">
        <v>8516000</v>
      </c>
    </row>
    <row r="33" spans="1:46">
      <c r="A33" s="43"/>
      <c r="B33" s="25" t="s">
        <v>350</v>
      </c>
      <c r="C33" s="75">
        <v>600</v>
      </c>
      <c r="D33" s="75">
        <v>2700</v>
      </c>
      <c r="E33" s="75">
        <v>450</v>
      </c>
      <c r="F33" s="42">
        <v>14178000</v>
      </c>
      <c r="G33" s="42">
        <v>11123000</v>
      </c>
      <c r="H33" s="29"/>
      <c r="I33" s="42">
        <v>13917000</v>
      </c>
      <c r="J33" s="29"/>
      <c r="K33" s="27">
        <v>10177000</v>
      </c>
      <c r="L33" s="29"/>
      <c r="M33" s="29"/>
      <c r="N33" s="27">
        <v>8658000</v>
      </c>
      <c r="O33" s="27">
        <v>8186000</v>
      </c>
      <c r="P33" s="27">
        <v>9210000</v>
      </c>
      <c r="Q33" s="27">
        <v>9430000</v>
      </c>
      <c r="R33" s="27">
        <v>9496000</v>
      </c>
      <c r="S33" s="27">
        <v>9901000</v>
      </c>
      <c r="T33" s="27">
        <v>9901000</v>
      </c>
      <c r="U33" s="27">
        <v>9423000</v>
      </c>
      <c r="V33" s="27">
        <v>10225000</v>
      </c>
      <c r="W33" s="27">
        <v>8672000</v>
      </c>
      <c r="X33" s="27">
        <v>9928000</v>
      </c>
      <c r="Y33" s="27">
        <v>10251000</v>
      </c>
      <c r="Z33" s="27">
        <v>9928000</v>
      </c>
      <c r="AA33" s="27">
        <v>10040000</v>
      </c>
      <c r="AB33" s="27">
        <v>9958000</v>
      </c>
      <c r="AC33" s="27">
        <v>10143000</v>
      </c>
      <c r="AD33" s="27">
        <v>8992000</v>
      </c>
      <c r="AE33" s="27">
        <v>8992000</v>
      </c>
      <c r="AF33" s="27">
        <v>8992000</v>
      </c>
      <c r="AG33" s="27">
        <v>8992000</v>
      </c>
      <c r="AH33" s="27">
        <v>8970000</v>
      </c>
      <c r="AI33" s="27">
        <v>9110000</v>
      </c>
      <c r="AJ33" s="27">
        <v>9110000</v>
      </c>
      <c r="AK33" s="27">
        <v>9080000</v>
      </c>
      <c r="AL33" s="27">
        <v>8992000</v>
      </c>
      <c r="AM33" s="27">
        <v>8963000</v>
      </c>
      <c r="AN33" s="27">
        <v>8963000</v>
      </c>
      <c r="AO33" s="27">
        <v>8963000</v>
      </c>
      <c r="AP33" s="27"/>
      <c r="AQ33" s="27"/>
      <c r="AR33" s="27"/>
      <c r="AS33" s="27"/>
      <c r="AT33" s="27"/>
    </row>
    <row r="34" spans="1:46">
      <c r="A34" s="43"/>
      <c r="B34" s="25" t="s">
        <v>351</v>
      </c>
      <c r="C34" s="75">
        <v>600</v>
      </c>
      <c r="D34" s="75">
        <v>2400</v>
      </c>
      <c r="E34" s="75">
        <v>600</v>
      </c>
      <c r="F34" s="42">
        <v>14634000</v>
      </c>
      <c r="G34" s="42">
        <v>11600000</v>
      </c>
      <c r="H34" s="29"/>
      <c r="I34" s="42">
        <v>14912000</v>
      </c>
      <c r="J34" s="29"/>
      <c r="K34" s="27">
        <v>10319000</v>
      </c>
      <c r="L34" s="29"/>
      <c r="M34" s="29"/>
      <c r="N34" s="27">
        <v>8662000</v>
      </c>
      <c r="O34" s="27">
        <v>8102000</v>
      </c>
      <c r="P34" s="27">
        <v>9292000</v>
      </c>
      <c r="Q34" s="27">
        <v>9543000</v>
      </c>
      <c r="R34" s="27">
        <v>9606000</v>
      </c>
      <c r="S34" s="27">
        <v>10072000</v>
      </c>
      <c r="T34" s="27">
        <v>10072000</v>
      </c>
      <c r="U34" s="27">
        <v>9541000</v>
      </c>
      <c r="V34" s="27">
        <v>10488000</v>
      </c>
      <c r="W34" s="27">
        <v>8656000</v>
      </c>
      <c r="X34" s="27">
        <v>10131000</v>
      </c>
      <c r="Y34" s="27">
        <v>10514000</v>
      </c>
      <c r="Z34" s="27">
        <v>10131000</v>
      </c>
      <c r="AA34" s="27">
        <v>10268000</v>
      </c>
      <c r="AB34" s="27">
        <v>10171000</v>
      </c>
      <c r="AC34" s="27">
        <v>10391000</v>
      </c>
      <c r="AD34" s="27">
        <v>9055000</v>
      </c>
      <c r="AE34" s="27">
        <v>9055000</v>
      </c>
      <c r="AF34" s="27">
        <v>9055000</v>
      </c>
      <c r="AG34" s="27">
        <v>9055000</v>
      </c>
      <c r="AH34" s="27">
        <v>9029000</v>
      </c>
      <c r="AI34" s="27">
        <v>9195000</v>
      </c>
      <c r="AJ34" s="27">
        <v>9195000</v>
      </c>
      <c r="AK34" s="27">
        <v>9160000</v>
      </c>
      <c r="AL34" s="27">
        <v>9055000</v>
      </c>
      <c r="AM34" s="27">
        <v>9021000</v>
      </c>
      <c r="AN34" s="27">
        <v>9021000</v>
      </c>
      <c r="AO34" s="27">
        <v>9021000</v>
      </c>
      <c r="AP34" s="27">
        <v>8801000</v>
      </c>
      <c r="AQ34" s="27">
        <v>8633000</v>
      </c>
      <c r="AR34" s="27">
        <v>8633000</v>
      </c>
      <c r="AS34" s="27">
        <v>8801000</v>
      </c>
      <c r="AT34" s="27">
        <v>9846000</v>
      </c>
    </row>
    <row r="35" spans="1:46">
      <c r="A35" s="43"/>
      <c r="B35" s="25" t="s">
        <v>352</v>
      </c>
      <c r="C35" s="75">
        <v>600</v>
      </c>
      <c r="D35" s="75">
        <v>2700</v>
      </c>
      <c r="E35" s="75">
        <v>600</v>
      </c>
      <c r="F35" s="42">
        <v>17255000</v>
      </c>
      <c r="G35" s="42">
        <v>13182000</v>
      </c>
      <c r="H35" s="29"/>
      <c r="I35" s="42">
        <v>16908000</v>
      </c>
      <c r="J35" s="29"/>
      <c r="K35" s="27">
        <v>11665000</v>
      </c>
      <c r="L35" s="29"/>
      <c r="M35" s="29"/>
      <c r="N35" s="27">
        <v>9871000</v>
      </c>
      <c r="O35" s="27">
        <v>9242000</v>
      </c>
      <c r="P35" s="27">
        <v>10576000</v>
      </c>
      <c r="Q35" s="27">
        <v>10856000</v>
      </c>
      <c r="R35" s="27">
        <v>10922000</v>
      </c>
      <c r="S35" s="27">
        <v>11444000</v>
      </c>
      <c r="T35" s="27">
        <v>11444000</v>
      </c>
      <c r="U35" s="27">
        <v>10855000</v>
      </c>
      <c r="V35" s="27">
        <v>11920000</v>
      </c>
      <c r="W35" s="27">
        <v>9860000</v>
      </c>
      <c r="X35" s="27">
        <v>11516000</v>
      </c>
      <c r="Y35" s="27">
        <v>11947000</v>
      </c>
      <c r="Z35" s="27">
        <v>11516000</v>
      </c>
      <c r="AA35" s="27">
        <v>11672000</v>
      </c>
      <c r="AB35" s="27">
        <v>11562000</v>
      </c>
      <c r="AC35" s="27">
        <v>11809000</v>
      </c>
      <c r="AD35" s="27">
        <v>10314000</v>
      </c>
      <c r="AE35" s="27">
        <v>10314000</v>
      </c>
      <c r="AF35" s="27">
        <v>10314000</v>
      </c>
      <c r="AG35" s="27">
        <v>10314000</v>
      </c>
      <c r="AH35" s="27">
        <v>10285000</v>
      </c>
      <c r="AI35" s="27">
        <v>10471000</v>
      </c>
      <c r="AJ35" s="27">
        <v>10471000</v>
      </c>
      <c r="AK35" s="27">
        <v>10431000</v>
      </c>
      <c r="AL35" s="27">
        <v>10314000</v>
      </c>
      <c r="AM35" s="27">
        <v>10275000</v>
      </c>
      <c r="AN35" s="27">
        <v>10275000</v>
      </c>
      <c r="AO35" s="27">
        <v>10275000</v>
      </c>
      <c r="AP35" s="27"/>
      <c r="AQ35" s="27"/>
      <c r="AR35" s="27"/>
      <c r="AS35" s="27"/>
      <c r="AT35" s="27"/>
    </row>
    <row r="36" spans="1:46" ht="75" customHeight="1">
      <c r="A36" s="16" t="e">
        <f ca="1">_xludf.image("https://lh3.google.com/u/0/d/1CpkzWBYR9_iA8kTMyw-DEy72_yFptv8J",1)</f>
        <v>#NAME?</v>
      </c>
      <c r="B36" s="17" t="s">
        <v>353</v>
      </c>
      <c r="C36" s="153"/>
      <c r="D36" s="145"/>
      <c r="E36" s="146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3"/>
      <c r="AC36" s="63"/>
      <c r="AD36" s="63"/>
      <c r="AE36" s="63"/>
      <c r="AF36" s="63"/>
      <c r="AG36" s="63"/>
      <c r="AH36" s="63"/>
      <c r="AI36" s="63"/>
      <c r="AJ36" s="63"/>
      <c r="AK36" s="63"/>
      <c r="AL36" s="63"/>
      <c r="AM36" s="63"/>
      <c r="AN36" s="63"/>
      <c r="AO36" s="63"/>
      <c r="AP36" s="63"/>
      <c r="AQ36" s="63"/>
      <c r="AR36" s="63"/>
      <c r="AS36" s="63"/>
      <c r="AT36" s="63"/>
    </row>
    <row r="37" spans="1:46" ht="12.75">
      <c r="A37" s="20"/>
      <c r="B37" s="52"/>
      <c r="C37" s="73"/>
      <c r="D37" s="73"/>
      <c r="E37" s="74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</row>
    <row r="38" spans="1:46">
      <c r="A38" s="43"/>
      <c r="B38" s="25" t="s">
        <v>354</v>
      </c>
      <c r="C38" s="75">
        <v>600</v>
      </c>
      <c r="D38" s="75">
        <v>2400</v>
      </c>
      <c r="E38" s="75">
        <v>600</v>
      </c>
      <c r="F38" s="42">
        <v>13029000</v>
      </c>
      <c r="G38" s="42">
        <v>9995000</v>
      </c>
      <c r="H38" s="29"/>
      <c r="I38" s="42">
        <v>13307000</v>
      </c>
      <c r="J38" s="29"/>
      <c r="K38" s="27">
        <v>8714000</v>
      </c>
      <c r="L38" s="29"/>
      <c r="M38" s="29"/>
      <c r="N38" s="27">
        <v>7056000</v>
      </c>
      <c r="O38" s="27">
        <v>6497000</v>
      </c>
      <c r="P38" s="27">
        <v>7687000</v>
      </c>
      <c r="Q38" s="27">
        <v>7938000</v>
      </c>
      <c r="R38" s="27">
        <v>8000000</v>
      </c>
      <c r="S38" s="27">
        <v>8466000</v>
      </c>
      <c r="T38" s="27">
        <v>8466000</v>
      </c>
      <c r="U38" s="27">
        <v>7935000</v>
      </c>
      <c r="V38" s="27">
        <v>8883000</v>
      </c>
      <c r="W38" s="27">
        <v>7050000</v>
      </c>
      <c r="X38" s="27">
        <v>8525000</v>
      </c>
      <c r="Y38" s="27">
        <v>8909000</v>
      </c>
      <c r="Z38" s="27">
        <v>8525000</v>
      </c>
      <c r="AA38" s="27">
        <v>8663000</v>
      </c>
      <c r="AB38" s="27">
        <v>8566000</v>
      </c>
      <c r="AC38" s="27">
        <v>8785000</v>
      </c>
      <c r="AD38" s="27">
        <v>7450000</v>
      </c>
      <c r="AE38" s="27">
        <v>7450000</v>
      </c>
      <c r="AF38" s="27">
        <v>7450000</v>
      </c>
      <c r="AG38" s="27">
        <v>7450000</v>
      </c>
      <c r="AH38" s="27">
        <v>7424000</v>
      </c>
      <c r="AI38" s="27">
        <v>7589000</v>
      </c>
      <c r="AJ38" s="27">
        <v>7589000</v>
      </c>
      <c r="AK38" s="27">
        <v>7554000</v>
      </c>
      <c r="AL38" s="27">
        <v>7450000</v>
      </c>
      <c r="AM38" s="27">
        <v>7415000</v>
      </c>
      <c r="AN38" s="27">
        <v>7415000</v>
      </c>
      <c r="AO38" s="27">
        <v>7415000</v>
      </c>
      <c r="AP38" s="27">
        <v>7195000</v>
      </c>
      <c r="AQ38" s="27">
        <v>7028000</v>
      </c>
      <c r="AR38" s="27">
        <v>7028000</v>
      </c>
      <c r="AS38" s="27">
        <v>7195000</v>
      </c>
      <c r="AT38" s="27">
        <v>8240000</v>
      </c>
    </row>
    <row r="39" spans="1:46">
      <c r="A39" s="43"/>
      <c r="B39" s="25" t="s">
        <v>355</v>
      </c>
      <c r="C39" s="75">
        <v>600</v>
      </c>
      <c r="D39" s="75">
        <v>2700</v>
      </c>
      <c r="E39" s="75">
        <v>600</v>
      </c>
      <c r="F39" s="42">
        <v>15471000</v>
      </c>
      <c r="G39" s="42">
        <v>11397000</v>
      </c>
      <c r="H39" s="29"/>
      <c r="I39" s="42">
        <v>15123000</v>
      </c>
      <c r="J39" s="29"/>
      <c r="K39" s="27">
        <v>9880000</v>
      </c>
      <c r="L39" s="29"/>
      <c r="M39" s="29"/>
      <c r="N39" s="27">
        <v>8087000</v>
      </c>
      <c r="O39" s="27">
        <v>7458000</v>
      </c>
      <c r="P39" s="27">
        <v>8791000</v>
      </c>
      <c r="Q39" s="27">
        <v>9071000</v>
      </c>
      <c r="R39" s="27">
        <v>9138000</v>
      </c>
      <c r="S39" s="27">
        <v>9659000</v>
      </c>
      <c r="T39" s="27">
        <v>9659000</v>
      </c>
      <c r="U39" s="27">
        <v>9070000</v>
      </c>
      <c r="V39" s="27">
        <v>10135000</v>
      </c>
      <c r="W39" s="27">
        <v>8075000</v>
      </c>
      <c r="X39" s="27">
        <v>9732000</v>
      </c>
      <c r="Y39" s="27">
        <v>10163000</v>
      </c>
      <c r="Z39" s="27">
        <v>9732000</v>
      </c>
      <c r="AA39" s="27">
        <v>9888000</v>
      </c>
      <c r="AB39" s="27">
        <v>9778000</v>
      </c>
      <c r="AC39" s="27">
        <v>10025000</v>
      </c>
      <c r="AD39" s="27">
        <v>8529000</v>
      </c>
      <c r="AE39" s="27">
        <v>8529000</v>
      </c>
      <c r="AF39" s="27">
        <v>8529000</v>
      </c>
      <c r="AG39" s="27">
        <v>8529000</v>
      </c>
      <c r="AH39" s="27">
        <v>8500000</v>
      </c>
      <c r="AI39" s="27">
        <v>8686000</v>
      </c>
      <c r="AJ39" s="27">
        <v>8686000</v>
      </c>
      <c r="AK39" s="27">
        <v>8647000</v>
      </c>
      <c r="AL39" s="27">
        <v>8529000</v>
      </c>
      <c r="AM39" s="27">
        <v>8490000</v>
      </c>
      <c r="AN39" s="27">
        <v>8490000</v>
      </c>
      <c r="AO39" s="27">
        <v>8490000</v>
      </c>
      <c r="AP39" s="27"/>
      <c r="AQ39" s="27"/>
      <c r="AR39" s="27"/>
      <c r="AS39" s="27"/>
      <c r="AT39" s="27"/>
    </row>
    <row r="40" spans="1:46" ht="75" customHeight="1">
      <c r="A40" s="16" t="e">
        <f ca="1">_xludf.image("https://lh3.google.com/u/0/d/1DDxVA-bwSi7FI48XKabSsoGuSvIk6Hpl",1)</f>
        <v>#NAME?</v>
      </c>
      <c r="B40" s="17" t="s">
        <v>356</v>
      </c>
      <c r="C40" s="153"/>
      <c r="D40" s="145"/>
      <c r="E40" s="146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3"/>
      <c r="AC40" s="63"/>
      <c r="AD40" s="63"/>
      <c r="AE40" s="63"/>
      <c r="AF40" s="63"/>
      <c r="AG40" s="63"/>
      <c r="AH40" s="63"/>
      <c r="AI40" s="63"/>
      <c r="AJ40" s="63"/>
      <c r="AK40" s="63"/>
      <c r="AL40" s="63"/>
      <c r="AM40" s="63"/>
      <c r="AN40" s="63"/>
      <c r="AO40" s="63"/>
      <c r="AP40" s="63"/>
      <c r="AQ40" s="63"/>
      <c r="AR40" s="63"/>
      <c r="AS40" s="63"/>
      <c r="AT40" s="63"/>
    </row>
    <row r="41" spans="1:46" ht="12.75">
      <c r="A41" s="20"/>
      <c r="B41" s="21" t="s">
        <v>357</v>
      </c>
      <c r="C41" s="73"/>
      <c r="D41" s="73"/>
      <c r="E41" s="74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</row>
    <row r="42" spans="1:46">
      <c r="A42" s="43"/>
      <c r="B42" s="25" t="s">
        <v>358</v>
      </c>
      <c r="C42" s="75">
        <v>600</v>
      </c>
      <c r="D42" s="75">
        <v>2400</v>
      </c>
      <c r="E42" s="75">
        <v>600</v>
      </c>
      <c r="F42" s="42">
        <v>12015000</v>
      </c>
      <c r="G42" s="42">
        <v>9866000</v>
      </c>
      <c r="H42" s="29"/>
      <c r="I42" s="42">
        <v>12212000</v>
      </c>
      <c r="J42" s="29"/>
      <c r="K42" s="27">
        <v>8998000</v>
      </c>
      <c r="L42" s="29"/>
      <c r="M42" s="29"/>
      <c r="N42" s="27">
        <v>7814000</v>
      </c>
      <c r="O42" s="27">
        <v>7417000</v>
      </c>
      <c r="P42" s="27">
        <v>8296000</v>
      </c>
      <c r="Q42" s="27">
        <v>8491000</v>
      </c>
      <c r="R42" s="27">
        <v>8559000</v>
      </c>
      <c r="S42" s="27">
        <v>8910000</v>
      </c>
      <c r="T42" s="27">
        <v>8910000</v>
      </c>
      <c r="U42" s="27">
        <v>8478000</v>
      </c>
      <c r="V42" s="27">
        <v>9155000</v>
      </c>
      <c r="W42" s="27">
        <v>7844000</v>
      </c>
      <c r="X42" s="27">
        <v>8910000</v>
      </c>
      <c r="Y42" s="27">
        <v>9181000</v>
      </c>
      <c r="Z42" s="27">
        <v>8910000</v>
      </c>
      <c r="AA42" s="27">
        <v>9001000</v>
      </c>
      <c r="AB42" s="27">
        <v>8932000</v>
      </c>
      <c r="AC42" s="27">
        <v>9087000</v>
      </c>
      <c r="AD42" s="27">
        <v>8095000</v>
      </c>
      <c r="AE42" s="27">
        <v>8095000</v>
      </c>
      <c r="AF42" s="27">
        <v>8095000</v>
      </c>
      <c r="AG42" s="27">
        <v>8095000</v>
      </c>
      <c r="AH42" s="27">
        <v>8077000</v>
      </c>
      <c r="AI42" s="27">
        <v>8194000</v>
      </c>
      <c r="AJ42" s="27">
        <v>8194000</v>
      </c>
      <c r="AK42" s="27">
        <v>8169000</v>
      </c>
      <c r="AL42" s="27">
        <v>8095000</v>
      </c>
      <c r="AM42" s="27">
        <v>8071000</v>
      </c>
      <c r="AN42" s="27">
        <v>8071000</v>
      </c>
      <c r="AO42" s="27">
        <v>8071000</v>
      </c>
      <c r="AP42" s="27">
        <v>7997000</v>
      </c>
      <c r="AQ42" s="27">
        <v>7879000</v>
      </c>
      <c r="AR42" s="27">
        <v>7879000</v>
      </c>
      <c r="AS42" s="27">
        <v>7997000</v>
      </c>
      <c r="AT42" s="27">
        <v>8716000</v>
      </c>
    </row>
    <row r="43" spans="1:46">
      <c r="A43" s="43"/>
      <c r="B43" s="25" t="s">
        <v>359</v>
      </c>
      <c r="C43" s="75">
        <v>600</v>
      </c>
      <c r="D43" s="75">
        <v>2700</v>
      </c>
      <c r="E43" s="75">
        <v>600</v>
      </c>
      <c r="F43" s="42">
        <v>14162000</v>
      </c>
      <c r="G43" s="42">
        <v>11448000</v>
      </c>
      <c r="H43" s="29"/>
      <c r="I43" s="42">
        <v>14208000</v>
      </c>
      <c r="J43" s="29"/>
      <c r="K43" s="27">
        <v>10343000</v>
      </c>
      <c r="L43" s="29"/>
      <c r="M43" s="29"/>
      <c r="N43" s="27">
        <v>9023000</v>
      </c>
      <c r="O43" s="27">
        <v>8557000</v>
      </c>
      <c r="P43" s="27">
        <v>9580000</v>
      </c>
      <c r="Q43" s="27">
        <v>9803000</v>
      </c>
      <c r="R43" s="27">
        <v>9876000</v>
      </c>
      <c r="S43" s="27">
        <v>10282000</v>
      </c>
      <c r="T43" s="27">
        <v>10282000</v>
      </c>
      <c r="U43" s="27">
        <v>9792000</v>
      </c>
      <c r="V43" s="27">
        <v>10586000</v>
      </c>
      <c r="W43" s="27">
        <v>9048000</v>
      </c>
      <c r="X43" s="27">
        <v>10295000</v>
      </c>
      <c r="Y43" s="27">
        <v>10615000</v>
      </c>
      <c r="Z43" s="27">
        <v>10295000</v>
      </c>
      <c r="AA43" s="27">
        <v>10404000</v>
      </c>
      <c r="AB43" s="27">
        <v>10323000</v>
      </c>
      <c r="AC43" s="27">
        <v>10506000</v>
      </c>
      <c r="AD43" s="27">
        <v>9354000</v>
      </c>
      <c r="AE43" s="27">
        <v>9354000</v>
      </c>
      <c r="AF43" s="27">
        <v>9354000</v>
      </c>
      <c r="AG43" s="27">
        <v>9354000</v>
      </c>
      <c r="AH43" s="27">
        <v>9332000</v>
      </c>
      <c r="AI43" s="27">
        <v>9470000</v>
      </c>
      <c r="AJ43" s="27">
        <v>9470000</v>
      </c>
      <c r="AK43" s="27">
        <v>9441000</v>
      </c>
      <c r="AL43" s="27">
        <v>9354000</v>
      </c>
      <c r="AM43" s="27">
        <v>9325000</v>
      </c>
      <c r="AN43" s="27">
        <v>9325000</v>
      </c>
      <c r="AO43" s="27">
        <v>9325000</v>
      </c>
      <c r="AP43" s="27"/>
      <c r="AQ43" s="27"/>
      <c r="AR43" s="27"/>
      <c r="AS43" s="27"/>
      <c r="AT43" s="27"/>
    </row>
    <row r="44" spans="1:46" ht="75" customHeight="1">
      <c r="A44" s="16" t="e">
        <f ca="1">_xludf.image("https://lh3.google.com/u/0/d/1iGLg727SyW7UHDW19kGxkziA4KvXTWqq",1)</f>
        <v>#NAME?</v>
      </c>
      <c r="B44" s="17" t="s">
        <v>360</v>
      </c>
      <c r="C44" s="153"/>
      <c r="D44" s="145"/>
      <c r="E44" s="146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3"/>
      <c r="AI44" s="63"/>
      <c r="AJ44" s="63"/>
      <c r="AK44" s="63"/>
      <c r="AL44" s="63"/>
      <c r="AM44" s="63"/>
      <c r="AN44" s="63"/>
      <c r="AO44" s="63"/>
      <c r="AP44" s="63"/>
      <c r="AQ44" s="63"/>
      <c r="AR44" s="63"/>
      <c r="AS44" s="63"/>
      <c r="AT44" s="63"/>
    </row>
    <row r="45" spans="1:46" ht="25.5">
      <c r="A45" s="20"/>
      <c r="B45" s="21" t="s">
        <v>361</v>
      </c>
      <c r="C45" s="73"/>
      <c r="D45" s="73"/>
      <c r="E45" s="74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</row>
    <row r="46" spans="1:46">
      <c r="A46" s="43"/>
      <c r="B46" s="25" t="s">
        <v>362</v>
      </c>
      <c r="C46" s="75">
        <v>600</v>
      </c>
      <c r="D46" s="75">
        <v>2400</v>
      </c>
      <c r="E46" s="75">
        <v>600</v>
      </c>
      <c r="F46" s="42">
        <v>19215000</v>
      </c>
      <c r="G46" s="42">
        <v>17066000</v>
      </c>
      <c r="H46" s="29"/>
      <c r="I46" s="42">
        <v>19412000</v>
      </c>
      <c r="J46" s="29"/>
      <c r="K46" s="29"/>
      <c r="L46" s="29"/>
      <c r="M46" s="29"/>
      <c r="N46" s="27">
        <v>15046000</v>
      </c>
      <c r="O46" s="27">
        <v>14650000</v>
      </c>
      <c r="P46" s="27">
        <v>15571000</v>
      </c>
      <c r="Q46" s="27">
        <v>15783000</v>
      </c>
      <c r="R46" s="27">
        <v>15879000</v>
      </c>
      <c r="S46" s="27">
        <v>16254000</v>
      </c>
      <c r="T46" s="27">
        <v>16254000</v>
      </c>
      <c r="U46" s="27">
        <v>15758000</v>
      </c>
      <c r="V46" s="27">
        <v>16442000</v>
      </c>
      <c r="W46" s="27">
        <v>15117000</v>
      </c>
      <c r="X46" s="27">
        <v>16206000</v>
      </c>
      <c r="Y46" s="27">
        <v>16477000</v>
      </c>
      <c r="Z46" s="27">
        <v>16206000</v>
      </c>
      <c r="AA46" s="27">
        <v>16289000</v>
      </c>
      <c r="AB46" s="27">
        <v>16220000</v>
      </c>
      <c r="AC46" s="27">
        <v>16376000</v>
      </c>
      <c r="AD46" s="27">
        <v>15331000</v>
      </c>
      <c r="AE46" s="27">
        <v>15331000</v>
      </c>
      <c r="AF46" s="27">
        <v>15331000</v>
      </c>
      <c r="AG46" s="27">
        <v>15331000</v>
      </c>
      <c r="AH46" s="27">
        <v>15313000</v>
      </c>
      <c r="AI46" s="27">
        <v>15430000</v>
      </c>
      <c r="AJ46" s="27">
        <v>15430000</v>
      </c>
      <c r="AK46" s="27">
        <v>15405000</v>
      </c>
      <c r="AL46" s="27">
        <v>15331000</v>
      </c>
      <c r="AM46" s="27">
        <v>15307000</v>
      </c>
      <c r="AN46" s="27">
        <v>15307000</v>
      </c>
      <c r="AO46" s="27">
        <v>15307000</v>
      </c>
      <c r="AP46" s="27">
        <v>15328000</v>
      </c>
      <c r="AQ46" s="27">
        <v>15209000</v>
      </c>
      <c r="AR46" s="27">
        <v>15209000</v>
      </c>
      <c r="AS46" s="27">
        <v>15328000</v>
      </c>
      <c r="AT46" s="27">
        <v>16021000</v>
      </c>
    </row>
    <row r="47" spans="1:46">
      <c r="A47" s="43"/>
      <c r="B47" s="25" t="s">
        <v>363</v>
      </c>
      <c r="C47" s="75">
        <v>600</v>
      </c>
      <c r="D47" s="75">
        <v>2700</v>
      </c>
      <c r="E47" s="75">
        <v>600</v>
      </c>
      <c r="F47" s="42">
        <v>21361000</v>
      </c>
      <c r="G47" s="42">
        <v>18647000</v>
      </c>
      <c r="H47" s="29"/>
      <c r="I47" s="42">
        <v>21407000</v>
      </c>
      <c r="J47" s="29"/>
      <c r="K47" s="29"/>
      <c r="L47" s="29"/>
      <c r="M47" s="29"/>
      <c r="N47" s="27">
        <v>16256000</v>
      </c>
      <c r="O47" s="27">
        <v>15790000</v>
      </c>
      <c r="P47" s="27">
        <v>16854000</v>
      </c>
      <c r="Q47" s="27">
        <v>17096000</v>
      </c>
      <c r="R47" s="27">
        <v>17196000</v>
      </c>
      <c r="S47" s="27">
        <v>17626000</v>
      </c>
      <c r="T47" s="27">
        <v>17626000</v>
      </c>
      <c r="U47" s="27">
        <v>17072000</v>
      </c>
      <c r="V47" s="27">
        <v>17873000</v>
      </c>
      <c r="W47" s="27">
        <v>16321000</v>
      </c>
      <c r="X47" s="27">
        <v>17591000</v>
      </c>
      <c r="Y47" s="27">
        <v>17911000</v>
      </c>
      <c r="Z47" s="27">
        <v>17591000</v>
      </c>
      <c r="AA47" s="27">
        <v>17693000</v>
      </c>
      <c r="AB47" s="27">
        <v>17612000</v>
      </c>
      <c r="AC47" s="27">
        <v>17795000</v>
      </c>
      <c r="AD47" s="27">
        <v>16590000</v>
      </c>
      <c r="AE47" s="27">
        <v>16590000</v>
      </c>
      <c r="AF47" s="27">
        <v>16590000</v>
      </c>
      <c r="AG47" s="27">
        <v>16590000</v>
      </c>
      <c r="AH47" s="27">
        <v>16568000</v>
      </c>
      <c r="AI47" s="27">
        <v>16706000</v>
      </c>
      <c r="AJ47" s="27">
        <v>16706000</v>
      </c>
      <c r="AK47" s="27">
        <v>16677000</v>
      </c>
      <c r="AL47" s="27">
        <v>16590000</v>
      </c>
      <c r="AM47" s="27">
        <v>16561000</v>
      </c>
      <c r="AN47" s="27">
        <v>16561000</v>
      </c>
      <c r="AO47" s="27">
        <v>16561000</v>
      </c>
      <c r="AP47" s="27"/>
      <c r="AQ47" s="27"/>
      <c r="AR47" s="27"/>
      <c r="AS47" s="27"/>
      <c r="AT47" s="27"/>
    </row>
    <row r="48" spans="1:46" ht="75" customHeight="1">
      <c r="A48" s="16" t="e">
        <f ca="1">_xludf.image("https://lh3.google.com/u/0/d/10xuLbEuabH6enU4Prwn1fDFnEerW_gF1",1)</f>
        <v>#NAME?</v>
      </c>
      <c r="B48" s="17" t="s">
        <v>364</v>
      </c>
      <c r="C48" s="153"/>
      <c r="D48" s="145"/>
      <c r="E48" s="146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3"/>
      <c r="AI48" s="63"/>
      <c r="AJ48" s="63"/>
      <c r="AK48" s="63"/>
      <c r="AL48" s="63"/>
      <c r="AM48" s="63"/>
      <c r="AN48" s="63"/>
      <c r="AO48" s="63"/>
      <c r="AP48" s="63"/>
      <c r="AQ48" s="63"/>
      <c r="AR48" s="63"/>
      <c r="AS48" s="63"/>
      <c r="AT48" s="63"/>
    </row>
    <row r="49" spans="1:46" ht="12.75">
      <c r="A49" s="20"/>
      <c r="B49" s="21" t="s">
        <v>365</v>
      </c>
      <c r="C49" s="73"/>
      <c r="D49" s="73"/>
      <c r="E49" s="74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</row>
    <row r="50" spans="1:46">
      <c r="A50" s="43"/>
      <c r="B50" s="25" t="s">
        <v>366</v>
      </c>
      <c r="C50" s="75">
        <v>600</v>
      </c>
      <c r="D50" s="75">
        <v>2400</v>
      </c>
      <c r="E50" s="75">
        <v>600</v>
      </c>
      <c r="F50" s="42">
        <v>11078000</v>
      </c>
      <c r="G50" s="42">
        <v>9510000</v>
      </c>
      <c r="H50" s="29"/>
      <c r="I50" s="42">
        <v>11222000</v>
      </c>
      <c r="J50" s="29"/>
      <c r="K50" s="27">
        <v>9003000</v>
      </c>
      <c r="L50" s="29"/>
      <c r="M50" s="29"/>
      <c r="N50" s="27">
        <v>8040000</v>
      </c>
      <c r="O50" s="27">
        <v>7751000</v>
      </c>
      <c r="P50" s="27">
        <v>8426000</v>
      </c>
      <c r="Q50" s="27">
        <v>8582000</v>
      </c>
      <c r="R50" s="27">
        <v>8654000</v>
      </c>
      <c r="S50" s="27">
        <v>8930000</v>
      </c>
      <c r="T50" s="27">
        <v>8930000</v>
      </c>
      <c r="U50" s="27">
        <v>8563000</v>
      </c>
      <c r="V50" s="27">
        <v>9062000</v>
      </c>
      <c r="W50" s="27">
        <v>8094000</v>
      </c>
      <c r="X50" s="27">
        <v>8891000</v>
      </c>
      <c r="Y50" s="27">
        <v>9089000</v>
      </c>
      <c r="Z50" s="27">
        <v>8891000</v>
      </c>
      <c r="AA50" s="27">
        <v>8951000</v>
      </c>
      <c r="AB50" s="27">
        <v>8901000</v>
      </c>
      <c r="AC50" s="27">
        <v>9014000</v>
      </c>
      <c r="AD50" s="27">
        <v>8248000</v>
      </c>
      <c r="AE50" s="27">
        <v>8248000</v>
      </c>
      <c r="AF50" s="27">
        <v>8248000</v>
      </c>
      <c r="AG50" s="27">
        <v>8248000</v>
      </c>
      <c r="AH50" s="27">
        <v>8234000</v>
      </c>
      <c r="AI50" s="27">
        <v>8320000</v>
      </c>
      <c r="AJ50" s="27">
        <v>8320000</v>
      </c>
      <c r="AK50" s="27">
        <v>8302000</v>
      </c>
      <c r="AL50" s="27">
        <v>8248000</v>
      </c>
      <c r="AM50" s="27">
        <v>8230000</v>
      </c>
      <c r="AN50" s="27">
        <v>8230000</v>
      </c>
      <c r="AO50" s="27">
        <v>8230000</v>
      </c>
      <c r="AP50" s="27">
        <v>8253000</v>
      </c>
      <c r="AQ50" s="27">
        <v>8167000</v>
      </c>
      <c r="AR50" s="27">
        <v>8167000</v>
      </c>
      <c r="AS50" s="27">
        <v>8253000</v>
      </c>
      <c r="AT50" s="27">
        <v>8757000</v>
      </c>
    </row>
    <row r="51" spans="1:46">
      <c r="A51" s="43"/>
      <c r="B51" s="25" t="s">
        <v>367</v>
      </c>
      <c r="C51" s="75">
        <v>600</v>
      </c>
      <c r="D51" s="75">
        <v>2700</v>
      </c>
      <c r="E51" s="75">
        <v>600</v>
      </c>
      <c r="F51" s="42">
        <v>13131000</v>
      </c>
      <c r="G51" s="42">
        <v>11092000</v>
      </c>
      <c r="H51" s="29"/>
      <c r="I51" s="42">
        <v>13217000</v>
      </c>
      <c r="J51" s="29"/>
      <c r="K51" s="27">
        <v>10349000</v>
      </c>
      <c r="L51" s="29"/>
      <c r="M51" s="29"/>
      <c r="N51" s="27">
        <v>9250000</v>
      </c>
      <c r="O51" s="27">
        <v>8891000</v>
      </c>
      <c r="P51" s="27">
        <v>9709000</v>
      </c>
      <c r="Q51" s="27">
        <v>9895000</v>
      </c>
      <c r="R51" s="27">
        <v>9971000</v>
      </c>
      <c r="S51" s="27">
        <v>10302000</v>
      </c>
      <c r="T51" s="27">
        <v>10302000</v>
      </c>
      <c r="U51" s="27">
        <v>9877000</v>
      </c>
      <c r="V51" s="27">
        <v>10494000</v>
      </c>
      <c r="W51" s="27">
        <v>9298000</v>
      </c>
      <c r="X51" s="27">
        <v>10276000</v>
      </c>
      <c r="Y51" s="27">
        <v>10522000</v>
      </c>
      <c r="Z51" s="27">
        <v>10276000</v>
      </c>
      <c r="AA51" s="27">
        <v>10355000</v>
      </c>
      <c r="AB51" s="27">
        <v>10292000</v>
      </c>
      <c r="AC51" s="27">
        <v>10433000</v>
      </c>
      <c r="AD51" s="27">
        <v>9506000</v>
      </c>
      <c r="AE51" s="27">
        <v>9506000</v>
      </c>
      <c r="AF51" s="27">
        <v>9506000</v>
      </c>
      <c r="AG51" s="27">
        <v>9506000</v>
      </c>
      <c r="AH51" s="27">
        <v>9490000</v>
      </c>
      <c r="AI51" s="27">
        <v>9596000</v>
      </c>
      <c r="AJ51" s="27">
        <v>9596000</v>
      </c>
      <c r="AK51" s="27">
        <v>9573000</v>
      </c>
      <c r="AL51" s="27">
        <v>9506000</v>
      </c>
      <c r="AM51" s="27">
        <v>9484000</v>
      </c>
      <c r="AN51" s="27">
        <v>9484000</v>
      </c>
      <c r="AO51" s="27">
        <v>9484000</v>
      </c>
      <c r="AP51" s="27"/>
      <c r="AQ51" s="27"/>
      <c r="AR51" s="27"/>
      <c r="AS51" s="27"/>
      <c r="AT51" s="27"/>
    </row>
    <row r="52" spans="1:46" ht="75" customHeight="1">
      <c r="A52" s="16" t="e">
        <f ca="1">_xludf.image("https://lh3.google.com/u/0/d/1fWhh2zc_T7ehCkHfA8PKZU0b-1PNBhq4",1)</f>
        <v>#NAME?</v>
      </c>
      <c r="B52" s="17" t="s">
        <v>368</v>
      </c>
      <c r="C52" s="153"/>
      <c r="D52" s="145"/>
      <c r="E52" s="146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  <c r="AA52" s="63"/>
      <c r="AB52" s="63"/>
      <c r="AC52" s="63"/>
      <c r="AD52" s="63"/>
      <c r="AE52" s="63"/>
      <c r="AF52" s="63"/>
      <c r="AG52" s="63"/>
      <c r="AH52" s="63"/>
      <c r="AI52" s="63"/>
      <c r="AJ52" s="63"/>
      <c r="AK52" s="63"/>
      <c r="AL52" s="63"/>
      <c r="AM52" s="63"/>
      <c r="AN52" s="63"/>
      <c r="AO52" s="63"/>
      <c r="AP52" s="63"/>
      <c r="AQ52" s="63"/>
      <c r="AR52" s="63"/>
      <c r="AS52" s="63"/>
      <c r="AT52" s="63"/>
    </row>
    <row r="53" spans="1:46" ht="12.75">
      <c r="A53" s="20"/>
      <c r="B53" s="52" t="s">
        <v>369</v>
      </c>
      <c r="C53" s="73"/>
      <c r="D53" s="73"/>
      <c r="E53" s="74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</row>
    <row r="54" spans="1:46">
      <c r="A54" s="43"/>
      <c r="B54" s="25" t="s">
        <v>370</v>
      </c>
      <c r="C54" s="75">
        <v>600</v>
      </c>
      <c r="D54" s="75">
        <v>2400</v>
      </c>
      <c r="E54" s="75">
        <v>750</v>
      </c>
      <c r="F54" s="42">
        <v>23051000</v>
      </c>
      <c r="G54" s="42">
        <v>20365000</v>
      </c>
      <c r="H54" s="29"/>
      <c r="I54" s="42">
        <v>23297000</v>
      </c>
      <c r="J54" s="29"/>
      <c r="K54" s="29"/>
      <c r="L54" s="29"/>
      <c r="M54" s="29"/>
      <c r="N54" s="27">
        <v>17824000</v>
      </c>
      <c r="O54" s="27">
        <v>17329000</v>
      </c>
      <c r="P54" s="27">
        <v>18458000</v>
      </c>
      <c r="Q54" s="27">
        <v>18715000</v>
      </c>
      <c r="R54" s="27">
        <v>18821000</v>
      </c>
      <c r="S54" s="27">
        <v>19278000</v>
      </c>
      <c r="T54" s="27">
        <v>19278000</v>
      </c>
      <c r="U54" s="27">
        <v>18690000</v>
      </c>
      <c r="V54" s="27">
        <v>19541000</v>
      </c>
      <c r="W54" s="27">
        <v>17892000</v>
      </c>
      <c r="X54" s="27">
        <v>19241000</v>
      </c>
      <c r="Y54" s="27">
        <v>19581000</v>
      </c>
      <c r="Z54" s="27">
        <v>19241000</v>
      </c>
      <c r="AA54" s="27">
        <v>19350000</v>
      </c>
      <c r="AB54" s="27">
        <v>19263000</v>
      </c>
      <c r="AC54" s="27">
        <v>19458000</v>
      </c>
      <c r="AD54" s="27">
        <v>18178000</v>
      </c>
      <c r="AE54" s="27">
        <v>18178000</v>
      </c>
      <c r="AF54" s="27">
        <v>18178000</v>
      </c>
      <c r="AG54" s="27">
        <v>18178000</v>
      </c>
      <c r="AH54" s="27">
        <v>18155000</v>
      </c>
      <c r="AI54" s="27">
        <v>18302000</v>
      </c>
      <c r="AJ54" s="27">
        <v>18302000</v>
      </c>
      <c r="AK54" s="27">
        <v>18271000</v>
      </c>
      <c r="AL54" s="27">
        <v>18178000</v>
      </c>
      <c r="AM54" s="27">
        <v>18148000</v>
      </c>
      <c r="AN54" s="27">
        <v>18148000</v>
      </c>
      <c r="AO54" s="27">
        <v>18148000</v>
      </c>
      <c r="AP54" s="27">
        <v>18127000</v>
      </c>
      <c r="AQ54" s="27">
        <v>17978000</v>
      </c>
      <c r="AR54" s="27">
        <v>17978000</v>
      </c>
      <c r="AS54" s="27">
        <v>18127000</v>
      </c>
      <c r="AT54" s="27">
        <v>19006000</v>
      </c>
    </row>
    <row r="55" spans="1:46">
      <c r="A55" s="43"/>
      <c r="B55" s="25" t="s">
        <v>371</v>
      </c>
      <c r="C55" s="75">
        <v>600</v>
      </c>
      <c r="D55" s="75">
        <v>2700</v>
      </c>
      <c r="E55" s="75">
        <v>750</v>
      </c>
      <c r="F55" s="42">
        <v>25845000</v>
      </c>
      <c r="G55" s="42">
        <v>22453000</v>
      </c>
      <c r="H55" s="29"/>
      <c r="I55" s="42">
        <v>25903000</v>
      </c>
      <c r="J55" s="29"/>
      <c r="K55" s="29"/>
      <c r="L55" s="29"/>
      <c r="M55" s="29"/>
      <c r="N55" s="27">
        <v>19445000</v>
      </c>
      <c r="O55" s="27">
        <v>18863000</v>
      </c>
      <c r="P55" s="27">
        <v>20169000</v>
      </c>
      <c r="Q55" s="27">
        <v>20461000</v>
      </c>
      <c r="R55" s="27">
        <v>20571000</v>
      </c>
      <c r="S55" s="27">
        <v>21095000</v>
      </c>
      <c r="T55" s="27">
        <v>21095000</v>
      </c>
      <c r="U55" s="27">
        <v>20438000</v>
      </c>
      <c r="V55" s="27">
        <v>21436000</v>
      </c>
      <c r="W55" s="27">
        <v>19504000</v>
      </c>
      <c r="X55" s="27">
        <v>21079000</v>
      </c>
      <c r="Y55" s="27">
        <v>21478000</v>
      </c>
      <c r="Z55" s="27">
        <v>21079000</v>
      </c>
      <c r="AA55" s="27">
        <v>21210000</v>
      </c>
      <c r="AB55" s="27">
        <v>21109000</v>
      </c>
      <c r="AC55" s="27">
        <v>21337000</v>
      </c>
      <c r="AD55" s="27">
        <v>19861000</v>
      </c>
      <c r="AE55" s="27">
        <v>19861000</v>
      </c>
      <c r="AF55" s="27">
        <v>19861000</v>
      </c>
      <c r="AG55" s="27">
        <v>19861000</v>
      </c>
      <c r="AH55" s="27">
        <v>19833000</v>
      </c>
      <c r="AI55" s="27">
        <v>20006000</v>
      </c>
      <c r="AJ55" s="27">
        <v>20006000</v>
      </c>
      <c r="AK55" s="27">
        <v>19969000</v>
      </c>
      <c r="AL55" s="27">
        <v>19861000</v>
      </c>
      <c r="AM55" s="27">
        <v>19824000</v>
      </c>
      <c r="AN55" s="27">
        <v>19824000</v>
      </c>
      <c r="AO55" s="27">
        <v>19824000</v>
      </c>
      <c r="AP55" s="27"/>
      <c r="AQ55" s="27"/>
      <c r="AR55" s="27"/>
      <c r="AS55" s="27"/>
      <c r="AT55" s="27"/>
    </row>
    <row r="56" spans="1:46">
      <c r="A56" s="43"/>
      <c r="B56" s="25" t="s">
        <v>372</v>
      </c>
      <c r="C56" s="75">
        <v>600</v>
      </c>
      <c r="D56" s="75">
        <v>2400</v>
      </c>
      <c r="E56" s="75">
        <v>750</v>
      </c>
      <c r="F56" s="42">
        <v>17151000</v>
      </c>
      <c r="G56" s="42">
        <v>15192000</v>
      </c>
      <c r="H56" s="29"/>
      <c r="I56" s="42">
        <v>17331000</v>
      </c>
      <c r="J56" s="29"/>
      <c r="K56" s="27">
        <v>14466000</v>
      </c>
      <c r="L56" s="29"/>
      <c r="M56" s="29"/>
      <c r="N56" s="27">
        <v>13337000</v>
      </c>
      <c r="O56" s="27">
        <v>12976000</v>
      </c>
      <c r="P56" s="27">
        <v>13799000</v>
      </c>
      <c r="Q56" s="27">
        <v>13985000</v>
      </c>
      <c r="R56" s="27">
        <v>14062000</v>
      </c>
      <c r="S56" s="27">
        <v>14394000</v>
      </c>
      <c r="T56" s="27">
        <v>14394000</v>
      </c>
      <c r="U56" s="27">
        <v>13967000</v>
      </c>
      <c r="V56" s="27">
        <v>14588000</v>
      </c>
      <c r="W56" s="27">
        <v>13385000</v>
      </c>
      <c r="X56" s="27">
        <v>14369000</v>
      </c>
      <c r="Y56" s="27">
        <v>14617000</v>
      </c>
      <c r="Z56" s="27">
        <v>14369000</v>
      </c>
      <c r="AA56" s="27">
        <v>14448000</v>
      </c>
      <c r="AB56" s="27">
        <v>14386000</v>
      </c>
      <c r="AC56" s="27">
        <v>14527000</v>
      </c>
      <c r="AD56" s="27">
        <v>13596000</v>
      </c>
      <c r="AE56" s="27">
        <v>13596000</v>
      </c>
      <c r="AF56" s="27">
        <v>13596000</v>
      </c>
      <c r="AG56" s="27">
        <v>13596000</v>
      </c>
      <c r="AH56" s="27">
        <v>13579000</v>
      </c>
      <c r="AI56" s="27">
        <v>13686000</v>
      </c>
      <c r="AJ56" s="27">
        <v>13686000</v>
      </c>
      <c r="AK56" s="27">
        <v>13663000</v>
      </c>
      <c r="AL56" s="27">
        <v>13596000</v>
      </c>
      <c r="AM56" s="27">
        <v>13573000</v>
      </c>
      <c r="AN56" s="27">
        <v>13573000</v>
      </c>
      <c r="AO56" s="27">
        <v>13573000</v>
      </c>
      <c r="AP56" s="27">
        <v>13555000</v>
      </c>
      <c r="AQ56" s="27">
        <v>13447000</v>
      </c>
      <c r="AR56" s="27">
        <v>13447000</v>
      </c>
      <c r="AS56" s="27">
        <v>13555000</v>
      </c>
      <c r="AT56" s="27">
        <v>14197000</v>
      </c>
    </row>
    <row r="57" spans="1:46">
      <c r="A57" s="43"/>
      <c r="B57" s="25" t="s">
        <v>373</v>
      </c>
      <c r="C57" s="75">
        <v>600</v>
      </c>
      <c r="D57" s="75">
        <v>2700</v>
      </c>
      <c r="E57" s="75">
        <v>750</v>
      </c>
      <c r="F57" s="42">
        <v>19835000</v>
      </c>
      <c r="G57" s="42">
        <v>17280000</v>
      </c>
      <c r="H57" s="29"/>
      <c r="I57" s="42">
        <v>19936000</v>
      </c>
      <c r="J57" s="29"/>
      <c r="K57" s="27">
        <v>16239000</v>
      </c>
      <c r="L57" s="29"/>
      <c r="M57" s="29"/>
      <c r="N57" s="27">
        <v>14959000</v>
      </c>
      <c r="O57" s="27">
        <v>14510000</v>
      </c>
      <c r="P57" s="27">
        <v>15510000</v>
      </c>
      <c r="Q57" s="27">
        <v>15731000</v>
      </c>
      <c r="R57" s="27">
        <v>15811000</v>
      </c>
      <c r="S57" s="27">
        <v>16212000</v>
      </c>
      <c r="T57" s="27">
        <v>16212000</v>
      </c>
      <c r="U57" s="27">
        <v>15716000</v>
      </c>
      <c r="V57" s="27">
        <v>16483000</v>
      </c>
      <c r="W57" s="27">
        <v>14997000</v>
      </c>
      <c r="X57" s="27">
        <v>16206000</v>
      </c>
      <c r="Y57" s="27">
        <v>16514000</v>
      </c>
      <c r="Z57" s="27">
        <v>16206000</v>
      </c>
      <c r="AA57" s="27">
        <v>16309000</v>
      </c>
      <c r="AB57" s="27">
        <v>16231000</v>
      </c>
      <c r="AC57" s="27">
        <v>16407000</v>
      </c>
      <c r="AD57" s="27">
        <v>15278000</v>
      </c>
      <c r="AE57" s="27">
        <v>15278000</v>
      </c>
      <c r="AF57" s="27">
        <v>15278000</v>
      </c>
      <c r="AG57" s="27">
        <v>15278000</v>
      </c>
      <c r="AH57" s="27">
        <v>15257000</v>
      </c>
      <c r="AI57" s="27">
        <v>15390000</v>
      </c>
      <c r="AJ57" s="27">
        <v>15390000</v>
      </c>
      <c r="AK57" s="27">
        <v>15362000</v>
      </c>
      <c r="AL57" s="27">
        <v>15278000</v>
      </c>
      <c r="AM57" s="27">
        <v>15250000</v>
      </c>
      <c r="AN57" s="27">
        <v>15250000</v>
      </c>
      <c r="AO57" s="27">
        <v>15250000</v>
      </c>
      <c r="AP57" s="27"/>
      <c r="AQ57" s="27"/>
      <c r="AR57" s="27"/>
      <c r="AS57" s="27"/>
      <c r="AT57" s="27"/>
    </row>
    <row r="58" spans="1:46" ht="75" customHeight="1">
      <c r="A58" s="16" t="e">
        <f ca="1">_xludf.image("https://lh3.google.com/u/0/d/1-XwB0PhX9Zh4uiMcCIduGlGeWgy5y8ZE",1)</f>
        <v>#NAME?</v>
      </c>
      <c r="B58" s="17" t="s">
        <v>374</v>
      </c>
      <c r="C58" s="153"/>
      <c r="D58" s="145"/>
      <c r="E58" s="146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  <c r="AA58" s="63"/>
      <c r="AB58" s="63"/>
      <c r="AC58" s="63"/>
      <c r="AD58" s="63"/>
      <c r="AE58" s="63"/>
      <c r="AF58" s="63"/>
      <c r="AG58" s="63"/>
      <c r="AH58" s="63"/>
      <c r="AI58" s="63"/>
      <c r="AJ58" s="63"/>
      <c r="AK58" s="63"/>
      <c r="AL58" s="63"/>
      <c r="AM58" s="63"/>
      <c r="AN58" s="63"/>
      <c r="AO58" s="63"/>
      <c r="AP58" s="63"/>
      <c r="AQ58" s="63"/>
      <c r="AR58" s="63"/>
      <c r="AS58" s="63"/>
      <c r="AT58" s="63"/>
    </row>
    <row r="59" spans="1:46" ht="12.75">
      <c r="A59" s="20"/>
      <c r="B59" s="52"/>
      <c r="C59" s="73"/>
      <c r="D59" s="73"/>
      <c r="E59" s="74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</row>
    <row r="60" spans="1:46">
      <c r="A60" s="43"/>
      <c r="B60" s="25" t="s">
        <v>375</v>
      </c>
      <c r="C60" s="75">
        <v>600</v>
      </c>
      <c r="D60" s="75">
        <v>2400</v>
      </c>
      <c r="E60" s="75">
        <v>1200</v>
      </c>
      <c r="F60" s="42">
        <v>17969000</v>
      </c>
      <c r="G60" s="42">
        <v>14936000</v>
      </c>
      <c r="H60" s="29"/>
      <c r="I60" s="42">
        <v>18248000</v>
      </c>
      <c r="J60" s="29"/>
      <c r="K60" s="27">
        <v>13379000</v>
      </c>
      <c r="L60" s="29"/>
      <c r="M60" s="29"/>
      <c r="N60" s="27">
        <v>11997000</v>
      </c>
      <c r="O60" s="27">
        <v>11437000</v>
      </c>
      <c r="P60" s="27">
        <v>12627000</v>
      </c>
      <c r="Q60" s="27">
        <v>12879000</v>
      </c>
      <c r="R60" s="27">
        <v>12941000</v>
      </c>
      <c r="S60" s="27">
        <v>13407000</v>
      </c>
      <c r="T60" s="27">
        <v>13407000</v>
      </c>
      <c r="U60" s="27">
        <v>12876000</v>
      </c>
      <c r="V60" s="27">
        <v>13824000</v>
      </c>
      <c r="W60" s="27">
        <v>11991000</v>
      </c>
      <c r="X60" s="27">
        <v>13466000</v>
      </c>
      <c r="Y60" s="27">
        <v>13849000</v>
      </c>
      <c r="Z60" s="27">
        <v>13466000</v>
      </c>
      <c r="AA60" s="27">
        <v>13604000</v>
      </c>
      <c r="AB60" s="27">
        <v>13506000</v>
      </c>
      <c r="AC60" s="27">
        <v>13726000</v>
      </c>
      <c r="AD60" s="27">
        <v>12391000</v>
      </c>
      <c r="AE60" s="27">
        <v>12391000</v>
      </c>
      <c r="AF60" s="27">
        <v>12391000</v>
      </c>
      <c r="AG60" s="27">
        <v>12391000</v>
      </c>
      <c r="AH60" s="27">
        <v>12365000</v>
      </c>
      <c r="AI60" s="27">
        <v>12530000</v>
      </c>
      <c r="AJ60" s="27">
        <v>12530000</v>
      </c>
      <c r="AK60" s="27">
        <v>12495000</v>
      </c>
      <c r="AL60" s="27">
        <v>12391000</v>
      </c>
      <c r="AM60" s="27">
        <v>12356000</v>
      </c>
      <c r="AN60" s="27">
        <v>12356000</v>
      </c>
      <c r="AO60" s="27">
        <v>12356000</v>
      </c>
      <c r="AP60" s="27">
        <v>12136000</v>
      </c>
      <c r="AQ60" s="27">
        <v>11968000</v>
      </c>
      <c r="AR60" s="27">
        <v>11968000</v>
      </c>
      <c r="AS60" s="27">
        <v>12136000</v>
      </c>
      <c r="AT60" s="27">
        <v>13181000</v>
      </c>
    </row>
    <row r="61" spans="1:46">
      <c r="A61" s="43"/>
      <c r="B61" s="25" t="s">
        <v>376</v>
      </c>
      <c r="C61" s="75">
        <v>600</v>
      </c>
      <c r="D61" s="75">
        <v>2700</v>
      </c>
      <c r="E61" s="75">
        <v>1200</v>
      </c>
      <c r="F61" s="42">
        <v>21077000</v>
      </c>
      <c r="G61" s="27">
        <v>17003000</v>
      </c>
      <c r="H61" s="29"/>
      <c r="I61" s="27">
        <v>20729000</v>
      </c>
      <c r="J61" s="29"/>
      <c r="K61" s="27">
        <v>15210000</v>
      </c>
      <c r="L61" s="29"/>
      <c r="M61" s="29"/>
      <c r="N61" s="27">
        <v>13693000</v>
      </c>
      <c r="O61" s="27">
        <v>13064000</v>
      </c>
      <c r="P61" s="27">
        <v>14397000</v>
      </c>
      <c r="Q61" s="27">
        <v>14677000</v>
      </c>
      <c r="R61" s="27">
        <v>14744000</v>
      </c>
      <c r="S61" s="27">
        <v>15266000</v>
      </c>
      <c r="T61" s="27">
        <v>15266000</v>
      </c>
      <c r="U61" s="27">
        <v>14676000</v>
      </c>
      <c r="V61" s="27">
        <v>15741000</v>
      </c>
      <c r="W61" s="27">
        <v>13681000</v>
      </c>
      <c r="X61" s="27">
        <v>15338000</v>
      </c>
      <c r="Y61" s="27">
        <v>15769000</v>
      </c>
      <c r="Z61" s="27">
        <v>15338000</v>
      </c>
      <c r="AA61" s="27">
        <v>15494000</v>
      </c>
      <c r="AB61" s="27">
        <v>15384000</v>
      </c>
      <c r="AC61" s="27">
        <v>15631000</v>
      </c>
      <c r="AD61" s="27">
        <v>14136000</v>
      </c>
      <c r="AE61" s="27">
        <v>14136000</v>
      </c>
      <c r="AF61" s="27">
        <v>14136000</v>
      </c>
      <c r="AG61" s="27">
        <v>14136000</v>
      </c>
      <c r="AH61" s="27">
        <v>14106000</v>
      </c>
      <c r="AI61" s="27">
        <v>14292000</v>
      </c>
      <c r="AJ61" s="27">
        <v>14292000</v>
      </c>
      <c r="AK61" s="27">
        <v>14253000</v>
      </c>
      <c r="AL61" s="27">
        <v>14136000</v>
      </c>
      <c r="AM61" s="27">
        <v>14096000</v>
      </c>
      <c r="AN61" s="27">
        <v>14096000</v>
      </c>
      <c r="AO61" s="27">
        <v>14096000</v>
      </c>
      <c r="AP61" s="27"/>
      <c r="AQ61" s="27"/>
      <c r="AR61" s="27"/>
      <c r="AS61" s="27"/>
      <c r="AT61" s="27"/>
    </row>
    <row r="62" spans="1:46" ht="75" customHeight="1">
      <c r="A62" s="16" t="e">
        <f ca="1">_xludf.image("https://lh3.google.com/u/0/d/1c8BP0N73IVUbajqo__gsVzCrYSwbMpoo",1)</f>
        <v>#NAME?</v>
      </c>
      <c r="B62" s="17" t="s">
        <v>377</v>
      </c>
      <c r="C62" s="153"/>
      <c r="D62" s="145"/>
      <c r="E62" s="146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  <c r="AA62" s="63"/>
      <c r="AB62" s="63"/>
      <c r="AC62" s="63"/>
      <c r="AD62" s="63"/>
      <c r="AE62" s="63"/>
      <c r="AF62" s="63"/>
      <c r="AG62" s="63"/>
      <c r="AH62" s="63"/>
      <c r="AI62" s="63"/>
      <c r="AJ62" s="63"/>
      <c r="AK62" s="63"/>
      <c r="AL62" s="63"/>
      <c r="AM62" s="63"/>
      <c r="AN62" s="63"/>
      <c r="AO62" s="63"/>
      <c r="AP62" s="63"/>
      <c r="AQ62" s="63"/>
      <c r="AR62" s="63"/>
      <c r="AS62" s="63"/>
      <c r="AT62" s="63"/>
    </row>
    <row r="63" spans="1:46" ht="12.75">
      <c r="A63" s="20"/>
      <c r="B63" s="52"/>
      <c r="C63" s="73"/>
      <c r="D63" s="73"/>
      <c r="E63" s="74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</row>
    <row r="64" spans="1:46">
      <c r="A64" s="43"/>
      <c r="B64" s="25" t="s">
        <v>378</v>
      </c>
      <c r="C64" s="75">
        <v>700</v>
      </c>
      <c r="D64" s="75">
        <v>2400</v>
      </c>
      <c r="E64" s="75">
        <v>700</v>
      </c>
      <c r="F64" s="27">
        <v>17843000</v>
      </c>
      <c r="G64" s="27">
        <v>10765000</v>
      </c>
      <c r="H64" s="29"/>
      <c r="I64" s="27">
        <v>18493000</v>
      </c>
      <c r="J64" s="29"/>
      <c r="K64" s="27">
        <v>3789000</v>
      </c>
      <c r="L64" s="29"/>
      <c r="M64" s="29"/>
      <c r="N64" s="27">
        <v>3762000</v>
      </c>
      <c r="O64" s="27">
        <v>2456000</v>
      </c>
      <c r="P64" s="27">
        <v>5051000</v>
      </c>
      <c r="Q64" s="27">
        <v>5555000</v>
      </c>
      <c r="R64" s="27">
        <v>5578000</v>
      </c>
      <c r="S64" s="27">
        <v>6560000</v>
      </c>
      <c r="T64" s="27">
        <v>6560000</v>
      </c>
      <c r="U64" s="27">
        <v>5604000</v>
      </c>
      <c r="V64" s="27">
        <v>7785000</v>
      </c>
      <c r="W64" s="27">
        <v>3573000</v>
      </c>
      <c r="X64" s="27">
        <v>6910000</v>
      </c>
      <c r="Y64" s="27">
        <v>7804000</v>
      </c>
      <c r="Z64" s="27">
        <v>6910000</v>
      </c>
      <c r="AA64" s="27">
        <v>7264000</v>
      </c>
      <c r="AB64" s="27">
        <v>7037000</v>
      </c>
      <c r="AC64" s="27">
        <v>7549000</v>
      </c>
      <c r="AD64" s="27">
        <v>4666000</v>
      </c>
      <c r="AE64" s="27">
        <v>4666000</v>
      </c>
      <c r="AF64" s="27">
        <v>4666000</v>
      </c>
      <c r="AG64" s="27">
        <v>4666000</v>
      </c>
      <c r="AH64" s="27">
        <v>4606000</v>
      </c>
      <c r="AI64" s="27">
        <v>4991000</v>
      </c>
      <c r="AJ64" s="27">
        <v>4991000</v>
      </c>
      <c r="AK64" s="27">
        <v>4910000</v>
      </c>
      <c r="AL64" s="27">
        <v>4666000</v>
      </c>
      <c r="AM64" s="27">
        <v>4585000</v>
      </c>
      <c r="AN64" s="27">
        <v>4585000</v>
      </c>
      <c r="AO64" s="27">
        <v>4585000</v>
      </c>
      <c r="AP64" s="27">
        <v>3655000</v>
      </c>
      <c r="AQ64" s="27">
        <v>3265000</v>
      </c>
      <c r="AR64" s="27">
        <v>3265000</v>
      </c>
      <c r="AS64" s="27">
        <v>3655000</v>
      </c>
      <c r="AT64" s="27">
        <v>6204000</v>
      </c>
    </row>
    <row r="65" spans="1:46">
      <c r="A65" s="43"/>
      <c r="B65" s="25" t="s">
        <v>379</v>
      </c>
      <c r="C65" s="75">
        <v>700</v>
      </c>
      <c r="D65" s="75">
        <v>2700</v>
      </c>
      <c r="E65" s="75">
        <v>700</v>
      </c>
      <c r="F65" s="27">
        <v>21561000</v>
      </c>
      <c r="G65" s="27">
        <v>12056000</v>
      </c>
      <c r="H65" s="29"/>
      <c r="I65" s="27">
        <v>20750000</v>
      </c>
      <c r="J65" s="29"/>
      <c r="K65" s="27">
        <v>4161000</v>
      </c>
      <c r="L65" s="29"/>
      <c r="M65" s="29"/>
      <c r="N65" s="27">
        <v>4175000</v>
      </c>
      <c r="O65" s="27">
        <v>2706000</v>
      </c>
      <c r="P65" s="27">
        <v>5622000</v>
      </c>
      <c r="Q65" s="27">
        <v>6188000</v>
      </c>
      <c r="R65" s="27">
        <v>6212000</v>
      </c>
      <c r="S65" s="27">
        <v>7315000</v>
      </c>
      <c r="T65" s="27">
        <v>7315000</v>
      </c>
      <c r="U65" s="27">
        <v>6245000</v>
      </c>
      <c r="V65" s="27">
        <v>8697000</v>
      </c>
      <c r="W65" s="27">
        <v>3960000</v>
      </c>
      <c r="X65" s="27">
        <v>7712000</v>
      </c>
      <c r="Y65" s="27">
        <v>8718000</v>
      </c>
      <c r="Z65" s="27">
        <v>7712000</v>
      </c>
      <c r="AA65" s="27">
        <v>8111000</v>
      </c>
      <c r="AB65" s="27">
        <v>7855000</v>
      </c>
      <c r="AC65" s="27">
        <v>8431000</v>
      </c>
      <c r="AD65" s="27">
        <v>5193000</v>
      </c>
      <c r="AE65" s="27">
        <v>5193000</v>
      </c>
      <c r="AF65" s="27">
        <v>5193000</v>
      </c>
      <c r="AG65" s="27">
        <v>5193000</v>
      </c>
      <c r="AH65" s="27">
        <v>5124000</v>
      </c>
      <c r="AI65" s="27">
        <v>5558000</v>
      </c>
      <c r="AJ65" s="27">
        <v>5558000</v>
      </c>
      <c r="AK65" s="27">
        <v>5467000</v>
      </c>
      <c r="AL65" s="27">
        <v>5193000</v>
      </c>
      <c r="AM65" s="27">
        <v>5102000</v>
      </c>
      <c r="AN65" s="27">
        <v>5102000</v>
      </c>
      <c r="AO65" s="27">
        <v>5102000</v>
      </c>
      <c r="AP65" s="27"/>
      <c r="AQ65" s="27"/>
      <c r="AR65" s="27"/>
      <c r="AS65" s="27"/>
      <c r="AT65" s="27"/>
    </row>
    <row r="66" spans="1:46">
      <c r="A66" s="43"/>
      <c r="B66" s="25" t="s">
        <v>380</v>
      </c>
      <c r="C66" s="75">
        <v>700</v>
      </c>
      <c r="D66" s="75">
        <v>2400</v>
      </c>
      <c r="E66" s="75">
        <v>940</v>
      </c>
      <c r="F66" s="27">
        <v>18014000</v>
      </c>
      <c r="G66" s="27">
        <v>10936000</v>
      </c>
      <c r="H66" s="29"/>
      <c r="I66" s="27">
        <v>18664000</v>
      </c>
      <c r="J66" s="29"/>
      <c r="K66" s="27">
        <v>4792000</v>
      </c>
      <c r="L66" s="29"/>
      <c r="M66" s="29"/>
      <c r="N66" s="27">
        <v>3933000</v>
      </c>
      <c r="O66" s="27">
        <v>2627000</v>
      </c>
      <c r="P66" s="27">
        <v>5222000</v>
      </c>
      <c r="Q66" s="27">
        <v>5726000</v>
      </c>
      <c r="R66" s="27">
        <v>5749000</v>
      </c>
      <c r="S66" s="27">
        <v>6731000</v>
      </c>
      <c r="T66" s="27">
        <v>6731000</v>
      </c>
      <c r="U66" s="27">
        <v>5775000</v>
      </c>
      <c r="V66" s="27">
        <v>7955000</v>
      </c>
      <c r="W66" s="27">
        <v>3744000</v>
      </c>
      <c r="X66" s="27">
        <v>7081000</v>
      </c>
      <c r="Y66" s="27">
        <v>7975000</v>
      </c>
      <c r="Z66" s="27">
        <v>7081000</v>
      </c>
      <c r="AA66" s="27">
        <v>7435000</v>
      </c>
      <c r="AB66" s="27">
        <v>7208000</v>
      </c>
      <c r="AC66" s="27">
        <v>7720000</v>
      </c>
      <c r="AD66" s="27">
        <v>4837000</v>
      </c>
      <c r="AE66" s="27">
        <v>4837000</v>
      </c>
      <c r="AF66" s="27">
        <v>4837000</v>
      </c>
      <c r="AG66" s="27">
        <v>4837000</v>
      </c>
      <c r="AH66" s="27">
        <v>4777000</v>
      </c>
      <c r="AI66" s="27">
        <v>5162000</v>
      </c>
      <c r="AJ66" s="27">
        <v>5162000</v>
      </c>
      <c r="AK66" s="27">
        <v>5081000</v>
      </c>
      <c r="AL66" s="27">
        <v>4837000</v>
      </c>
      <c r="AM66" s="27">
        <v>4756000</v>
      </c>
      <c r="AN66" s="27">
        <v>4756000</v>
      </c>
      <c r="AO66" s="27">
        <v>4756000</v>
      </c>
      <c r="AP66" s="27">
        <v>3826000</v>
      </c>
      <c r="AQ66" s="27">
        <v>3436000</v>
      </c>
      <c r="AR66" s="27">
        <v>3436000</v>
      </c>
      <c r="AS66" s="27">
        <v>3826000</v>
      </c>
      <c r="AT66" s="27">
        <v>6375000</v>
      </c>
    </row>
    <row r="67" spans="1:46">
      <c r="A67" s="43"/>
      <c r="B67" s="25" t="s">
        <v>381</v>
      </c>
      <c r="C67" s="75">
        <v>700</v>
      </c>
      <c r="D67" s="75">
        <v>2700</v>
      </c>
      <c r="E67" s="75">
        <v>940</v>
      </c>
      <c r="F67" s="27">
        <v>21732000</v>
      </c>
      <c r="G67" s="27">
        <v>12227000</v>
      </c>
      <c r="H67" s="29"/>
      <c r="I67" s="27">
        <v>20921000</v>
      </c>
      <c r="J67" s="29"/>
      <c r="K67" s="27">
        <v>5253000</v>
      </c>
      <c r="L67" s="29"/>
      <c r="M67" s="29"/>
      <c r="N67" s="27">
        <v>4346000</v>
      </c>
      <c r="O67" s="27">
        <v>2877000</v>
      </c>
      <c r="P67" s="27">
        <v>5793000</v>
      </c>
      <c r="Q67" s="27">
        <v>6359000</v>
      </c>
      <c r="R67" s="27">
        <v>6383000</v>
      </c>
      <c r="S67" s="27">
        <v>7486000</v>
      </c>
      <c r="T67" s="27">
        <v>7486000</v>
      </c>
      <c r="U67" s="27">
        <v>6416000</v>
      </c>
      <c r="V67" s="27">
        <v>8868000</v>
      </c>
      <c r="W67" s="27">
        <v>4131000</v>
      </c>
      <c r="X67" s="27">
        <v>7883000</v>
      </c>
      <c r="Y67" s="27">
        <v>8889000</v>
      </c>
      <c r="Z67" s="27">
        <v>7883000</v>
      </c>
      <c r="AA67" s="27">
        <v>8282000</v>
      </c>
      <c r="AB67" s="27">
        <v>8026000</v>
      </c>
      <c r="AC67" s="27">
        <v>8602000</v>
      </c>
      <c r="AD67" s="27">
        <v>5364000</v>
      </c>
      <c r="AE67" s="27">
        <v>5364000</v>
      </c>
      <c r="AF67" s="27">
        <v>5364000</v>
      </c>
      <c r="AG67" s="27">
        <v>5364000</v>
      </c>
      <c r="AH67" s="27">
        <v>5295000</v>
      </c>
      <c r="AI67" s="27">
        <v>5729000</v>
      </c>
      <c r="AJ67" s="27">
        <v>5729000</v>
      </c>
      <c r="AK67" s="27">
        <v>5638000</v>
      </c>
      <c r="AL67" s="27">
        <v>5364000</v>
      </c>
      <c r="AM67" s="27">
        <v>5273000</v>
      </c>
      <c r="AN67" s="27">
        <v>5273000</v>
      </c>
      <c r="AO67" s="27">
        <v>5273000</v>
      </c>
      <c r="AP67" s="27"/>
      <c r="AQ67" s="27"/>
      <c r="AR67" s="27"/>
      <c r="AS67" s="27"/>
      <c r="AT67" s="27"/>
    </row>
    <row r="68" spans="1:46" ht="75" customHeight="1">
      <c r="A68" s="16" t="e">
        <f ca="1">_xludf.image("https://lh3.google.com/u/0/d/1_xP5Ow-fHvTbxNkxP5i7-4h7vQsynj0U",1)</f>
        <v>#NAME?</v>
      </c>
      <c r="B68" s="17" t="s">
        <v>382</v>
      </c>
      <c r="C68" s="153"/>
      <c r="D68" s="145"/>
      <c r="E68" s="146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  <c r="AA68" s="63"/>
      <c r="AB68" s="63"/>
      <c r="AC68" s="63"/>
      <c r="AD68" s="63"/>
      <c r="AE68" s="63"/>
      <c r="AF68" s="63"/>
      <c r="AG68" s="63"/>
      <c r="AH68" s="63"/>
      <c r="AI68" s="63"/>
      <c r="AJ68" s="63"/>
      <c r="AK68" s="63"/>
      <c r="AL68" s="63"/>
      <c r="AM68" s="63"/>
      <c r="AN68" s="63"/>
      <c r="AO68" s="63"/>
      <c r="AP68" s="63"/>
      <c r="AQ68" s="63"/>
      <c r="AR68" s="63"/>
      <c r="AS68" s="63"/>
      <c r="AT68" s="63"/>
    </row>
    <row r="69" spans="1:46" ht="12.75">
      <c r="A69" s="20"/>
      <c r="B69" s="21" t="s">
        <v>383</v>
      </c>
      <c r="C69" s="73"/>
      <c r="D69" s="73"/>
      <c r="E69" s="74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</row>
    <row r="70" spans="1:46">
      <c r="A70" s="43"/>
      <c r="B70" s="25" t="s">
        <v>384</v>
      </c>
      <c r="C70" s="75">
        <v>600</v>
      </c>
      <c r="D70" s="75">
        <v>2400</v>
      </c>
      <c r="E70" s="75">
        <v>1000</v>
      </c>
      <c r="F70" s="27">
        <v>67874000</v>
      </c>
      <c r="G70" s="27">
        <v>62818000</v>
      </c>
      <c r="H70" s="29"/>
      <c r="I70" s="27">
        <v>68338000</v>
      </c>
      <c r="J70" s="29"/>
      <c r="K70" s="27">
        <v>62018000</v>
      </c>
      <c r="L70" s="29"/>
      <c r="M70" s="29"/>
      <c r="N70" s="27">
        <v>57997000</v>
      </c>
      <c r="O70" s="27">
        <v>57065000</v>
      </c>
      <c r="P70" s="27">
        <v>59144000</v>
      </c>
      <c r="Q70" s="27">
        <v>59606000</v>
      </c>
      <c r="R70" s="27">
        <v>59774000</v>
      </c>
      <c r="S70" s="27">
        <v>60607000</v>
      </c>
      <c r="T70" s="27">
        <v>60607000</v>
      </c>
      <c r="U70" s="27">
        <v>59573000</v>
      </c>
      <c r="V70" s="27">
        <v>61168000</v>
      </c>
      <c r="W70" s="27">
        <v>58080000</v>
      </c>
      <c r="X70" s="27">
        <v>60593000</v>
      </c>
      <c r="Y70" s="27">
        <v>61232000</v>
      </c>
      <c r="Z70" s="27">
        <v>60593000</v>
      </c>
      <c r="AA70" s="27">
        <v>60806000</v>
      </c>
      <c r="AB70" s="27">
        <v>60643000</v>
      </c>
      <c r="AC70" s="27">
        <v>61009000</v>
      </c>
      <c r="AD70" s="27">
        <v>58661000</v>
      </c>
      <c r="AE70" s="27">
        <v>58661000</v>
      </c>
      <c r="AF70" s="27">
        <v>58661000</v>
      </c>
      <c r="AG70" s="27">
        <v>58661000</v>
      </c>
      <c r="AH70" s="27">
        <v>58617000</v>
      </c>
      <c r="AI70" s="27">
        <v>58893000</v>
      </c>
      <c r="AJ70" s="27">
        <v>58893000</v>
      </c>
      <c r="AK70" s="27">
        <v>58835000</v>
      </c>
      <c r="AL70" s="27">
        <v>58661000</v>
      </c>
      <c r="AM70" s="27">
        <v>58603000</v>
      </c>
      <c r="AN70" s="27">
        <v>58603000</v>
      </c>
      <c r="AO70" s="27">
        <v>58603000</v>
      </c>
      <c r="AP70" s="27">
        <v>58456000</v>
      </c>
      <c r="AQ70" s="27">
        <v>58177000</v>
      </c>
      <c r="AR70" s="27">
        <v>58177000</v>
      </c>
      <c r="AS70" s="27">
        <v>58456000</v>
      </c>
      <c r="AT70" s="27">
        <v>60140000</v>
      </c>
    </row>
    <row r="71" spans="1:46">
      <c r="A71" s="43"/>
      <c r="B71" s="25" t="s">
        <v>385</v>
      </c>
      <c r="C71" s="75">
        <v>600</v>
      </c>
      <c r="D71" s="75">
        <v>2700</v>
      </c>
      <c r="E71" s="75">
        <v>1000</v>
      </c>
      <c r="F71" s="27">
        <v>72182000</v>
      </c>
      <c r="G71" s="27">
        <v>65392000</v>
      </c>
      <c r="H71" s="29"/>
      <c r="I71" s="27">
        <v>71602000</v>
      </c>
      <c r="J71" s="29"/>
      <c r="K71" s="27">
        <v>64282000</v>
      </c>
      <c r="L71" s="29"/>
      <c r="M71" s="29"/>
      <c r="N71" s="27">
        <v>59983000</v>
      </c>
      <c r="O71" s="27">
        <v>58934000</v>
      </c>
      <c r="P71" s="27">
        <v>61291000</v>
      </c>
      <c r="Q71" s="27">
        <v>61818000</v>
      </c>
      <c r="R71" s="27">
        <v>62019000</v>
      </c>
      <c r="S71" s="27">
        <v>62966000</v>
      </c>
      <c r="T71" s="27">
        <v>62966000</v>
      </c>
      <c r="U71" s="27">
        <v>61775000</v>
      </c>
      <c r="V71" s="27">
        <v>63573000</v>
      </c>
      <c r="W71" s="27">
        <v>60092000</v>
      </c>
      <c r="X71" s="27">
        <v>62930000</v>
      </c>
      <c r="Y71" s="27">
        <v>63649000</v>
      </c>
      <c r="Z71" s="27">
        <v>62930000</v>
      </c>
      <c r="AA71" s="27">
        <v>63166000</v>
      </c>
      <c r="AB71" s="27">
        <v>62983000</v>
      </c>
      <c r="AC71" s="27">
        <v>63395000</v>
      </c>
      <c r="AD71" s="27">
        <v>60731000</v>
      </c>
      <c r="AE71" s="27">
        <v>60731000</v>
      </c>
      <c r="AF71" s="27">
        <v>60731000</v>
      </c>
      <c r="AG71" s="27">
        <v>60731000</v>
      </c>
      <c r="AH71" s="27">
        <v>60682000</v>
      </c>
      <c r="AI71" s="27">
        <v>60992000</v>
      </c>
      <c r="AJ71" s="27">
        <v>60992000</v>
      </c>
      <c r="AK71" s="27">
        <v>60926000</v>
      </c>
      <c r="AL71" s="27">
        <v>60731000</v>
      </c>
      <c r="AM71" s="27">
        <v>60666000</v>
      </c>
      <c r="AN71" s="27">
        <v>60666000</v>
      </c>
      <c r="AO71" s="27">
        <v>60666000</v>
      </c>
      <c r="AP71" s="27"/>
      <c r="AQ71" s="27"/>
      <c r="AR71" s="27"/>
      <c r="AS71" s="27"/>
      <c r="AT71" s="27"/>
    </row>
    <row r="72" spans="1:46" ht="75" customHeight="1">
      <c r="A72" s="16" t="e">
        <f ca="1">_xludf.image("https://lh3.google.com/u/0/d/1MWDfqmidFAAYvNqfwtS7WdKYOYovHKQ9",1)</f>
        <v>#NAME?</v>
      </c>
      <c r="B72" s="17" t="s">
        <v>386</v>
      </c>
      <c r="C72" s="153"/>
      <c r="D72" s="145"/>
      <c r="E72" s="146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  <c r="AA72" s="63"/>
      <c r="AB72" s="63"/>
      <c r="AC72" s="63"/>
      <c r="AD72" s="63"/>
      <c r="AE72" s="63"/>
      <c r="AF72" s="63"/>
      <c r="AG72" s="63"/>
      <c r="AH72" s="63"/>
      <c r="AI72" s="63"/>
      <c r="AJ72" s="63"/>
      <c r="AK72" s="63"/>
      <c r="AL72" s="63"/>
      <c r="AM72" s="63"/>
      <c r="AN72" s="63"/>
      <c r="AO72" s="63"/>
      <c r="AP72" s="63"/>
      <c r="AQ72" s="63"/>
      <c r="AR72" s="63"/>
      <c r="AS72" s="63"/>
      <c r="AT72" s="63"/>
    </row>
    <row r="73" spans="1:46" ht="75" customHeight="1">
      <c r="A73" s="16" t="e">
        <f ca="1">_xludf.image("https://lh3.google.com/u/0/d/1k9tFSPe3k8fz_vRInxYW5mp7LjQVUmb_",1)</f>
        <v>#NAME?</v>
      </c>
      <c r="B73" s="21" t="s">
        <v>387</v>
      </c>
      <c r="C73" s="73"/>
      <c r="D73" s="73"/>
      <c r="E73" s="74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</row>
    <row r="74" spans="1:46">
      <c r="A74" s="43"/>
      <c r="B74" s="25" t="s">
        <v>388</v>
      </c>
      <c r="C74" s="75">
        <v>600</v>
      </c>
      <c r="D74" s="75">
        <v>2400</v>
      </c>
      <c r="E74" s="75">
        <v>800</v>
      </c>
      <c r="F74" s="27">
        <v>15590000</v>
      </c>
      <c r="G74" s="27">
        <v>11545000</v>
      </c>
      <c r="H74" s="29"/>
      <c r="I74" s="27">
        <v>15961000</v>
      </c>
      <c r="J74" s="29"/>
      <c r="K74" s="27">
        <v>9241000</v>
      </c>
      <c r="L74" s="29"/>
      <c r="M74" s="29"/>
      <c r="N74" s="27">
        <v>7671000</v>
      </c>
      <c r="O74" s="27">
        <v>6925000</v>
      </c>
      <c r="P74" s="27">
        <v>8567000</v>
      </c>
      <c r="Q74" s="27">
        <v>8927000</v>
      </c>
      <c r="R74" s="27">
        <v>9046000</v>
      </c>
      <c r="S74" s="27">
        <v>9700000</v>
      </c>
      <c r="T74" s="27">
        <v>9700000</v>
      </c>
      <c r="U74" s="27">
        <v>8907000</v>
      </c>
      <c r="V74" s="27">
        <v>10179000</v>
      </c>
      <c r="W74" s="27">
        <v>7716000</v>
      </c>
      <c r="X74" s="27">
        <v>9715000</v>
      </c>
      <c r="Y74" s="27">
        <v>10226000</v>
      </c>
      <c r="Z74" s="27">
        <v>9715000</v>
      </c>
      <c r="AA74" s="27">
        <v>9888000</v>
      </c>
      <c r="AB74" s="27">
        <v>9758000</v>
      </c>
      <c r="AC74" s="27">
        <v>10051000</v>
      </c>
      <c r="AD74" s="27">
        <v>8200000</v>
      </c>
      <c r="AE74" s="27">
        <v>8200000</v>
      </c>
      <c r="AF74" s="27">
        <v>8200000</v>
      </c>
      <c r="AG74" s="27">
        <v>8200000</v>
      </c>
      <c r="AH74" s="27">
        <v>8166000</v>
      </c>
      <c r="AI74" s="27">
        <v>8386000</v>
      </c>
      <c r="AJ74" s="27">
        <v>8386000</v>
      </c>
      <c r="AK74" s="27">
        <v>8340000</v>
      </c>
      <c r="AL74" s="27">
        <v>8200000</v>
      </c>
      <c r="AM74" s="27">
        <v>8154000</v>
      </c>
      <c r="AN74" s="27">
        <v>8154000</v>
      </c>
      <c r="AO74" s="27">
        <v>8154000</v>
      </c>
      <c r="AP74" s="27">
        <v>7987000</v>
      </c>
      <c r="AQ74" s="27">
        <v>7763000</v>
      </c>
      <c r="AR74" s="27">
        <v>7763000</v>
      </c>
      <c r="AS74" s="27">
        <v>7987000</v>
      </c>
      <c r="AT74" s="27">
        <v>9347000</v>
      </c>
    </row>
    <row r="75" spans="1:46">
      <c r="A75" s="43"/>
      <c r="B75" s="25" t="s">
        <v>389</v>
      </c>
      <c r="C75" s="75">
        <v>600</v>
      </c>
      <c r="D75" s="75">
        <v>2700</v>
      </c>
      <c r="E75" s="75">
        <v>800</v>
      </c>
      <c r="F75" s="27">
        <v>18087000</v>
      </c>
      <c r="G75" s="27">
        <v>12655000</v>
      </c>
      <c r="H75" s="29"/>
      <c r="I75" s="27">
        <v>17623000</v>
      </c>
      <c r="J75" s="29"/>
      <c r="K75" s="27">
        <v>10008000</v>
      </c>
      <c r="L75" s="29"/>
      <c r="M75" s="29"/>
      <c r="N75" s="27">
        <v>8291000</v>
      </c>
      <c r="O75" s="27">
        <v>7452000</v>
      </c>
      <c r="P75" s="27">
        <v>9292000</v>
      </c>
      <c r="Q75" s="27">
        <v>9693000</v>
      </c>
      <c r="R75" s="27">
        <v>9823000</v>
      </c>
      <c r="S75" s="27">
        <v>10555000</v>
      </c>
      <c r="T75" s="27">
        <v>10555000</v>
      </c>
      <c r="U75" s="27">
        <v>9673000</v>
      </c>
      <c r="V75" s="27">
        <v>11104000</v>
      </c>
      <c r="W75" s="27">
        <v>8335000</v>
      </c>
      <c r="X75" s="27">
        <v>10579000</v>
      </c>
      <c r="Y75" s="27">
        <v>11154000</v>
      </c>
      <c r="Z75" s="27">
        <v>10579000</v>
      </c>
      <c r="AA75" s="27">
        <v>10776000</v>
      </c>
      <c r="AB75" s="27">
        <v>10630000</v>
      </c>
      <c r="AC75" s="27">
        <v>10959000</v>
      </c>
      <c r="AD75" s="27">
        <v>8886000</v>
      </c>
      <c r="AE75" s="27">
        <v>8886000</v>
      </c>
      <c r="AF75" s="27">
        <v>8886000</v>
      </c>
      <c r="AG75" s="27">
        <v>8886000</v>
      </c>
      <c r="AH75" s="27">
        <v>8847000</v>
      </c>
      <c r="AI75" s="27">
        <v>9095000</v>
      </c>
      <c r="AJ75" s="27">
        <v>9095000</v>
      </c>
      <c r="AK75" s="27">
        <v>9042000</v>
      </c>
      <c r="AL75" s="27">
        <v>8886000</v>
      </c>
      <c r="AM75" s="27">
        <v>8834000</v>
      </c>
      <c r="AN75" s="27">
        <v>8834000</v>
      </c>
      <c r="AO75" s="27">
        <v>8834000</v>
      </c>
      <c r="AP75" s="27"/>
      <c r="AQ75" s="27"/>
      <c r="AR75" s="27"/>
      <c r="AS75" s="27"/>
      <c r="AT75" s="27"/>
    </row>
    <row r="76" spans="1:46">
      <c r="A76" s="43"/>
      <c r="B76" s="25" t="s">
        <v>390</v>
      </c>
      <c r="C76" s="75">
        <v>600</v>
      </c>
      <c r="D76" s="75">
        <v>2400</v>
      </c>
      <c r="E76" s="75">
        <v>1000</v>
      </c>
      <c r="F76" s="27">
        <v>18616000</v>
      </c>
      <c r="G76" s="27">
        <v>13560000</v>
      </c>
      <c r="H76" s="29"/>
      <c r="I76" s="27">
        <v>19080000</v>
      </c>
      <c r="J76" s="29"/>
      <c r="K76" s="27">
        <v>10507000</v>
      </c>
      <c r="L76" s="29"/>
      <c r="M76" s="29"/>
      <c r="N76" s="27">
        <v>8684000</v>
      </c>
      <c r="O76" s="27">
        <v>7752000</v>
      </c>
      <c r="P76" s="27">
        <v>9762000</v>
      </c>
      <c r="Q76" s="27">
        <v>10193000</v>
      </c>
      <c r="R76" s="27">
        <v>10315000</v>
      </c>
      <c r="S76" s="27">
        <v>11109000</v>
      </c>
      <c r="T76" s="27">
        <v>11109000</v>
      </c>
      <c r="U76" s="27">
        <v>10181000</v>
      </c>
      <c r="V76" s="27">
        <v>11765000</v>
      </c>
      <c r="W76" s="27">
        <v>8701000</v>
      </c>
      <c r="X76" s="27">
        <v>11175000</v>
      </c>
      <c r="Y76" s="27">
        <v>11814000</v>
      </c>
      <c r="Z76" s="27">
        <v>11175000</v>
      </c>
      <c r="AA76" s="27">
        <v>11399000</v>
      </c>
      <c r="AB76" s="27">
        <v>11237000</v>
      </c>
      <c r="AC76" s="27">
        <v>11603000</v>
      </c>
      <c r="AD76" s="27">
        <v>9342000</v>
      </c>
      <c r="AE76" s="27">
        <v>9342000</v>
      </c>
      <c r="AF76" s="27">
        <v>9342000</v>
      </c>
      <c r="AG76" s="27">
        <v>9342000</v>
      </c>
      <c r="AH76" s="27">
        <v>9299000</v>
      </c>
      <c r="AI76" s="27">
        <v>9574000</v>
      </c>
      <c r="AJ76" s="27">
        <v>9574000</v>
      </c>
      <c r="AK76" s="27">
        <v>9516000</v>
      </c>
      <c r="AL76" s="27">
        <v>9342000</v>
      </c>
      <c r="AM76" s="27">
        <v>9284000</v>
      </c>
      <c r="AN76" s="27">
        <v>9284000</v>
      </c>
      <c r="AO76" s="27">
        <v>9284000</v>
      </c>
      <c r="AP76" s="27">
        <v>8981000</v>
      </c>
      <c r="AQ76" s="27">
        <v>8701000</v>
      </c>
      <c r="AR76" s="27">
        <v>8701000</v>
      </c>
      <c r="AS76" s="27">
        <v>8981000</v>
      </c>
      <c r="AT76" s="27">
        <v>10706000</v>
      </c>
    </row>
    <row r="77" spans="1:46">
      <c r="A77" s="43"/>
      <c r="B77" s="25" t="s">
        <v>390</v>
      </c>
      <c r="C77" s="75">
        <v>600</v>
      </c>
      <c r="D77" s="75">
        <v>2700</v>
      </c>
      <c r="E77" s="75">
        <v>1000</v>
      </c>
      <c r="F77" s="27">
        <v>21639000</v>
      </c>
      <c r="G77" s="27">
        <v>14850000</v>
      </c>
      <c r="H77" s="29"/>
      <c r="I77" s="27">
        <v>21060000</v>
      </c>
      <c r="J77" s="29"/>
      <c r="K77" s="27">
        <v>11349000</v>
      </c>
      <c r="L77" s="29"/>
      <c r="M77" s="29"/>
      <c r="N77" s="27">
        <v>9357000</v>
      </c>
      <c r="O77" s="27">
        <v>8308000</v>
      </c>
      <c r="P77" s="27">
        <v>10562000</v>
      </c>
      <c r="Q77" s="27">
        <v>11043000</v>
      </c>
      <c r="R77" s="27">
        <v>11174000</v>
      </c>
      <c r="S77" s="27">
        <v>12062000</v>
      </c>
      <c r="T77" s="27">
        <v>12062000</v>
      </c>
      <c r="U77" s="27">
        <v>11032000</v>
      </c>
      <c r="V77" s="27">
        <v>12812000</v>
      </c>
      <c r="W77" s="27">
        <v>9368000</v>
      </c>
      <c r="X77" s="27">
        <v>12146000</v>
      </c>
      <c r="Y77" s="27">
        <v>12865000</v>
      </c>
      <c r="Z77" s="27">
        <v>12146000</v>
      </c>
      <c r="AA77" s="27">
        <v>12400000</v>
      </c>
      <c r="AB77" s="27">
        <v>12218000</v>
      </c>
      <c r="AC77" s="27">
        <v>12629000</v>
      </c>
      <c r="AD77" s="27">
        <v>10097000</v>
      </c>
      <c r="AE77" s="27">
        <v>10097000</v>
      </c>
      <c r="AF77" s="27">
        <v>10097000</v>
      </c>
      <c r="AG77" s="27">
        <v>10097000</v>
      </c>
      <c r="AH77" s="27">
        <v>10048000</v>
      </c>
      <c r="AI77" s="27">
        <v>10358000</v>
      </c>
      <c r="AJ77" s="27">
        <v>10358000</v>
      </c>
      <c r="AK77" s="27">
        <v>10293000</v>
      </c>
      <c r="AL77" s="27">
        <v>10097000</v>
      </c>
      <c r="AM77" s="27">
        <v>10032000</v>
      </c>
      <c r="AN77" s="27">
        <v>10032000</v>
      </c>
      <c r="AO77" s="27">
        <v>10032000</v>
      </c>
      <c r="AP77" s="27"/>
      <c r="AQ77" s="27"/>
      <c r="AR77" s="27"/>
      <c r="AS77" s="27"/>
      <c r="AT77" s="27"/>
    </row>
    <row r="78" spans="1:46" ht="75" customHeight="1">
      <c r="A78" s="16" t="e">
        <f ca="1">_xludf.image("https://lh3.google.com/u/0/d/1dZgeZ0F1XO4th-uogicgm9QSzBYHTjzb",1)</f>
        <v>#NAME?</v>
      </c>
      <c r="B78" s="45" t="s">
        <v>159</v>
      </c>
      <c r="C78" s="154"/>
      <c r="D78" s="136"/>
      <c r="E78" s="137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  <c r="AA78" s="78"/>
      <c r="AB78" s="78"/>
      <c r="AC78" s="78"/>
      <c r="AD78" s="78"/>
      <c r="AE78" s="78"/>
      <c r="AF78" s="78"/>
      <c r="AG78" s="78"/>
      <c r="AH78" s="78"/>
      <c r="AI78" s="78"/>
      <c r="AJ78" s="78"/>
      <c r="AK78" s="78"/>
      <c r="AL78" s="78"/>
      <c r="AM78" s="78"/>
      <c r="AN78" s="78"/>
      <c r="AO78" s="78"/>
      <c r="AP78" s="78"/>
      <c r="AQ78" s="78"/>
      <c r="AR78" s="78"/>
      <c r="AS78" s="78"/>
      <c r="AT78" s="78"/>
    </row>
    <row r="79" spans="1:46">
      <c r="A79" s="43"/>
      <c r="B79" s="25" t="s">
        <v>391</v>
      </c>
      <c r="C79" s="79"/>
      <c r="D79" s="75">
        <v>2400</v>
      </c>
      <c r="E79" s="75">
        <v>700</v>
      </c>
      <c r="F79" s="27">
        <v>8585000</v>
      </c>
      <c r="G79" s="27">
        <v>5046000</v>
      </c>
      <c r="H79" s="29"/>
      <c r="I79" s="27">
        <v>8910000</v>
      </c>
      <c r="J79" s="29"/>
      <c r="K79" s="27">
        <v>3115000</v>
      </c>
      <c r="L79" s="29"/>
      <c r="M79" s="29"/>
      <c r="N79" s="27">
        <v>1587000</v>
      </c>
      <c r="O79" s="27">
        <v>934000</v>
      </c>
      <c r="P79" s="27">
        <v>2284000</v>
      </c>
      <c r="Q79" s="27">
        <v>2561000</v>
      </c>
      <c r="R79" s="27">
        <v>2608000</v>
      </c>
      <c r="S79" s="27">
        <v>3130000</v>
      </c>
      <c r="T79" s="27">
        <v>3130000</v>
      </c>
      <c r="U79" s="27">
        <v>2569000</v>
      </c>
      <c r="V79" s="27">
        <v>3668000</v>
      </c>
      <c r="W79" s="27">
        <v>1543000</v>
      </c>
      <c r="X79" s="27">
        <v>3242000</v>
      </c>
      <c r="Y79" s="27">
        <v>3690000</v>
      </c>
      <c r="Z79" s="27">
        <v>3242000</v>
      </c>
      <c r="AA79" s="27">
        <v>3410000</v>
      </c>
      <c r="AB79" s="27">
        <v>3296000</v>
      </c>
      <c r="AC79" s="27">
        <v>3552000</v>
      </c>
      <c r="AD79" s="27">
        <v>2043000</v>
      </c>
      <c r="AE79" s="27">
        <v>2043000</v>
      </c>
      <c r="AF79" s="27">
        <v>2043000</v>
      </c>
      <c r="AG79" s="27">
        <v>2043000</v>
      </c>
      <c r="AH79" s="27">
        <v>2013000</v>
      </c>
      <c r="AI79" s="27">
        <v>2206000</v>
      </c>
      <c r="AJ79" s="27">
        <v>2206000</v>
      </c>
      <c r="AK79" s="27">
        <v>2165000</v>
      </c>
      <c r="AL79" s="27">
        <v>2043000</v>
      </c>
      <c r="AM79" s="27">
        <v>2003000</v>
      </c>
      <c r="AN79" s="27">
        <v>2003000</v>
      </c>
      <c r="AO79" s="27">
        <v>2003000</v>
      </c>
      <c r="AP79" s="27">
        <v>1659000</v>
      </c>
      <c r="AQ79" s="27">
        <v>1464000</v>
      </c>
      <c r="AR79" s="27">
        <v>1464000</v>
      </c>
      <c r="AS79" s="27">
        <v>1659000</v>
      </c>
      <c r="AT79" s="27">
        <v>2901000</v>
      </c>
    </row>
    <row r="80" spans="1:46">
      <c r="A80" s="43"/>
      <c r="B80" s="25" t="s">
        <v>392</v>
      </c>
      <c r="C80" s="79"/>
      <c r="D80" s="75">
        <v>2700</v>
      </c>
      <c r="E80" s="75">
        <v>700</v>
      </c>
      <c r="F80" s="27">
        <v>10429000</v>
      </c>
      <c r="G80" s="27">
        <v>5676000</v>
      </c>
      <c r="H80" s="29"/>
      <c r="I80" s="27">
        <v>10023000</v>
      </c>
      <c r="J80" s="29"/>
      <c r="K80" s="27">
        <v>3456000</v>
      </c>
      <c r="L80" s="29"/>
      <c r="M80" s="29"/>
      <c r="N80" s="27">
        <v>1782000</v>
      </c>
      <c r="O80" s="27">
        <v>1048000</v>
      </c>
      <c r="P80" s="27">
        <v>2565000</v>
      </c>
      <c r="Q80" s="27">
        <v>2874000</v>
      </c>
      <c r="R80" s="27">
        <v>2925000</v>
      </c>
      <c r="S80" s="27">
        <v>3510000</v>
      </c>
      <c r="T80" s="27">
        <v>3510000</v>
      </c>
      <c r="U80" s="27">
        <v>2884000</v>
      </c>
      <c r="V80" s="27">
        <v>4120000</v>
      </c>
      <c r="W80" s="27">
        <v>1731000</v>
      </c>
      <c r="X80" s="27">
        <v>3641000</v>
      </c>
      <c r="Y80" s="27">
        <v>4144000</v>
      </c>
      <c r="Z80" s="27">
        <v>3641000</v>
      </c>
      <c r="AA80" s="27">
        <v>3830000</v>
      </c>
      <c r="AB80" s="27">
        <v>3702000</v>
      </c>
      <c r="AC80" s="27">
        <v>3990000</v>
      </c>
      <c r="AD80" s="27">
        <v>2296000</v>
      </c>
      <c r="AE80" s="27">
        <v>2296000</v>
      </c>
      <c r="AF80" s="27">
        <v>2296000</v>
      </c>
      <c r="AG80" s="27">
        <v>2296000</v>
      </c>
      <c r="AH80" s="27">
        <v>2262000</v>
      </c>
      <c r="AI80" s="27">
        <v>2479000</v>
      </c>
      <c r="AJ80" s="27">
        <v>2479000</v>
      </c>
      <c r="AK80" s="27">
        <v>2433000</v>
      </c>
      <c r="AL80" s="27">
        <v>2296000</v>
      </c>
      <c r="AM80" s="27">
        <v>2250000</v>
      </c>
      <c r="AN80" s="27">
        <v>2250000</v>
      </c>
      <c r="AO80" s="27">
        <v>2250000</v>
      </c>
      <c r="AP80" s="27"/>
      <c r="AQ80" s="27"/>
      <c r="AR80" s="27"/>
      <c r="AS80" s="27"/>
      <c r="AT80" s="27"/>
    </row>
    <row r="81" spans="1:46">
      <c r="A81" s="43"/>
      <c r="B81" s="25" t="s">
        <v>393</v>
      </c>
      <c r="C81" s="79"/>
      <c r="D81" s="75">
        <v>2400</v>
      </c>
      <c r="E81" s="75">
        <v>100</v>
      </c>
      <c r="F81" s="27">
        <v>1227000</v>
      </c>
      <c r="G81" s="27">
        <v>721000</v>
      </c>
      <c r="H81" s="29"/>
      <c r="I81" s="27">
        <v>1273000</v>
      </c>
      <c r="J81" s="29"/>
      <c r="K81" s="27">
        <v>472000</v>
      </c>
      <c r="L81" s="29"/>
      <c r="M81" s="29"/>
      <c r="N81" s="27">
        <v>284000</v>
      </c>
      <c r="O81" s="27">
        <v>191000</v>
      </c>
      <c r="P81" s="27">
        <v>454000</v>
      </c>
      <c r="Q81" s="27">
        <v>525000</v>
      </c>
      <c r="R81" s="27">
        <v>580000</v>
      </c>
      <c r="S81" s="27">
        <v>695000</v>
      </c>
      <c r="T81" s="27">
        <v>695000</v>
      </c>
      <c r="U81" s="27">
        <v>505000</v>
      </c>
      <c r="V81" s="27">
        <v>674000</v>
      </c>
      <c r="W81" s="27">
        <v>346000</v>
      </c>
      <c r="X81" s="27">
        <v>629000</v>
      </c>
      <c r="Y81" s="27">
        <v>693000</v>
      </c>
      <c r="Z81" s="27">
        <v>629000</v>
      </c>
      <c r="AA81" s="27">
        <v>640000</v>
      </c>
      <c r="AB81" s="27">
        <v>624000</v>
      </c>
      <c r="AC81" s="27">
        <v>661000</v>
      </c>
      <c r="AD81" s="27">
        <v>354000</v>
      </c>
      <c r="AE81" s="27">
        <v>354000</v>
      </c>
      <c r="AF81" s="27">
        <v>354000</v>
      </c>
      <c r="AG81" s="27">
        <v>354000</v>
      </c>
      <c r="AH81" s="27">
        <v>350000</v>
      </c>
      <c r="AI81" s="27">
        <v>378000</v>
      </c>
      <c r="AJ81" s="27">
        <v>378000</v>
      </c>
      <c r="AK81" s="27">
        <v>372000</v>
      </c>
      <c r="AL81" s="27">
        <v>354000</v>
      </c>
      <c r="AM81" s="27">
        <v>349000</v>
      </c>
      <c r="AN81" s="27">
        <v>349000</v>
      </c>
      <c r="AO81" s="27">
        <v>349000</v>
      </c>
      <c r="AP81" s="27">
        <v>461000</v>
      </c>
      <c r="AQ81" s="27">
        <v>433000</v>
      </c>
      <c r="AR81" s="27">
        <v>433000</v>
      </c>
      <c r="AS81" s="27">
        <v>461000</v>
      </c>
      <c r="AT81" s="27">
        <v>596000</v>
      </c>
    </row>
    <row r="82" spans="1:46">
      <c r="A82" s="43"/>
      <c r="B82" s="25" t="s">
        <v>394</v>
      </c>
      <c r="C82" s="79"/>
      <c r="D82" s="75">
        <v>2700</v>
      </c>
      <c r="E82" s="75">
        <v>100</v>
      </c>
      <c r="F82" s="27">
        <v>1490000</v>
      </c>
      <c r="G82" s="27">
        <v>811000</v>
      </c>
      <c r="H82" s="29"/>
      <c r="I82" s="27">
        <v>1432000</v>
      </c>
      <c r="J82" s="29"/>
      <c r="K82" s="27">
        <v>530000</v>
      </c>
      <c r="L82" s="29"/>
      <c r="M82" s="29"/>
      <c r="N82" s="27">
        <v>319000</v>
      </c>
      <c r="O82" s="27">
        <v>214000</v>
      </c>
      <c r="P82" s="27">
        <v>510000</v>
      </c>
      <c r="Q82" s="27">
        <v>590000</v>
      </c>
      <c r="R82" s="27">
        <v>651000</v>
      </c>
      <c r="S82" s="27">
        <v>781000</v>
      </c>
      <c r="T82" s="27">
        <v>781000</v>
      </c>
      <c r="U82" s="27">
        <v>568000</v>
      </c>
      <c r="V82" s="27">
        <v>758000</v>
      </c>
      <c r="W82" s="27">
        <v>388000</v>
      </c>
      <c r="X82" s="27">
        <v>707000</v>
      </c>
      <c r="Y82" s="27">
        <v>778000</v>
      </c>
      <c r="Z82" s="27">
        <v>707000</v>
      </c>
      <c r="AA82" s="27">
        <v>719000</v>
      </c>
      <c r="AB82" s="27">
        <v>701000</v>
      </c>
      <c r="AC82" s="27">
        <v>742000</v>
      </c>
      <c r="AD82" s="27">
        <v>398000</v>
      </c>
      <c r="AE82" s="27">
        <v>398000</v>
      </c>
      <c r="AF82" s="27">
        <v>398000</v>
      </c>
      <c r="AG82" s="27">
        <v>398000</v>
      </c>
      <c r="AH82" s="27">
        <v>393000</v>
      </c>
      <c r="AI82" s="27">
        <v>424000</v>
      </c>
      <c r="AJ82" s="27">
        <v>424000</v>
      </c>
      <c r="AK82" s="27">
        <v>418000</v>
      </c>
      <c r="AL82" s="27">
        <v>398000</v>
      </c>
      <c r="AM82" s="27">
        <v>392000</v>
      </c>
      <c r="AN82" s="27">
        <v>392000</v>
      </c>
      <c r="AO82" s="27">
        <v>392000</v>
      </c>
      <c r="AP82" s="27"/>
      <c r="AQ82" s="27"/>
      <c r="AR82" s="27"/>
      <c r="AS82" s="27"/>
      <c r="AT82" s="27"/>
    </row>
    <row r="83" spans="1:46">
      <c r="A83" s="43"/>
      <c r="B83" s="25" t="s">
        <v>395</v>
      </c>
      <c r="C83" s="79"/>
      <c r="D83" s="79"/>
      <c r="E83" s="79"/>
      <c r="F83" s="42">
        <v>3200000</v>
      </c>
      <c r="G83" s="42">
        <v>3200000</v>
      </c>
      <c r="H83" s="42">
        <v>3200000</v>
      </c>
      <c r="I83" s="42">
        <v>3200000</v>
      </c>
      <c r="J83" s="42">
        <v>3200000</v>
      </c>
      <c r="K83" s="42">
        <v>3200000</v>
      </c>
      <c r="L83" s="42">
        <v>3200000</v>
      </c>
      <c r="M83" s="42">
        <v>3200000</v>
      </c>
      <c r="N83" s="42">
        <v>3200000</v>
      </c>
      <c r="O83" s="42">
        <v>3200000</v>
      </c>
      <c r="P83" s="42">
        <v>3200000</v>
      </c>
      <c r="Q83" s="42">
        <v>3200000</v>
      </c>
      <c r="R83" s="42">
        <v>3200000</v>
      </c>
      <c r="S83" s="42">
        <v>3200000</v>
      </c>
      <c r="T83" s="42">
        <v>3200000</v>
      </c>
      <c r="U83" s="42">
        <v>3200000</v>
      </c>
      <c r="V83" s="42">
        <v>3200000</v>
      </c>
      <c r="W83" s="42">
        <v>3200000</v>
      </c>
      <c r="X83" s="42">
        <v>3200000</v>
      </c>
      <c r="Y83" s="42">
        <v>3200000</v>
      </c>
      <c r="Z83" s="42">
        <v>3200000</v>
      </c>
      <c r="AA83" s="42">
        <v>3200000</v>
      </c>
      <c r="AB83" s="42">
        <v>3200000</v>
      </c>
      <c r="AC83" s="42">
        <v>3200000</v>
      </c>
      <c r="AD83" s="42">
        <v>3200000</v>
      </c>
      <c r="AE83" s="42">
        <v>3200000</v>
      </c>
      <c r="AF83" s="42">
        <v>3200000</v>
      </c>
      <c r="AG83" s="42">
        <v>3200000</v>
      </c>
      <c r="AH83" s="42">
        <v>3200000</v>
      </c>
      <c r="AI83" s="42">
        <v>3200000</v>
      </c>
      <c r="AJ83" s="42">
        <v>3200000</v>
      </c>
      <c r="AK83" s="42">
        <v>3200000</v>
      </c>
      <c r="AL83" s="42">
        <v>3200000</v>
      </c>
      <c r="AM83" s="42">
        <v>3200000</v>
      </c>
      <c r="AN83" s="42">
        <v>3200000</v>
      </c>
      <c r="AO83" s="42">
        <v>3200000</v>
      </c>
      <c r="AP83" s="42">
        <v>3200000</v>
      </c>
      <c r="AQ83" s="42">
        <v>3200000</v>
      </c>
      <c r="AR83" s="42">
        <v>3200000</v>
      </c>
      <c r="AS83" s="42">
        <v>3200000</v>
      </c>
      <c r="AT83" s="42">
        <v>3200000</v>
      </c>
    </row>
    <row r="84" spans="1:46">
      <c r="A84" s="43"/>
      <c r="B84" s="25" t="s">
        <v>396</v>
      </c>
      <c r="C84" s="79"/>
      <c r="D84" s="79"/>
      <c r="E84" s="79"/>
      <c r="F84" s="42">
        <v>4400000</v>
      </c>
      <c r="G84" s="42">
        <v>4400000</v>
      </c>
      <c r="H84" s="42">
        <v>4400000</v>
      </c>
      <c r="I84" s="42">
        <v>4400000</v>
      </c>
      <c r="J84" s="42">
        <v>4400000</v>
      </c>
      <c r="K84" s="42">
        <v>4400000</v>
      </c>
      <c r="L84" s="42">
        <v>4400000</v>
      </c>
      <c r="M84" s="42">
        <v>4400000</v>
      </c>
      <c r="N84" s="42">
        <v>4400000</v>
      </c>
      <c r="O84" s="42">
        <v>4400000</v>
      </c>
      <c r="P84" s="42">
        <v>4400000</v>
      </c>
      <c r="Q84" s="42">
        <v>4400000</v>
      </c>
      <c r="R84" s="42">
        <v>4400000</v>
      </c>
      <c r="S84" s="42">
        <v>4400000</v>
      </c>
      <c r="T84" s="42">
        <v>4400000</v>
      </c>
      <c r="U84" s="42">
        <v>4400000</v>
      </c>
      <c r="V84" s="42">
        <v>4400000</v>
      </c>
      <c r="W84" s="42">
        <v>4400000</v>
      </c>
      <c r="X84" s="42">
        <v>4400000</v>
      </c>
      <c r="Y84" s="42">
        <v>4400000</v>
      </c>
      <c r="Z84" s="42">
        <v>4400000</v>
      </c>
      <c r="AA84" s="42">
        <v>4400000</v>
      </c>
      <c r="AB84" s="42">
        <v>4400000</v>
      </c>
      <c r="AC84" s="42">
        <v>4400000</v>
      </c>
      <c r="AD84" s="42">
        <v>4400000</v>
      </c>
      <c r="AE84" s="42">
        <v>4400000</v>
      </c>
      <c r="AF84" s="42">
        <v>4400000</v>
      </c>
      <c r="AG84" s="42">
        <v>4400000</v>
      </c>
      <c r="AH84" s="42">
        <v>4400000</v>
      </c>
      <c r="AI84" s="42">
        <v>4400000</v>
      </c>
      <c r="AJ84" s="42">
        <v>4400000</v>
      </c>
      <c r="AK84" s="42">
        <v>4400000</v>
      </c>
      <c r="AL84" s="42">
        <v>4400000</v>
      </c>
      <c r="AM84" s="42">
        <v>4400000</v>
      </c>
      <c r="AN84" s="42">
        <v>4400000</v>
      </c>
      <c r="AO84" s="42">
        <v>4400000</v>
      </c>
      <c r="AP84" s="42">
        <v>4400000</v>
      </c>
      <c r="AQ84" s="42">
        <v>4400000</v>
      </c>
      <c r="AR84" s="42">
        <v>4400000</v>
      </c>
      <c r="AS84" s="42">
        <v>4400000</v>
      </c>
      <c r="AT84" s="42">
        <v>4400000</v>
      </c>
    </row>
    <row r="85" spans="1:46">
      <c r="A85" s="80" t="e">
        <f ca="1">_xludf.image("https://lh3.google.com/u/0/d/1tuiPAt-zNeZ0wpkmFS1e-MbhjR2Q3JZk",1)</f>
        <v>#NAME?</v>
      </c>
      <c r="B85" s="25" t="s">
        <v>397</v>
      </c>
      <c r="C85" s="81"/>
      <c r="D85" s="75">
        <v>2400</v>
      </c>
      <c r="E85" s="79"/>
      <c r="F85" s="42">
        <v>766000</v>
      </c>
      <c r="G85" s="42">
        <v>766000</v>
      </c>
      <c r="H85" s="42">
        <v>766000</v>
      </c>
      <c r="I85" s="42">
        <v>766000</v>
      </c>
      <c r="J85" s="42">
        <v>766000</v>
      </c>
      <c r="K85" s="42">
        <v>766000</v>
      </c>
      <c r="L85" s="42">
        <v>766000</v>
      </c>
      <c r="M85" s="42">
        <v>766000</v>
      </c>
      <c r="N85" s="42">
        <v>766000</v>
      </c>
      <c r="O85" s="42">
        <v>766000</v>
      </c>
      <c r="P85" s="42">
        <v>766000</v>
      </c>
      <c r="Q85" s="42">
        <v>766000</v>
      </c>
      <c r="R85" s="42">
        <v>766000</v>
      </c>
      <c r="S85" s="42">
        <v>766000</v>
      </c>
      <c r="T85" s="42">
        <v>766000</v>
      </c>
      <c r="U85" s="42">
        <v>766000</v>
      </c>
      <c r="V85" s="42">
        <v>766000</v>
      </c>
      <c r="W85" s="42">
        <v>766000</v>
      </c>
      <c r="X85" s="42">
        <v>766000</v>
      </c>
      <c r="Y85" s="42">
        <v>766000</v>
      </c>
      <c r="Z85" s="42">
        <v>766000</v>
      </c>
      <c r="AA85" s="42">
        <v>766000</v>
      </c>
      <c r="AB85" s="42">
        <v>766000</v>
      </c>
      <c r="AC85" s="42">
        <v>766000</v>
      </c>
      <c r="AD85" s="42">
        <v>766000</v>
      </c>
      <c r="AE85" s="42">
        <v>766000</v>
      </c>
      <c r="AF85" s="42">
        <v>766000</v>
      </c>
      <c r="AG85" s="42">
        <v>766000</v>
      </c>
      <c r="AH85" s="42">
        <v>766000</v>
      </c>
      <c r="AI85" s="42">
        <v>766000</v>
      </c>
      <c r="AJ85" s="42">
        <v>766000</v>
      </c>
      <c r="AK85" s="42">
        <v>766000</v>
      </c>
      <c r="AL85" s="42">
        <v>766000</v>
      </c>
      <c r="AM85" s="42">
        <v>766000</v>
      </c>
      <c r="AN85" s="42">
        <v>766000</v>
      </c>
      <c r="AO85" s="42">
        <v>766000</v>
      </c>
      <c r="AP85" s="42">
        <v>766000</v>
      </c>
      <c r="AQ85" s="42">
        <v>766000</v>
      </c>
      <c r="AR85" s="42">
        <v>766000</v>
      </c>
      <c r="AS85" s="42">
        <v>766000</v>
      </c>
      <c r="AT85" s="42">
        <v>766000</v>
      </c>
    </row>
    <row r="86" spans="1:46">
      <c r="A86" s="43"/>
      <c r="B86" s="25" t="s">
        <v>398</v>
      </c>
      <c r="C86" s="81"/>
      <c r="D86" s="75">
        <v>2700</v>
      </c>
      <c r="E86" s="79"/>
      <c r="F86" s="42">
        <v>861000</v>
      </c>
      <c r="G86" s="42">
        <v>861000</v>
      </c>
      <c r="H86" s="42">
        <v>861000</v>
      </c>
      <c r="I86" s="42">
        <v>861000</v>
      </c>
      <c r="J86" s="42">
        <v>861000</v>
      </c>
      <c r="K86" s="42">
        <v>861000</v>
      </c>
      <c r="L86" s="42">
        <v>861000</v>
      </c>
      <c r="M86" s="42">
        <v>861000</v>
      </c>
      <c r="N86" s="42">
        <v>861000</v>
      </c>
      <c r="O86" s="42">
        <v>861000</v>
      </c>
      <c r="P86" s="42">
        <v>861000</v>
      </c>
      <c r="Q86" s="42">
        <v>861000</v>
      </c>
      <c r="R86" s="42">
        <v>861000</v>
      </c>
      <c r="S86" s="42">
        <v>861000</v>
      </c>
      <c r="T86" s="42">
        <v>861000</v>
      </c>
      <c r="U86" s="42">
        <v>861000</v>
      </c>
      <c r="V86" s="42">
        <v>861000</v>
      </c>
      <c r="W86" s="42">
        <v>861000</v>
      </c>
      <c r="X86" s="42">
        <v>861000</v>
      </c>
      <c r="Y86" s="42">
        <v>861000</v>
      </c>
      <c r="Z86" s="42">
        <v>861000</v>
      </c>
      <c r="AA86" s="42">
        <v>861000</v>
      </c>
      <c r="AB86" s="42">
        <v>861000</v>
      </c>
      <c r="AC86" s="42">
        <v>861000</v>
      </c>
      <c r="AD86" s="42">
        <v>861000</v>
      </c>
      <c r="AE86" s="42">
        <v>861000</v>
      </c>
      <c r="AF86" s="42">
        <v>861000</v>
      </c>
      <c r="AG86" s="42">
        <v>861000</v>
      </c>
      <c r="AH86" s="42">
        <v>861000</v>
      </c>
      <c r="AI86" s="42">
        <v>861000</v>
      </c>
      <c r="AJ86" s="42">
        <v>861000</v>
      </c>
      <c r="AK86" s="42">
        <v>861000</v>
      </c>
      <c r="AL86" s="42">
        <v>861000</v>
      </c>
      <c r="AM86" s="42">
        <v>861000</v>
      </c>
      <c r="AN86" s="42">
        <v>861000</v>
      </c>
      <c r="AO86" s="42">
        <v>861000</v>
      </c>
      <c r="AP86" s="42">
        <v>861000</v>
      </c>
      <c r="AQ86" s="42">
        <v>861000</v>
      </c>
      <c r="AR86" s="42">
        <v>861000</v>
      </c>
      <c r="AS86" s="42">
        <v>861000</v>
      </c>
      <c r="AT86" s="42">
        <v>861000</v>
      </c>
    </row>
    <row r="87" spans="1:46">
      <c r="A87" s="80" t="e">
        <f ca="1">_xludf.image("https://lh3.google.com/u/0/d/1_lhmRmWQOAc9djMx4tjkbp_kjVI6ZAFB",1)</f>
        <v>#NAME?</v>
      </c>
      <c r="B87" s="25" t="s">
        <v>399</v>
      </c>
      <c r="C87" s="81"/>
      <c r="D87" s="75">
        <v>2400</v>
      </c>
      <c r="E87" s="79"/>
      <c r="F87" s="42">
        <v>1163000</v>
      </c>
      <c r="G87" s="42">
        <v>1163000</v>
      </c>
      <c r="H87" s="42">
        <v>1163000</v>
      </c>
      <c r="I87" s="42">
        <v>1163000</v>
      </c>
      <c r="J87" s="42">
        <v>1163000</v>
      </c>
      <c r="K87" s="42">
        <v>1163000</v>
      </c>
      <c r="L87" s="42">
        <v>1163000</v>
      </c>
      <c r="M87" s="42">
        <v>1163000</v>
      </c>
      <c r="N87" s="42">
        <v>1163000</v>
      </c>
      <c r="O87" s="42">
        <v>1163000</v>
      </c>
      <c r="P87" s="42">
        <v>1163000</v>
      </c>
      <c r="Q87" s="42">
        <v>1163000</v>
      </c>
      <c r="R87" s="42">
        <v>1163000</v>
      </c>
      <c r="S87" s="42">
        <v>1163000</v>
      </c>
      <c r="T87" s="42">
        <v>1163000</v>
      </c>
      <c r="U87" s="42">
        <v>1163000</v>
      </c>
      <c r="V87" s="42">
        <v>1163000</v>
      </c>
      <c r="W87" s="42">
        <v>1163000</v>
      </c>
      <c r="X87" s="42">
        <v>1163000</v>
      </c>
      <c r="Y87" s="42">
        <v>1163000</v>
      </c>
      <c r="Z87" s="42">
        <v>1163000</v>
      </c>
      <c r="AA87" s="42">
        <v>1163000</v>
      </c>
      <c r="AB87" s="42">
        <v>1163000</v>
      </c>
      <c r="AC87" s="42">
        <v>1163000</v>
      </c>
      <c r="AD87" s="42">
        <v>1163000</v>
      </c>
      <c r="AE87" s="42">
        <v>1163000</v>
      </c>
      <c r="AF87" s="42">
        <v>1163000</v>
      </c>
      <c r="AG87" s="42">
        <v>1163000</v>
      </c>
      <c r="AH87" s="42">
        <v>1163000</v>
      </c>
      <c r="AI87" s="42">
        <v>1163000</v>
      </c>
      <c r="AJ87" s="42">
        <v>1163000</v>
      </c>
      <c r="AK87" s="42">
        <v>1163000</v>
      </c>
      <c r="AL87" s="42">
        <v>1163000</v>
      </c>
      <c r="AM87" s="42">
        <v>1163000</v>
      </c>
      <c r="AN87" s="42">
        <v>1163000</v>
      </c>
      <c r="AO87" s="42">
        <v>1163000</v>
      </c>
      <c r="AP87" s="42">
        <v>1163000</v>
      </c>
      <c r="AQ87" s="42">
        <v>1163000</v>
      </c>
      <c r="AR87" s="42">
        <v>1163000</v>
      </c>
      <c r="AS87" s="42">
        <v>1163000</v>
      </c>
      <c r="AT87" s="42">
        <v>1163000</v>
      </c>
    </row>
    <row r="88" spans="1:46">
      <c r="A88" s="43"/>
      <c r="B88" s="25" t="s">
        <v>400</v>
      </c>
      <c r="C88" s="79"/>
      <c r="D88" s="75">
        <v>2700</v>
      </c>
      <c r="E88" s="79"/>
      <c r="F88" s="42">
        <v>1308000</v>
      </c>
      <c r="G88" s="42">
        <v>1308000</v>
      </c>
      <c r="H88" s="42">
        <v>1308000</v>
      </c>
      <c r="I88" s="42">
        <v>1308000</v>
      </c>
      <c r="J88" s="42">
        <v>1308000</v>
      </c>
      <c r="K88" s="42">
        <v>1308000</v>
      </c>
      <c r="L88" s="42">
        <v>1308000</v>
      </c>
      <c r="M88" s="42">
        <v>1308000</v>
      </c>
      <c r="N88" s="42">
        <v>1308000</v>
      </c>
      <c r="O88" s="42">
        <v>1308000</v>
      </c>
      <c r="P88" s="42">
        <v>1308000</v>
      </c>
      <c r="Q88" s="42">
        <v>1308000</v>
      </c>
      <c r="R88" s="42">
        <v>1308000</v>
      </c>
      <c r="S88" s="42">
        <v>1308000</v>
      </c>
      <c r="T88" s="42">
        <v>1308000</v>
      </c>
      <c r="U88" s="42">
        <v>1308000</v>
      </c>
      <c r="V88" s="42">
        <v>1308000</v>
      </c>
      <c r="W88" s="42">
        <v>1308000</v>
      </c>
      <c r="X88" s="42">
        <v>1308000</v>
      </c>
      <c r="Y88" s="42">
        <v>1308000</v>
      </c>
      <c r="Z88" s="42">
        <v>1308000</v>
      </c>
      <c r="AA88" s="42">
        <v>1308000</v>
      </c>
      <c r="AB88" s="42">
        <v>1308000</v>
      </c>
      <c r="AC88" s="42">
        <v>1308000</v>
      </c>
      <c r="AD88" s="42">
        <v>1308000</v>
      </c>
      <c r="AE88" s="42">
        <v>1308000</v>
      </c>
      <c r="AF88" s="42">
        <v>1308000</v>
      </c>
      <c r="AG88" s="42">
        <v>1308000</v>
      </c>
      <c r="AH88" s="42">
        <v>1308000</v>
      </c>
      <c r="AI88" s="42">
        <v>1308000</v>
      </c>
      <c r="AJ88" s="42">
        <v>1308000</v>
      </c>
      <c r="AK88" s="42">
        <v>1308000</v>
      </c>
      <c r="AL88" s="42">
        <v>1308000</v>
      </c>
      <c r="AM88" s="42">
        <v>1308000</v>
      </c>
      <c r="AN88" s="42">
        <v>1308000</v>
      </c>
      <c r="AO88" s="42">
        <v>1308000</v>
      </c>
      <c r="AP88" s="42">
        <v>1308000</v>
      </c>
      <c r="AQ88" s="42">
        <v>1308000</v>
      </c>
      <c r="AR88" s="42">
        <v>1308000</v>
      </c>
      <c r="AS88" s="42">
        <v>1308000</v>
      </c>
      <c r="AT88" s="42">
        <v>1308000</v>
      </c>
    </row>
    <row r="89" spans="1:46" ht="12.75">
      <c r="A89" s="82"/>
      <c r="B89" s="82"/>
      <c r="C89" s="82"/>
      <c r="D89" s="82"/>
      <c r="E89" s="82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29"/>
      <c r="AJ89" s="29"/>
      <c r="AK89" s="29"/>
      <c r="AL89" s="29"/>
      <c r="AM89" s="29"/>
      <c r="AN89" s="29"/>
      <c r="AO89" s="29"/>
      <c r="AP89" s="29"/>
      <c r="AQ89" s="29"/>
      <c r="AR89" s="29"/>
      <c r="AS89" s="29"/>
      <c r="AT89" s="29"/>
    </row>
    <row r="90" spans="1:46" ht="12.75">
      <c r="A90" s="82"/>
      <c r="B90" s="82"/>
      <c r="C90" s="82"/>
      <c r="D90" s="82"/>
      <c r="E90" s="82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J90" s="29"/>
      <c r="AK90" s="29"/>
      <c r="AL90" s="29"/>
      <c r="AM90" s="29"/>
      <c r="AN90" s="29"/>
      <c r="AO90" s="29"/>
      <c r="AP90" s="29"/>
      <c r="AQ90" s="29"/>
      <c r="AR90" s="29"/>
      <c r="AS90" s="29"/>
      <c r="AT90" s="29"/>
    </row>
  </sheetData>
  <mergeCells count="19">
    <mergeCell ref="A1:B1"/>
    <mergeCell ref="A2:B2"/>
    <mergeCell ref="F5:O5"/>
    <mergeCell ref="C6:E6"/>
    <mergeCell ref="C8:E8"/>
    <mergeCell ref="C12:E12"/>
    <mergeCell ref="C16:E16"/>
    <mergeCell ref="C58:E58"/>
    <mergeCell ref="C62:E62"/>
    <mergeCell ref="C68:E68"/>
    <mergeCell ref="C72:E72"/>
    <mergeCell ref="C78:E78"/>
    <mergeCell ref="C20:E20"/>
    <mergeCell ref="C28:E28"/>
    <mergeCell ref="C36:E36"/>
    <mergeCell ref="C40:E40"/>
    <mergeCell ref="C44:E44"/>
    <mergeCell ref="C48:E48"/>
    <mergeCell ref="C52:E5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M128"/>
  <sheetViews>
    <sheetView workbookViewId="0">
      <pane xSplit="5" ySplit="7" topLeftCell="F8" activePane="bottomRight" state="frozen"/>
      <selection pane="topRight" activeCell="F1" sqref="F1"/>
      <selection pane="bottomLeft" activeCell="A8" sqref="A8"/>
      <selection pane="bottomRight" activeCell="I15" sqref="I15"/>
    </sheetView>
  </sheetViews>
  <sheetFormatPr defaultColWidth="12.5703125" defaultRowHeight="15.75" customHeight="1"/>
  <cols>
    <col min="1" max="1" width="9.42578125" customWidth="1"/>
    <col min="2" max="2" width="40.85546875" customWidth="1"/>
    <col min="3" max="5" width="5.140625" customWidth="1"/>
    <col min="6" max="6" width="7.5703125" customWidth="1"/>
    <col min="21" max="21" width="7.5703125" customWidth="1"/>
    <col min="36" max="36" width="7.5703125" customWidth="1"/>
    <col min="51" max="51" width="7.5703125" customWidth="1"/>
  </cols>
  <sheetData>
    <row r="1" spans="1:65" ht="15.75" customHeight="1">
      <c r="A1" s="148" t="s">
        <v>0</v>
      </c>
      <c r="B1" s="128"/>
      <c r="C1" s="2"/>
      <c r="D1" s="2"/>
      <c r="E1" s="2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</row>
    <row r="2" spans="1:65" ht="15.75" customHeight="1">
      <c r="A2" s="59" t="s">
        <v>401</v>
      </c>
      <c r="B2" s="8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</row>
    <row r="3" spans="1:65" ht="15.75" customHeight="1">
      <c r="A3" s="60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</row>
    <row r="4" spans="1:65" ht="15.75" customHeight="1">
      <c r="A4" s="60" t="s">
        <v>402</v>
      </c>
      <c r="B4" s="4"/>
      <c r="C4" s="4"/>
      <c r="D4" s="4"/>
      <c r="E4" s="4"/>
      <c r="F4" s="3"/>
      <c r="G4" s="3"/>
      <c r="H4" s="3"/>
      <c r="I4" s="3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</row>
    <row r="5" spans="1:65" ht="12.75">
      <c r="A5" s="4"/>
      <c r="B5" s="4"/>
      <c r="C5" s="4"/>
      <c r="D5" s="4"/>
      <c r="E5" s="4"/>
      <c r="F5" s="3" t="s">
        <v>403</v>
      </c>
      <c r="G5" s="3"/>
      <c r="H5" s="3"/>
      <c r="I5" s="3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</row>
    <row r="6" spans="1:65" ht="15.75" customHeight="1">
      <c r="A6" s="61"/>
      <c r="B6" s="61"/>
      <c r="C6" s="132" t="s">
        <v>7</v>
      </c>
      <c r="D6" s="133"/>
      <c r="E6" s="134"/>
      <c r="F6" s="160" t="s">
        <v>404</v>
      </c>
      <c r="G6" s="136"/>
      <c r="H6" s="136"/>
      <c r="I6" s="136"/>
      <c r="J6" s="136"/>
      <c r="K6" s="136"/>
      <c r="L6" s="136"/>
      <c r="M6" s="136"/>
      <c r="N6" s="136"/>
      <c r="O6" s="136"/>
      <c r="P6" s="136"/>
      <c r="Q6" s="136"/>
      <c r="R6" s="136"/>
      <c r="S6" s="136"/>
      <c r="T6" s="137"/>
      <c r="U6" s="161" t="s">
        <v>405</v>
      </c>
      <c r="V6" s="136"/>
      <c r="W6" s="136"/>
      <c r="X6" s="136"/>
      <c r="Y6" s="136"/>
      <c r="Z6" s="136"/>
      <c r="AA6" s="136"/>
      <c r="AB6" s="136"/>
      <c r="AC6" s="136"/>
      <c r="AD6" s="136"/>
      <c r="AE6" s="136"/>
      <c r="AF6" s="136"/>
      <c r="AG6" s="136"/>
      <c r="AH6" s="136"/>
      <c r="AI6" s="137"/>
      <c r="AJ6" s="162" t="s">
        <v>406</v>
      </c>
      <c r="AK6" s="136"/>
      <c r="AL6" s="136"/>
      <c r="AM6" s="136"/>
      <c r="AN6" s="136"/>
      <c r="AO6" s="136"/>
      <c r="AP6" s="136"/>
      <c r="AQ6" s="136"/>
      <c r="AR6" s="136"/>
      <c r="AS6" s="136"/>
      <c r="AT6" s="136"/>
      <c r="AU6" s="136"/>
      <c r="AV6" s="136"/>
      <c r="AW6" s="136"/>
      <c r="AX6" s="137"/>
      <c r="AY6" s="158" t="s">
        <v>407</v>
      </c>
      <c r="AZ6" s="136"/>
      <c r="BA6" s="136"/>
      <c r="BB6" s="136"/>
      <c r="BC6" s="136"/>
      <c r="BD6" s="136"/>
      <c r="BE6" s="136"/>
      <c r="BF6" s="136"/>
      <c r="BG6" s="136"/>
      <c r="BH6" s="136"/>
      <c r="BI6" s="136"/>
      <c r="BJ6" s="136"/>
      <c r="BK6" s="136"/>
      <c r="BL6" s="136"/>
      <c r="BM6" s="137"/>
    </row>
    <row r="7" spans="1:65" ht="15.75" customHeight="1">
      <c r="A7" s="62"/>
      <c r="B7" s="14" t="s">
        <v>49</v>
      </c>
      <c r="C7" s="14" t="s">
        <v>50</v>
      </c>
      <c r="D7" s="14" t="s">
        <v>51</v>
      </c>
      <c r="E7" s="14" t="s">
        <v>52</v>
      </c>
      <c r="F7" s="84" t="s">
        <v>408</v>
      </c>
      <c r="G7" s="85" t="s">
        <v>409</v>
      </c>
      <c r="H7" s="85" t="s">
        <v>410</v>
      </c>
      <c r="I7" s="85" t="s">
        <v>411</v>
      </c>
      <c r="J7" s="85" t="s">
        <v>412</v>
      </c>
      <c r="K7" s="85" t="s">
        <v>413</v>
      </c>
      <c r="L7" s="85" t="s">
        <v>414</v>
      </c>
      <c r="M7" s="85" t="s">
        <v>415</v>
      </c>
      <c r="N7" s="85" t="s">
        <v>416</v>
      </c>
      <c r="O7" s="85" t="s">
        <v>417</v>
      </c>
      <c r="P7" s="85" t="s">
        <v>418</v>
      </c>
      <c r="Q7" s="85" t="s">
        <v>419</v>
      </c>
      <c r="R7" s="85" t="s">
        <v>420</v>
      </c>
      <c r="S7" s="85" t="s">
        <v>421</v>
      </c>
      <c r="T7" s="85" t="s">
        <v>422</v>
      </c>
      <c r="U7" s="86" t="s">
        <v>408</v>
      </c>
      <c r="V7" s="87" t="s">
        <v>409</v>
      </c>
      <c r="W7" s="87" t="s">
        <v>410</v>
      </c>
      <c r="X7" s="87" t="s">
        <v>411</v>
      </c>
      <c r="Y7" s="87" t="s">
        <v>412</v>
      </c>
      <c r="Z7" s="87" t="s">
        <v>413</v>
      </c>
      <c r="AA7" s="87" t="s">
        <v>414</v>
      </c>
      <c r="AB7" s="87" t="s">
        <v>415</v>
      </c>
      <c r="AC7" s="87" t="s">
        <v>416</v>
      </c>
      <c r="AD7" s="87" t="s">
        <v>417</v>
      </c>
      <c r="AE7" s="87" t="s">
        <v>418</v>
      </c>
      <c r="AF7" s="87" t="s">
        <v>419</v>
      </c>
      <c r="AG7" s="87" t="s">
        <v>420</v>
      </c>
      <c r="AH7" s="87" t="s">
        <v>421</v>
      </c>
      <c r="AI7" s="86" t="s">
        <v>422</v>
      </c>
      <c r="AJ7" s="88" t="s">
        <v>408</v>
      </c>
      <c r="AK7" s="89" t="s">
        <v>409</v>
      </c>
      <c r="AL7" s="89" t="s">
        <v>410</v>
      </c>
      <c r="AM7" s="89" t="s">
        <v>411</v>
      </c>
      <c r="AN7" s="89" t="s">
        <v>412</v>
      </c>
      <c r="AO7" s="89" t="s">
        <v>413</v>
      </c>
      <c r="AP7" s="89" t="s">
        <v>414</v>
      </c>
      <c r="AQ7" s="89" t="s">
        <v>415</v>
      </c>
      <c r="AR7" s="89" t="s">
        <v>416</v>
      </c>
      <c r="AS7" s="89" t="s">
        <v>417</v>
      </c>
      <c r="AT7" s="89" t="s">
        <v>418</v>
      </c>
      <c r="AU7" s="89" t="s">
        <v>419</v>
      </c>
      <c r="AV7" s="89" t="s">
        <v>420</v>
      </c>
      <c r="AW7" s="89" t="s">
        <v>421</v>
      </c>
      <c r="AX7" s="88" t="s">
        <v>422</v>
      </c>
      <c r="AY7" s="90" t="s">
        <v>408</v>
      </c>
      <c r="AZ7" s="91" t="s">
        <v>409</v>
      </c>
      <c r="BA7" s="91" t="s">
        <v>410</v>
      </c>
      <c r="BB7" s="91" t="s">
        <v>411</v>
      </c>
      <c r="BC7" s="91" t="s">
        <v>412</v>
      </c>
      <c r="BD7" s="91" t="s">
        <v>413</v>
      </c>
      <c r="BE7" s="91" t="s">
        <v>414</v>
      </c>
      <c r="BF7" s="91" t="s">
        <v>415</v>
      </c>
      <c r="BG7" s="91" t="s">
        <v>416</v>
      </c>
      <c r="BH7" s="91" t="s">
        <v>417</v>
      </c>
      <c r="BI7" s="91" t="s">
        <v>418</v>
      </c>
      <c r="BJ7" s="91" t="s">
        <v>419</v>
      </c>
      <c r="BK7" s="91" t="s">
        <v>420</v>
      </c>
      <c r="BL7" s="91" t="s">
        <v>421</v>
      </c>
      <c r="BM7" s="90" t="s">
        <v>422</v>
      </c>
    </row>
    <row r="8" spans="1:65" ht="15.75" customHeight="1">
      <c r="A8" s="16" t="e">
        <f ca="1">_xludf.image("https://lh3.google.com/u/0/d/1VXH2xqPa9x_nAlmXCBfLK2RwsgRqS38K",1)</f>
        <v>#NAME?</v>
      </c>
      <c r="B8" s="92" t="s">
        <v>174</v>
      </c>
      <c r="C8" s="147"/>
      <c r="D8" s="145"/>
      <c r="E8" s="146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63"/>
      <c r="AK8" s="63"/>
      <c r="AL8" s="63"/>
      <c r="AM8" s="63"/>
      <c r="AN8" s="63"/>
      <c r="AO8" s="63"/>
      <c r="AP8" s="63"/>
      <c r="AQ8" s="63"/>
      <c r="AR8" s="63"/>
      <c r="AS8" s="63"/>
      <c r="AT8" s="63"/>
      <c r="AU8" s="63"/>
      <c r="AV8" s="63"/>
      <c r="AW8" s="63"/>
      <c r="AX8" s="63"/>
      <c r="AY8" s="63"/>
      <c r="AZ8" s="63"/>
      <c r="BA8" s="63"/>
      <c r="BB8" s="63"/>
      <c r="BC8" s="63"/>
      <c r="BD8" s="63"/>
      <c r="BE8" s="63"/>
      <c r="BF8" s="63"/>
      <c r="BG8" s="63"/>
      <c r="BH8" s="63"/>
      <c r="BI8" s="63"/>
      <c r="BJ8" s="63"/>
      <c r="BK8" s="63"/>
      <c r="BL8" s="63"/>
      <c r="BM8" s="63"/>
    </row>
    <row r="9" spans="1:65" ht="12.75">
      <c r="A9" s="20"/>
      <c r="B9" s="159" t="s">
        <v>175</v>
      </c>
      <c r="C9" s="136"/>
      <c r="D9" s="136"/>
      <c r="E9" s="137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</row>
    <row r="10" spans="1:65" ht="15.75" customHeight="1">
      <c r="A10" s="24"/>
      <c r="B10" s="94" t="s">
        <v>176</v>
      </c>
      <c r="C10" s="26">
        <v>380</v>
      </c>
      <c r="D10" s="26">
        <v>360</v>
      </c>
      <c r="E10" s="95">
        <v>450</v>
      </c>
      <c r="F10" s="42" t="s">
        <v>423</v>
      </c>
      <c r="G10" s="27">
        <v>7374000</v>
      </c>
      <c r="H10" s="27">
        <v>7694000</v>
      </c>
      <c r="I10" s="27">
        <v>7411000</v>
      </c>
      <c r="J10" s="27">
        <v>7886000</v>
      </c>
      <c r="K10" s="27">
        <v>7869000</v>
      </c>
      <c r="L10" s="27">
        <v>7484000</v>
      </c>
      <c r="M10" s="27">
        <v>7576000</v>
      </c>
      <c r="N10" s="27">
        <v>8104000</v>
      </c>
      <c r="O10" s="27">
        <v>8205000</v>
      </c>
      <c r="P10" s="27">
        <v>7637000</v>
      </c>
      <c r="Q10" s="27">
        <v>7569000</v>
      </c>
      <c r="R10" s="27">
        <v>7569000</v>
      </c>
      <c r="S10" s="27">
        <v>8121000</v>
      </c>
      <c r="T10" s="27">
        <v>8292000</v>
      </c>
      <c r="U10" s="42" t="s">
        <v>423</v>
      </c>
      <c r="V10" s="27">
        <v>7247000</v>
      </c>
      <c r="W10" s="27">
        <v>7567000</v>
      </c>
      <c r="X10" s="27">
        <v>7284000</v>
      </c>
      <c r="Y10" s="27">
        <v>7759000</v>
      </c>
      <c r="Z10" s="27">
        <v>7742000</v>
      </c>
      <c r="AA10" s="27">
        <v>7357000</v>
      </c>
      <c r="AB10" s="27">
        <v>7449000</v>
      </c>
      <c r="AC10" s="27">
        <v>7977000</v>
      </c>
      <c r="AD10" s="27">
        <v>8078000</v>
      </c>
      <c r="AE10" s="27">
        <v>7510000</v>
      </c>
      <c r="AF10" s="27">
        <v>7442000</v>
      </c>
      <c r="AG10" s="27">
        <v>7442000</v>
      </c>
      <c r="AH10" s="27">
        <v>7994000</v>
      </c>
      <c r="AI10" s="27">
        <v>8165000</v>
      </c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</row>
    <row r="11" spans="1:65" ht="15.75" customHeight="1">
      <c r="A11" s="24"/>
      <c r="B11" s="94" t="s">
        <v>177</v>
      </c>
      <c r="C11" s="26">
        <v>380</v>
      </c>
      <c r="D11" s="26">
        <v>360</v>
      </c>
      <c r="E11" s="95">
        <v>600</v>
      </c>
      <c r="F11" s="42" t="s">
        <v>423</v>
      </c>
      <c r="G11" s="27">
        <v>7765000</v>
      </c>
      <c r="H11" s="27">
        <v>8192000</v>
      </c>
      <c r="I11" s="27">
        <v>7814000</v>
      </c>
      <c r="J11" s="27">
        <v>8448000</v>
      </c>
      <c r="K11" s="27">
        <v>8425000</v>
      </c>
      <c r="L11" s="27">
        <v>7912000</v>
      </c>
      <c r="M11" s="27">
        <v>8035000</v>
      </c>
      <c r="N11" s="27">
        <v>8739000</v>
      </c>
      <c r="O11" s="27">
        <v>8873000</v>
      </c>
      <c r="P11" s="27">
        <v>8116000</v>
      </c>
      <c r="Q11" s="27">
        <v>8025000</v>
      </c>
      <c r="R11" s="27">
        <v>8025000</v>
      </c>
      <c r="S11" s="27">
        <v>8761000</v>
      </c>
      <c r="T11" s="27">
        <v>8989000</v>
      </c>
      <c r="U11" s="42" t="s">
        <v>423</v>
      </c>
      <c r="V11" s="27">
        <v>7615000</v>
      </c>
      <c r="W11" s="27">
        <v>8041000</v>
      </c>
      <c r="X11" s="27">
        <v>7664000</v>
      </c>
      <c r="Y11" s="27">
        <v>8297000</v>
      </c>
      <c r="Z11" s="27">
        <v>8275000</v>
      </c>
      <c r="AA11" s="27">
        <v>7762000</v>
      </c>
      <c r="AB11" s="27">
        <v>7884000</v>
      </c>
      <c r="AC11" s="27">
        <v>8588000</v>
      </c>
      <c r="AD11" s="27">
        <v>8722000</v>
      </c>
      <c r="AE11" s="27">
        <v>7965000</v>
      </c>
      <c r="AF11" s="27">
        <v>7874000</v>
      </c>
      <c r="AG11" s="27">
        <v>7874000</v>
      </c>
      <c r="AH11" s="27">
        <v>8611000</v>
      </c>
      <c r="AI11" s="27">
        <v>8838000</v>
      </c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</row>
    <row r="12" spans="1:65" ht="15.75" customHeight="1">
      <c r="A12" s="24"/>
      <c r="B12" s="94" t="s">
        <v>178</v>
      </c>
      <c r="C12" s="26">
        <v>380</v>
      </c>
      <c r="D12" s="26">
        <v>360</v>
      </c>
      <c r="E12" s="95">
        <v>900</v>
      </c>
      <c r="F12" s="42" t="s">
        <v>423</v>
      </c>
      <c r="G12" s="27">
        <v>8529000</v>
      </c>
      <c r="H12" s="27">
        <v>9168000</v>
      </c>
      <c r="I12" s="27">
        <v>8603000</v>
      </c>
      <c r="J12" s="27">
        <v>9553000</v>
      </c>
      <c r="K12" s="27">
        <v>9519000</v>
      </c>
      <c r="L12" s="27">
        <v>8750000</v>
      </c>
      <c r="M12" s="27">
        <v>8933000</v>
      </c>
      <c r="N12" s="27">
        <v>9989000</v>
      </c>
      <c r="O12" s="27">
        <v>10190000</v>
      </c>
      <c r="P12" s="27">
        <v>9055000</v>
      </c>
      <c r="Q12" s="27">
        <v>8919000</v>
      </c>
      <c r="R12" s="27">
        <v>8919000</v>
      </c>
      <c r="S12" s="27">
        <v>10023000</v>
      </c>
      <c r="T12" s="27">
        <v>10364000</v>
      </c>
      <c r="U12" s="42" t="s">
        <v>423</v>
      </c>
      <c r="V12" s="27">
        <v>8332000</v>
      </c>
      <c r="W12" s="27">
        <v>8971000</v>
      </c>
      <c r="X12" s="27">
        <v>8405000</v>
      </c>
      <c r="Y12" s="27">
        <v>9355000</v>
      </c>
      <c r="Z12" s="27">
        <v>9322000</v>
      </c>
      <c r="AA12" s="27">
        <v>8552000</v>
      </c>
      <c r="AB12" s="27">
        <v>8736000</v>
      </c>
      <c r="AC12" s="27">
        <v>9792000</v>
      </c>
      <c r="AD12" s="27">
        <v>9993000</v>
      </c>
      <c r="AE12" s="27">
        <v>8857000</v>
      </c>
      <c r="AF12" s="27">
        <v>8721000</v>
      </c>
      <c r="AG12" s="27">
        <v>8721000</v>
      </c>
      <c r="AH12" s="27">
        <v>9825000</v>
      </c>
      <c r="AI12" s="27">
        <v>10167000</v>
      </c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</row>
    <row r="13" spans="1:65" ht="15.75" customHeight="1">
      <c r="A13" s="24"/>
      <c r="B13" s="94" t="s">
        <v>179</v>
      </c>
      <c r="C13" s="26">
        <v>380</v>
      </c>
      <c r="D13" s="26">
        <v>563</v>
      </c>
      <c r="E13" s="95">
        <v>450</v>
      </c>
      <c r="F13" s="42" t="s">
        <v>423</v>
      </c>
      <c r="G13" s="27">
        <v>8133000</v>
      </c>
      <c r="H13" s="27">
        <v>8632000</v>
      </c>
      <c r="I13" s="27">
        <v>8190000</v>
      </c>
      <c r="J13" s="27">
        <v>8933000</v>
      </c>
      <c r="K13" s="27">
        <v>8907000</v>
      </c>
      <c r="L13" s="27">
        <v>8305000</v>
      </c>
      <c r="M13" s="27">
        <v>8449000</v>
      </c>
      <c r="N13" s="27">
        <v>9274000</v>
      </c>
      <c r="O13" s="27">
        <v>9431000</v>
      </c>
      <c r="P13" s="27">
        <v>8543000</v>
      </c>
      <c r="Q13" s="27">
        <v>8437000</v>
      </c>
      <c r="R13" s="27">
        <v>8437000</v>
      </c>
      <c r="S13" s="27">
        <v>9300000</v>
      </c>
      <c r="T13" s="27">
        <v>9568000</v>
      </c>
      <c r="U13" s="42" t="s">
        <v>423</v>
      </c>
      <c r="V13" s="27">
        <v>7974000</v>
      </c>
      <c r="W13" s="27">
        <v>8473000</v>
      </c>
      <c r="X13" s="27">
        <v>8031000</v>
      </c>
      <c r="Y13" s="27">
        <v>8774000</v>
      </c>
      <c r="Z13" s="27">
        <v>8748000</v>
      </c>
      <c r="AA13" s="27">
        <v>8146000</v>
      </c>
      <c r="AB13" s="27">
        <v>8290000</v>
      </c>
      <c r="AC13" s="27">
        <v>9116000</v>
      </c>
      <c r="AD13" s="27">
        <v>9273000</v>
      </c>
      <c r="AE13" s="27">
        <v>8384000</v>
      </c>
      <c r="AF13" s="27">
        <v>8278000</v>
      </c>
      <c r="AG13" s="27">
        <v>8278000</v>
      </c>
      <c r="AH13" s="27">
        <v>9142000</v>
      </c>
      <c r="AI13" s="27">
        <v>9409000</v>
      </c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</row>
    <row r="14" spans="1:65" ht="15.75" customHeight="1">
      <c r="A14" s="24"/>
      <c r="B14" s="94" t="s">
        <v>180</v>
      </c>
      <c r="C14" s="26">
        <v>380</v>
      </c>
      <c r="D14" s="26">
        <v>563</v>
      </c>
      <c r="E14" s="95">
        <v>600</v>
      </c>
      <c r="F14" s="42" t="s">
        <v>423</v>
      </c>
      <c r="G14" s="27">
        <v>8646000</v>
      </c>
      <c r="H14" s="27">
        <v>9312000</v>
      </c>
      <c r="I14" s="27">
        <v>8722000</v>
      </c>
      <c r="J14" s="27">
        <v>9712000</v>
      </c>
      <c r="K14" s="27">
        <v>9678000</v>
      </c>
      <c r="L14" s="27">
        <v>8875000</v>
      </c>
      <c r="M14" s="27">
        <v>9067000</v>
      </c>
      <c r="N14" s="27">
        <v>10168000</v>
      </c>
      <c r="O14" s="27">
        <v>10377000</v>
      </c>
      <c r="P14" s="27">
        <v>9193000</v>
      </c>
      <c r="Q14" s="27">
        <v>9051000</v>
      </c>
      <c r="R14" s="27">
        <v>9051000</v>
      </c>
      <c r="S14" s="27">
        <v>10203000</v>
      </c>
      <c r="T14" s="27">
        <v>10559000</v>
      </c>
      <c r="U14" s="42" t="s">
        <v>423</v>
      </c>
      <c r="V14" s="27">
        <v>8463000</v>
      </c>
      <c r="W14" s="27">
        <v>9130000</v>
      </c>
      <c r="X14" s="27">
        <v>8540000</v>
      </c>
      <c r="Y14" s="27">
        <v>9530000</v>
      </c>
      <c r="Z14" s="27">
        <v>9495000</v>
      </c>
      <c r="AA14" s="27">
        <v>8693000</v>
      </c>
      <c r="AB14" s="27">
        <v>8884000</v>
      </c>
      <c r="AC14" s="27">
        <v>9986000</v>
      </c>
      <c r="AD14" s="27">
        <v>10195000</v>
      </c>
      <c r="AE14" s="27">
        <v>9011000</v>
      </c>
      <c r="AF14" s="27">
        <v>8869000</v>
      </c>
      <c r="AG14" s="27">
        <v>8869000</v>
      </c>
      <c r="AH14" s="27">
        <v>10020000</v>
      </c>
      <c r="AI14" s="27">
        <v>10376000</v>
      </c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</row>
    <row r="15" spans="1:65" ht="15.75" customHeight="1">
      <c r="A15" s="24"/>
      <c r="B15" s="94" t="s">
        <v>181</v>
      </c>
      <c r="C15" s="26">
        <v>380</v>
      </c>
      <c r="D15" s="26">
        <v>563</v>
      </c>
      <c r="E15" s="95">
        <v>900</v>
      </c>
      <c r="F15" s="42" t="s">
        <v>423</v>
      </c>
      <c r="G15" s="27">
        <v>9650000</v>
      </c>
      <c r="H15" s="27">
        <v>10650000</v>
      </c>
      <c r="I15" s="27">
        <v>9765000</v>
      </c>
      <c r="J15" s="27">
        <v>11251000</v>
      </c>
      <c r="K15" s="27">
        <v>11199000</v>
      </c>
      <c r="L15" s="27">
        <v>9995000</v>
      </c>
      <c r="M15" s="27">
        <v>10282000</v>
      </c>
      <c r="N15" s="27">
        <v>11934000</v>
      </c>
      <c r="O15" s="27">
        <v>12248000</v>
      </c>
      <c r="P15" s="27">
        <v>10472000</v>
      </c>
      <c r="Q15" s="27">
        <v>10259000</v>
      </c>
      <c r="R15" s="27">
        <v>10259000</v>
      </c>
      <c r="S15" s="27">
        <v>11986000</v>
      </c>
      <c r="T15" s="27">
        <v>12520000</v>
      </c>
      <c r="U15" s="42" t="s">
        <v>423</v>
      </c>
      <c r="V15" s="27">
        <v>9421000</v>
      </c>
      <c r="W15" s="27">
        <v>10421000</v>
      </c>
      <c r="X15" s="27">
        <v>9536000</v>
      </c>
      <c r="Y15" s="27">
        <v>11021000</v>
      </c>
      <c r="Z15" s="27">
        <v>10969000</v>
      </c>
      <c r="AA15" s="27">
        <v>9766000</v>
      </c>
      <c r="AB15" s="27">
        <v>10053000</v>
      </c>
      <c r="AC15" s="27">
        <v>11705000</v>
      </c>
      <c r="AD15" s="27">
        <v>12019000</v>
      </c>
      <c r="AE15" s="27">
        <v>10242000</v>
      </c>
      <c r="AF15" s="27">
        <v>10030000</v>
      </c>
      <c r="AG15" s="27">
        <v>10030000</v>
      </c>
      <c r="AH15" s="27">
        <v>11757000</v>
      </c>
      <c r="AI15" s="27">
        <v>12291000</v>
      </c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</row>
    <row r="16" spans="1:65" ht="15.75" customHeight="1">
      <c r="A16" s="24"/>
      <c r="B16" s="94" t="s">
        <v>182</v>
      </c>
      <c r="C16" s="26">
        <v>380</v>
      </c>
      <c r="D16" s="26">
        <v>360</v>
      </c>
      <c r="E16" s="95">
        <v>450</v>
      </c>
      <c r="F16" s="42" t="s">
        <v>423</v>
      </c>
      <c r="G16" s="27">
        <v>13474000</v>
      </c>
      <c r="H16" s="27">
        <v>13794000</v>
      </c>
      <c r="I16" s="27">
        <v>13511000</v>
      </c>
      <c r="J16" s="27">
        <v>13986000</v>
      </c>
      <c r="K16" s="27">
        <v>13969000</v>
      </c>
      <c r="L16" s="27">
        <v>13584000</v>
      </c>
      <c r="M16" s="27">
        <v>13676000</v>
      </c>
      <c r="N16" s="27">
        <v>14204000</v>
      </c>
      <c r="O16" s="27">
        <v>14305000</v>
      </c>
      <c r="P16" s="27">
        <v>13737000</v>
      </c>
      <c r="Q16" s="27">
        <v>13669000</v>
      </c>
      <c r="R16" s="27">
        <v>13669000</v>
      </c>
      <c r="S16" s="27">
        <v>14221000</v>
      </c>
      <c r="T16" s="27">
        <v>14392000</v>
      </c>
      <c r="U16" s="42" t="s">
        <v>423</v>
      </c>
      <c r="V16" s="27">
        <v>13347000</v>
      </c>
      <c r="W16" s="27">
        <v>13667000</v>
      </c>
      <c r="X16" s="27">
        <v>13384000</v>
      </c>
      <c r="Y16" s="27">
        <v>13859000</v>
      </c>
      <c r="Z16" s="27">
        <v>13842000</v>
      </c>
      <c r="AA16" s="27">
        <v>13457000</v>
      </c>
      <c r="AB16" s="27">
        <v>13549000</v>
      </c>
      <c r="AC16" s="27">
        <v>14077000</v>
      </c>
      <c r="AD16" s="27">
        <v>14178000</v>
      </c>
      <c r="AE16" s="27">
        <v>13610000</v>
      </c>
      <c r="AF16" s="27">
        <v>13542000</v>
      </c>
      <c r="AG16" s="27">
        <v>13542000</v>
      </c>
      <c r="AH16" s="27">
        <v>14094000</v>
      </c>
      <c r="AI16" s="27">
        <v>14265000</v>
      </c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  <c r="BD16" s="29"/>
      <c r="BE16" s="29"/>
      <c r="BF16" s="29"/>
      <c r="BG16" s="29"/>
      <c r="BH16" s="29"/>
      <c r="BI16" s="29"/>
      <c r="BJ16" s="29"/>
      <c r="BK16" s="29"/>
      <c r="BL16" s="29"/>
      <c r="BM16" s="29"/>
    </row>
    <row r="17" spans="1:65" ht="15.75" customHeight="1">
      <c r="A17" s="24"/>
      <c r="B17" s="94" t="s">
        <v>183</v>
      </c>
      <c r="C17" s="26">
        <v>380</v>
      </c>
      <c r="D17" s="26">
        <v>360</v>
      </c>
      <c r="E17" s="95">
        <v>600</v>
      </c>
      <c r="F17" s="42" t="s">
        <v>423</v>
      </c>
      <c r="G17" s="27">
        <v>13865000</v>
      </c>
      <c r="H17" s="27">
        <v>14292000</v>
      </c>
      <c r="I17" s="27">
        <v>13914000</v>
      </c>
      <c r="J17" s="27">
        <v>14548000</v>
      </c>
      <c r="K17" s="27">
        <v>14525000</v>
      </c>
      <c r="L17" s="27">
        <v>14012000</v>
      </c>
      <c r="M17" s="27">
        <v>14135000</v>
      </c>
      <c r="N17" s="27">
        <v>14839000</v>
      </c>
      <c r="O17" s="27">
        <v>14973000</v>
      </c>
      <c r="P17" s="27">
        <v>14216000</v>
      </c>
      <c r="Q17" s="27">
        <v>14125000</v>
      </c>
      <c r="R17" s="27">
        <v>14125000</v>
      </c>
      <c r="S17" s="27">
        <v>14861000</v>
      </c>
      <c r="T17" s="27">
        <v>15089000</v>
      </c>
      <c r="U17" s="42" t="s">
        <v>423</v>
      </c>
      <c r="V17" s="27">
        <v>13715000</v>
      </c>
      <c r="W17" s="27">
        <v>14141000</v>
      </c>
      <c r="X17" s="27">
        <v>13764000</v>
      </c>
      <c r="Y17" s="27">
        <v>14397000</v>
      </c>
      <c r="Z17" s="27">
        <v>14375000</v>
      </c>
      <c r="AA17" s="27">
        <v>13862000</v>
      </c>
      <c r="AB17" s="27">
        <v>13984000</v>
      </c>
      <c r="AC17" s="27">
        <v>14688000</v>
      </c>
      <c r="AD17" s="27">
        <v>14822000</v>
      </c>
      <c r="AE17" s="27">
        <v>14065000</v>
      </c>
      <c r="AF17" s="27">
        <v>13974000</v>
      </c>
      <c r="AG17" s="27">
        <v>13974000</v>
      </c>
      <c r="AH17" s="27">
        <v>14711000</v>
      </c>
      <c r="AI17" s="27">
        <v>14938000</v>
      </c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  <c r="BD17" s="29"/>
      <c r="BE17" s="29"/>
      <c r="BF17" s="29"/>
      <c r="BG17" s="29"/>
      <c r="BH17" s="29"/>
      <c r="BI17" s="29"/>
      <c r="BJ17" s="29"/>
      <c r="BK17" s="29"/>
      <c r="BL17" s="29"/>
      <c r="BM17" s="29"/>
    </row>
    <row r="18" spans="1:65" ht="15.75" customHeight="1">
      <c r="A18" s="24"/>
      <c r="B18" s="94" t="s">
        <v>184</v>
      </c>
      <c r="C18" s="26">
        <v>380</v>
      </c>
      <c r="D18" s="26">
        <v>360</v>
      </c>
      <c r="E18" s="95">
        <v>900</v>
      </c>
      <c r="F18" s="42" t="s">
        <v>423</v>
      </c>
      <c r="G18" s="27">
        <v>14629000</v>
      </c>
      <c r="H18" s="27">
        <v>15268000</v>
      </c>
      <c r="I18" s="27">
        <v>14703000</v>
      </c>
      <c r="J18" s="27">
        <v>15653000</v>
      </c>
      <c r="K18" s="27">
        <v>15619000</v>
      </c>
      <c r="L18" s="27">
        <v>14850000</v>
      </c>
      <c r="M18" s="27">
        <v>15033000</v>
      </c>
      <c r="N18" s="27">
        <v>16089000</v>
      </c>
      <c r="O18" s="27">
        <v>16290000</v>
      </c>
      <c r="P18" s="27">
        <v>15155000</v>
      </c>
      <c r="Q18" s="27">
        <v>15019000</v>
      </c>
      <c r="R18" s="27">
        <v>15019000</v>
      </c>
      <c r="S18" s="27">
        <v>16123000</v>
      </c>
      <c r="T18" s="27">
        <v>16464000</v>
      </c>
      <c r="U18" s="42" t="s">
        <v>423</v>
      </c>
      <c r="V18" s="27">
        <v>14432000</v>
      </c>
      <c r="W18" s="27">
        <v>15071000</v>
      </c>
      <c r="X18" s="27">
        <v>14505000</v>
      </c>
      <c r="Y18" s="27">
        <v>15455000</v>
      </c>
      <c r="Z18" s="27">
        <v>15422000</v>
      </c>
      <c r="AA18" s="27">
        <v>14652000</v>
      </c>
      <c r="AB18" s="27">
        <v>14836000</v>
      </c>
      <c r="AC18" s="27">
        <v>15892000</v>
      </c>
      <c r="AD18" s="27">
        <v>16093000</v>
      </c>
      <c r="AE18" s="27">
        <v>14957000</v>
      </c>
      <c r="AF18" s="27">
        <v>14821000</v>
      </c>
      <c r="AG18" s="27">
        <v>14821000</v>
      </c>
      <c r="AH18" s="27">
        <v>15925000</v>
      </c>
      <c r="AI18" s="27">
        <v>16267000</v>
      </c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29"/>
      <c r="BE18" s="29"/>
      <c r="BF18" s="29"/>
      <c r="BG18" s="29"/>
      <c r="BH18" s="29"/>
      <c r="BI18" s="29"/>
      <c r="BJ18" s="29"/>
      <c r="BK18" s="29"/>
      <c r="BL18" s="29"/>
      <c r="BM18" s="29"/>
    </row>
    <row r="19" spans="1:65" ht="15.75" customHeight="1">
      <c r="A19" s="24"/>
      <c r="B19" s="94" t="s">
        <v>185</v>
      </c>
      <c r="C19" s="26">
        <v>380</v>
      </c>
      <c r="D19" s="26">
        <v>563</v>
      </c>
      <c r="E19" s="95">
        <v>450</v>
      </c>
      <c r="F19" s="42" t="s">
        <v>423</v>
      </c>
      <c r="G19" s="27">
        <v>14233000</v>
      </c>
      <c r="H19" s="27">
        <v>14732000</v>
      </c>
      <c r="I19" s="27">
        <v>14290000</v>
      </c>
      <c r="J19" s="27">
        <v>15033000</v>
      </c>
      <c r="K19" s="27">
        <v>15007000</v>
      </c>
      <c r="L19" s="27">
        <v>14405000</v>
      </c>
      <c r="M19" s="27">
        <v>14549000</v>
      </c>
      <c r="N19" s="27">
        <v>15374000</v>
      </c>
      <c r="O19" s="27">
        <v>15531000</v>
      </c>
      <c r="P19" s="27">
        <v>14643000</v>
      </c>
      <c r="Q19" s="27">
        <v>14537000</v>
      </c>
      <c r="R19" s="27">
        <v>14537000</v>
      </c>
      <c r="S19" s="27">
        <v>15400000</v>
      </c>
      <c r="T19" s="27">
        <v>15668000</v>
      </c>
      <c r="U19" s="42" t="s">
        <v>423</v>
      </c>
      <c r="V19" s="27">
        <v>14074000</v>
      </c>
      <c r="W19" s="27">
        <v>14573000</v>
      </c>
      <c r="X19" s="27">
        <v>14131000</v>
      </c>
      <c r="Y19" s="27">
        <v>14874000</v>
      </c>
      <c r="Z19" s="27">
        <v>14848000</v>
      </c>
      <c r="AA19" s="27">
        <v>14246000</v>
      </c>
      <c r="AB19" s="27">
        <v>14390000</v>
      </c>
      <c r="AC19" s="27">
        <v>15216000</v>
      </c>
      <c r="AD19" s="27">
        <v>15373000</v>
      </c>
      <c r="AE19" s="27">
        <v>14484000</v>
      </c>
      <c r="AF19" s="27">
        <v>14378000</v>
      </c>
      <c r="AG19" s="27">
        <v>14378000</v>
      </c>
      <c r="AH19" s="27">
        <v>15242000</v>
      </c>
      <c r="AI19" s="27">
        <v>15509000</v>
      </c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</row>
    <row r="20" spans="1:65" ht="15.75" customHeight="1">
      <c r="A20" s="24"/>
      <c r="B20" s="94" t="s">
        <v>186</v>
      </c>
      <c r="C20" s="26">
        <v>380</v>
      </c>
      <c r="D20" s="26">
        <v>563</v>
      </c>
      <c r="E20" s="95">
        <v>600</v>
      </c>
      <c r="F20" s="42" t="s">
        <v>423</v>
      </c>
      <c r="G20" s="27">
        <v>14746000</v>
      </c>
      <c r="H20" s="27">
        <v>15412000</v>
      </c>
      <c r="I20" s="27">
        <v>14822000</v>
      </c>
      <c r="J20" s="27">
        <v>15812000</v>
      </c>
      <c r="K20" s="27">
        <v>15778000</v>
      </c>
      <c r="L20" s="27">
        <v>14975000</v>
      </c>
      <c r="M20" s="27">
        <v>15167000</v>
      </c>
      <c r="N20" s="27">
        <v>16268000</v>
      </c>
      <c r="O20" s="27">
        <v>16477000</v>
      </c>
      <c r="P20" s="27">
        <v>15293000</v>
      </c>
      <c r="Q20" s="27">
        <v>15151000</v>
      </c>
      <c r="R20" s="27">
        <v>15151000</v>
      </c>
      <c r="S20" s="27">
        <v>16303000</v>
      </c>
      <c r="T20" s="27">
        <v>16659000</v>
      </c>
      <c r="U20" s="42" t="s">
        <v>423</v>
      </c>
      <c r="V20" s="27">
        <v>14563000</v>
      </c>
      <c r="W20" s="27">
        <v>15230000</v>
      </c>
      <c r="X20" s="27">
        <v>14640000</v>
      </c>
      <c r="Y20" s="27">
        <v>15630000</v>
      </c>
      <c r="Z20" s="27">
        <v>15595000</v>
      </c>
      <c r="AA20" s="27">
        <v>14793000</v>
      </c>
      <c r="AB20" s="27">
        <v>14984000</v>
      </c>
      <c r="AC20" s="27">
        <v>16086000</v>
      </c>
      <c r="AD20" s="27">
        <v>16295000</v>
      </c>
      <c r="AE20" s="27">
        <v>15111000</v>
      </c>
      <c r="AF20" s="27">
        <v>14969000</v>
      </c>
      <c r="AG20" s="27">
        <v>14969000</v>
      </c>
      <c r="AH20" s="27">
        <v>16120000</v>
      </c>
      <c r="AI20" s="27">
        <v>16476000</v>
      </c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</row>
    <row r="21" spans="1:65" ht="15.75" customHeight="1">
      <c r="A21" s="24"/>
      <c r="B21" s="94" t="s">
        <v>187</v>
      </c>
      <c r="C21" s="96">
        <v>380</v>
      </c>
      <c r="D21" s="96">
        <v>563</v>
      </c>
      <c r="E21" s="97">
        <v>900</v>
      </c>
      <c r="F21" s="42" t="s">
        <v>423</v>
      </c>
      <c r="G21" s="27">
        <v>15750000</v>
      </c>
      <c r="H21" s="27">
        <v>16750000</v>
      </c>
      <c r="I21" s="27">
        <v>15865000</v>
      </c>
      <c r="J21" s="27">
        <v>17351000</v>
      </c>
      <c r="K21" s="27">
        <v>17299000</v>
      </c>
      <c r="L21" s="27">
        <v>16095000</v>
      </c>
      <c r="M21" s="27">
        <v>16382000</v>
      </c>
      <c r="N21" s="27">
        <v>18034000</v>
      </c>
      <c r="O21" s="27">
        <v>18348000</v>
      </c>
      <c r="P21" s="27">
        <v>16572000</v>
      </c>
      <c r="Q21" s="27">
        <v>16359000</v>
      </c>
      <c r="R21" s="27">
        <v>16359000</v>
      </c>
      <c r="S21" s="27">
        <v>18086000</v>
      </c>
      <c r="T21" s="27">
        <v>18620000</v>
      </c>
      <c r="U21" s="42" t="s">
        <v>423</v>
      </c>
      <c r="V21" s="27">
        <v>15521000</v>
      </c>
      <c r="W21" s="27">
        <v>16521000</v>
      </c>
      <c r="X21" s="27">
        <v>15636000</v>
      </c>
      <c r="Y21" s="27">
        <v>17121000</v>
      </c>
      <c r="Z21" s="27">
        <v>17069000</v>
      </c>
      <c r="AA21" s="27">
        <v>15866000</v>
      </c>
      <c r="AB21" s="27">
        <v>16153000</v>
      </c>
      <c r="AC21" s="27">
        <v>17805000</v>
      </c>
      <c r="AD21" s="27">
        <v>18119000</v>
      </c>
      <c r="AE21" s="27">
        <v>16342000</v>
      </c>
      <c r="AF21" s="27">
        <v>16130000</v>
      </c>
      <c r="AG21" s="27">
        <v>16130000</v>
      </c>
      <c r="AH21" s="27">
        <v>17857000</v>
      </c>
      <c r="AI21" s="27">
        <v>18391000</v>
      </c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29"/>
      <c r="BE21" s="29"/>
      <c r="BF21" s="29"/>
      <c r="BG21" s="29"/>
      <c r="BH21" s="29"/>
      <c r="BI21" s="29"/>
      <c r="BJ21" s="29"/>
      <c r="BK21" s="29"/>
      <c r="BL21" s="29"/>
      <c r="BM21" s="29"/>
    </row>
    <row r="22" spans="1:65" ht="15.75" customHeight="1">
      <c r="A22" s="16" t="e">
        <f ca="1">_xludf.image("https://lh3.google.com/u/0/d/1DE9kp6NyD0wMCJZkL5pnYtZgRBDF63cD",1)</f>
        <v>#NAME?</v>
      </c>
      <c r="B22" s="92" t="s">
        <v>188</v>
      </c>
      <c r="C22" s="147"/>
      <c r="D22" s="145"/>
      <c r="E22" s="146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3"/>
      <c r="AJ22" s="63"/>
      <c r="AK22" s="63"/>
      <c r="AL22" s="63"/>
      <c r="AM22" s="63"/>
      <c r="AN22" s="63"/>
      <c r="AO22" s="63"/>
      <c r="AP22" s="63"/>
      <c r="AQ22" s="63"/>
      <c r="AR22" s="63"/>
      <c r="AS22" s="63"/>
      <c r="AT22" s="63"/>
      <c r="AU22" s="63"/>
      <c r="AV22" s="63"/>
      <c r="AW22" s="63"/>
      <c r="AX22" s="63"/>
      <c r="AY22" s="63"/>
      <c r="AZ22" s="63"/>
      <c r="BA22" s="63"/>
      <c r="BB22" s="63"/>
      <c r="BC22" s="63"/>
      <c r="BD22" s="63"/>
      <c r="BE22" s="63"/>
      <c r="BF22" s="63"/>
      <c r="BG22" s="63"/>
      <c r="BH22" s="63"/>
      <c r="BI22" s="63"/>
      <c r="BJ22" s="63"/>
      <c r="BK22" s="63"/>
      <c r="BL22" s="63"/>
      <c r="BM22" s="63"/>
    </row>
    <row r="23" spans="1:65" ht="12.75">
      <c r="A23" s="20"/>
      <c r="B23" s="159" t="s">
        <v>189</v>
      </c>
      <c r="C23" s="136"/>
      <c r="D23" s="136"/>
      <c r="E23" s="137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</row>
    <row r="24" spans="1:65" ht="15.75" customHeight="1">
      <c r="A24" s="24"/>
      <c r="B24" s="94" t="s">
        <v>190</v>
      </c>
      <c r="C24" s="26">
        <v>380</v>
      </c>
      <c r="D24" s="26">
        <v>360</v>
      </c>
      <c r="E24" s="95">
        <v>450</v>
      </c>
      <c r="F24" s="42" t="s">
        <v>423</v>
      </c>
      <c r="G24" s="27">
        <v>6274000</v>
      </c>
      <c r="H24" s="27">
        <v>6594000</v>
      </c>
      <c r="I24" s="27">
        <v>6311000</v>
      </c>
      <c r="J24" s="27">
        <v>6786000</v>
      </c>
      <c r="K24" s="27">
        <v>6769000</v>
      </c>
      <c r="L24" s="27">
        <v>6384000</v>
      </c>
      <c r="M24" s="27">
        <v>6476000</v>
      </c>
      <c r="N24" s="27">
        <v>7004000</v>
      </c>
      <c r="O24" s="27">
        <v>7105000</v>
      </c>
      <c r="P24" s="27">
        <v>6537000</v>
      </c>
      <c r="Q24" s="27">
        <v>6469000</v>
      </c>
      <c r="R24" s="27">
        <v>6469000</v>
      </c>
      <c r="S24" s="27">
        <v>7021000</v>
      </c>
      <c r="T24" s="27">
        <v>7192000</v>
      </c>
      <c r="U24" s="42" t="s">
        <v>423</v>
      </c>
      <c r="V24" s="27">
        <v>6147000</v>
      </c>
      <c r="W24" s="27">
        <v>6467000</v>
      </c>
      <c r="X24" s="27">
        <v>6184000</v>
      </c>
      <c r="Y24" s="27">
        <v>6659000</v>
      </c>
      <c r="Z24" s="27">
        <v>6642000</v>
      </c>
      <c r="AA24" s="27">
        <v>6257000</v>
      </c>
      <c r="AB24" s="27">
        <v>6349000</v>
      </c>
      <c r="AC24" s="27">
        <v>6877000</v>
      </c>
      <c r="AD24" s="27">
        <v>6978000</v>
      </c>
      <c r="AE24" s="27">
        <v>6410000</v>
      </c>
      <c r="AF24" s="27">
        <v>6342000</v>
      </c>
      <c r="AG24" s="27">
        <v>6342000</v>
      </c>
      <c r="AH24" s="27">
        <v>6894000</v>
      </c>
      <c r="AI24" s="27">
        <v>7065000</v>
      </c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  <c r="BG24" s="29"/>
      <c r="BH24" s="29"/>
      <c r="BI24" s="29"/>
      <c r="BJ24" s="29"/>
      <c r="BK24" s="29"/>
      <c r="BL24" s="29"/>
      <c r="BM24" s="29"/>
    </row>
    <row r="25" spans="1:65" ht="15.75" customHeight="1">
      <c r="A25" s="24"/>
      <c r="B25" s="94" t="s">
        <v>191</v>
      </c>
      <c r="C25" s="26">
        <v>380</v>
      </c>
      <c r="D25" s="26">
        <v>360</v>
      </c>
      <c r="E25" s="95">
        <v>600</v>
      </c>
      <c r="F25" s="42" t="s">
        <v>423</v>
      </c>
      <c r="G25" s="27">
        <v>6665000</v>
      </c>
      <c r="H25" s="27">
        <v>7092000</v>
      </c>
      <c r="I25" s="27">
        <v>6714000</v>
      </c>
      <c r="J25" s="27">
        <v>7348000</v>
      </c>
      <c r="K25" s="27">
        <v>7325000</v>
      </c>
      <c r="L25" s="27">
        <v>6812000</v>
      </c>
      <c r="M25" s="27">
        <v>6935000</v>
      </c>
      <c r="N25" s="27">
        <v>7639000</v>
      </c>
      <c r="O25" s="27">
        <v>7773000</v>
      </c>
      <c r="P25" s="27">
        <v>7016000</v>
      </c>
      <c r="Q25" s="27">
        <v>6925000</v>
      </c>
      <c r="R25" s="27">
        <v>6925000</v>
      </c>
      <c r="S25" s="27">
        <v>7661000</v>
      </c>
      <c r="T25" s="27">
        <v>7889000</v>
      </c>
      <c r="U25" s="42" t="s">
        <v>423</v>
      </c>
      <c r="V25" s="27">
        <v>6515000</v>
      </c>
      <c r="W25" s="27">
        <v>6941000</v>
      </c>
      <c r="X25" s="27">
        <v>6564000</v>
      </c>
      <c r="Y25" s="27">
        <v>7197000</v>
      </c>
      <c r="Z25" s="27">
        <v>7175000</v>
      </c>
      <c r="AA25" s="27">
        <v>6662000</v>
      </c>
      <c r="AB25" s="27">
        <v>6784000</v>
      </c>
      <c r="AC25" s="27">
        <v>7488000</v>
      </c>
      <c r="AD25" s="27">
        <v>7622000</v>
      </c>
      <c r="AE25" s="27">
        <v>6865000</v>
      </c>
      <c r="AF25" s="27">
        <v>6774000</v>
      </c>
      <c r="AG25" s="27">
        <v>6774000</v>
      </c>
      <c r="AH25" s="27">
        <v>7511000</v>
      </c>
      <c r="AI25" s="27">
        <v>7738000</v>
      </c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  <c r="BG25" s="29"/>
      <c r="BH25" s="29"/>
      <c r="BI25" s="29"/>
      <c r="BJ25" s="29"/>
      <c r="BK25" s="29"/>
      <c r="BL25" s="29"/>
      <c r="BM25" s="29"/>
    </row>
    <row r="26" spans="1:65" ht="15.75" customHeight="1">
      <c r="A26" s="24"/>
      <c r="B26" s="94" t="s">
        <v>192</v>
      </c>
      <c r="C26" s="26">
        <v>380</v>
      </c>
      <c r="D26" s="26">
        <v>360</v>
      </c>
      <c r="E26" s="95">
        <v>900</v>
      </c>
      <c r="F26" s="42" t="s">
        <v>423</v>
      </c>
      <c r="G26" s="27">
        <v>7429000</v>
      </c>
      <c r="H26" s="27">
        <v>8068000</v>
      </c>
      <c r="I26" s="27">
        <v>7503000</v>
      </c>
      <c r="J26" s="27">
        <v>8453000</v>
      </c>
      <c r="K26" s="27">
        <v>8419000</v>
      </c>
      <c r="L26" s="27">
        <v>7650000</v>
      </c>
      <c r="M26" s="27">
        <v>7833000</v>
      </c>
      <c r="N26" s="27">
        <v>8889000</v>
      </c>
      <c r="O26" s="27">
        <v>9090000</v>
      </c>
      <c r="P26" s="27">
        <v>7955000</v>
      </c>
      <c r="Q26" s="27">
        <v>7819000</v>
      </c>
      <c r="R26" s="27">
        <v>7819000</v>
      </c>
      <c r="S26" s="27">
        <v>8923000</v>
      </c>
      <c r="T26" s="27">
        <v>9264000</v>
      </c>
      <c r="U26" s="42" t="s">
        <v>423</v>
      </c>
      <c r="V26" s="27">
        <v>7232000</v>
      </c>
      <c r="W26" s="27">
        <v>7871000</v>
      </c>
      <c r="X26" s="27">
        <v>7305000</v>
      </c>
      <c r="Y26" s="27">
        <v>8255000</v>
      </c>
      <c r="Z26" s="27">
        <v>8222000</v>
      </c>
      <c r="AA26" s="27">
        <v>7452000</v>
      </c>
      <c r="AB26" s="27">
        <v>7636000</v>
      </c>
      <c r="AC26" s="27">
        <v>8692000</v>
      </c>
      <c r="AD26" s="27">
        <v>8893000</v>
      </c>
      <c r="AE26" s="27">
        <v>7757000</v>
      </c>
      <c r="AF26" s="27">
        <v>7621000</v>
      </c>
      <c r="AG26" s="27">
        <v>7621000</v>
      </c>
      <c r="AH26" s="27">
        <v>8725000</v>
      </c>
      <c r="AI26" s="27">
        <v>9067000</v>
      </c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  <c r="BG26" s="29"/>
      <c r="BH26" s="29"/>
      <c r="BI26" s="29"/>
      <c r="BJ26" s="29"/>
      <c r="BK26" s="29"/>
      <c r="BL26" s="29"/>
      <c r="BM26" s="29"/>
    </row>
    <row r="27" spans="1:65" ht="15.75" customHeight="1">
      <c r="A27" s="24"/>
      <c r="B27" s="94" t="s">
        <v>193</v>
      </c>
      <c r="C27" s="26">
        <v>380</v>
      </c>
      <c r="D27" s="26">
        <v>600</v>
      </c>
      <c r="E27" s="95">
        <v>450</v>
      </c>
      <c r="F27" s="42" t="s">
        <v>423</v>
      </c>
      <c r="G27" s="27">
        <v>7117000</v>
      </c>
      <c r="H27" s="27">
        <v>7649000</v>
      </c>
      <c r="I27" s="27">
        <v>7178000</v>
      </c>
      <c r="J27" s="27">
        <v>7969000</v>
      </c>
      <c r="K27" s="27">
        <v>7942000</v>
      </c>
      <c r="L27" s="27">
        <v>7300000</v>
      </c>
      <c r="M27" s="27">
        <v>7453000</v>
      </c>
      <c r="N27" s="27">
        <v>8333000</v>
      </c>
      <c r="O27" s="27">
        <v>8501000</v>
      </c>
      <c r="P27" s="27">
        <v>7554000</v>
      </c>
      <c r="Q27" s="27">
        <v>7441000</v>
      </c>
      <c r="R27" s="27">
        <v>7441000</v>
      </c>
      <c r="S27" s="27">
        <v>8361000</v>
      </c>
      <c r="T27" s="27">
        <v>8646000</v>
      </c>
      <c r="U27" s="42" t="s">
        <v>423</v>
      </c>
      <c r="V27" s="27">
        <v>6952000</v>
      </c>
      <c r="W27" s="27">
        <v>7485000</v>
      </c>
      <c r="X27" s="27">
        <v>7013000</v>
      </c>
      <c r="Y27" s="27">
        <v>7805000</v>
      </c>
      <c r="Z27" s="27">
        <v>7777000</v>
      </c>
      <c r="AA27" s="27">
        <v>7136000</v>
      </c>
      <c r="AB27" s="27">
        <v>7289000</v>
      </c>
      <c r="AC27" s="27">
        <v>8169000</v>
      </c>
      <c r="AD27" s="27">
        <v>8336000</v>
      </c>
      <c r="AE27" s="27">
        <v>7390000</v>
      </c>
      <c r="AF27" s="27">
        <v>7276000</v>
      </c>
      <c r="AG27" s="27">
        <v>7276000</v>
      </c>
      <c r="AH27" s="27">
        <v>8197000</v>
      </c>
      <c r="AI27" s="27">
        <v>8481000</v>
      </c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  <c r="BD27" s="29"/>
      <c r="BE27" s="29"/>
      <c r="BF27" s="29"/>
      <c r="BG27" s="29"/>
      <c r="BH27" s="29"/>
      <c r="BI27" s="29"/>
      <c r="BJ27" s="29"/>
      <c r="BK27" s="29"/>
      <c r="BL27" s="29"/>
      <c r="BM27" s="29"/>
    </row>
    <row r="28" spans="1:65" ht="15.75" customHeight="1">
      <c r="A28" s="24"/>
      <c r="B28" s="94" t="s">
        <v>194</v>
      </c>
      <c r="C28" s="26">
        <v>380</v>
      </c>
      <c r="D28" s="26">
        <v>600</v>
      </c>
      <c r="E28" s="95">
        <v>600</v>
      </c>
      <c r="F28" s="42" t="s">
        <v>423</v>
      </c>
      <c r="G28" s="27">
        <v>7636000</v>
      </c>
      <c r="H28" s="27">
        <v>8346000</v>
      </c>
      <c r="I28" s="27">
        <v>7718000</v>
      </c>
      <c r="J28" s="27">
        <v>8773000</v>
      </c>
      <c r="K28" s="27">
        <v>8736000</v>
      </c>
      <c r="L28" s="27">
        <v>7881000</v>
      </c>
      <c r="M28" s="27">
        <v>8085000</v>
      </c>
      <c r="N28" s="27">
        <v>9259000</v>
      </c>
      <c r="O28" s="27">
        <v>9482000</v>
      </c>
      <c r="P28" s="27">
        <v>8220000</v>
      </c>
      <c r="Q28" s="27">
        <v>8069000</v>
      </c>
      <c r="R28" s="27">
        <v>8069000</v>
      </c>
      <c r="S28" s="27">
        <v>9296000</v>
      </c>
      <c r="T28" s="27">
        <v>9675000</v>
      </c>
      <c r="U28" s="42" t="s">
        <v>423</v>
      </c>
      <c r="V28" s="27">
        <v>7448000</v>
      </c>
      <c r="W28" s="27">
        <v>8158000</v>
      </c>
      <c r="X28" s="27">
        <v>7530000</v>
      </c>
      <c r="Y28" s="27">
        <v>8585000</v>
      </c>
      <c r="Z28" s="27">
        <v>8548000</v>
      </c>
      <c r="AA28" s="27">
        <v>7693000</v>
      </c>
      <c r="AB28" s="27">
        <v>7897000</v>
      </c>
      <c r="AC28" s="27">
        <v>9071000</v>
      </c>
      <c r="AD28" s="27">
        <v>9294000</v>
      </c>
      <c r="AE28" s="27">
        <v>8032000</v>
      </c>
      <c r="AF28" s="27">
        <v>7881000</v>
      </c>
      <c r="AG28" s="27">
        <v>7881000</v>
      </c>
      <c r="AH28" s="27">
        <v>9108000</v>
      </c>
      <c r="AI28" s="27">
        <v>9487000</v>
      </c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  <c r="BJ28" s="29"/>
      <c r="BK28" s="29"/>
      <c r="BL28" s="29"/>
      <c r="BM28" s="29"/>
    </row>
    <row r="29" spans="1:65" ht="15.75" customHeight="1">
      <c r="A29" s="24"/>
      <c r="B29" s="94" t="s">
        <v>195</v>
      </c>
      <c r="C29" s="26">
        <v>380</v>
      </c>
      <c r="D29" s="26">
        <v>600</v>
      </c>
      <c r="E29" s="95">
        <v>900</v>
      </c>
      <c r="F29" s="42" t="s">
        <v>423</v>
      </c>
      <c r="G29" s="27">
        <v>8654000</v>
      </c>
      <c r="H29" s="27">
        <v>9720000</v>
      </c>
      <c r="I29" s="27">
        <v>8777000</v>
      </c>
      <c r="J29" s="27">
        <v>10360000</v>
      </c>
      <c r="K29" s="27">
        <v>10304000</v>
      </c>
      <c r="L29" s="27">
        <v>9022000</v>
      </c>
      <c r="M29" s="27">
        <v>9328000</v>
      </c>
      <c r="N29" s="27">
        <v>11088000</v>
      </c>
      <c r="O29" s="27">
        <v>11423000</v>
      </c>
      <c r="P29" s="27">
        <v>9530000</v>
      </c>
      <c r="Q29" s="27">
        <v>9303000</v>
      </c>
      <c r="R29" s="27">
        <v>9303000</v>
      </c>
      <c r="S29" s="27">
        <v>11144000</v>
      </c>
      <c r="T29" s="27">
        <v>11713000</v>
      </c>
      <c r="U29" s="42" t="s">
        <v>423</v>
      </c>
      <c r="V29" s="27">
        <v>8419000</v>
      </c>
      <c r="W29" s="27">
        <v>9485000</v>
      </c>
      <c r="X29" s="27">
        <v>8542000</v>
      </c>
      <c r="Y29" s="27">
        <v>10125000</v>
      </c>
      <c r="Z29" s="27">
        <v>10069000</v>
      </c>
      <c r="AA29" s="27">
        <v>8787000</v>
      </c>
      <c r="AB29" s="27">
        <v>9093000</v>
      </c>
      <c r="AC29" s="27">
        <v>10853000</v>
      </c>
      <c r="AD29" s="27">
        <v>11188000</v>
      </c>
      <c r="AE29" s="27">
        <v>9295000</v>
      </c>
      <c r="AF29" s="27">
        <v>9068000</v>
      </c>
      <c r="AG29" s="27">
        <v>9068000</v>
      </c>
      <c r="AH29" s="27">
        <v>10909000</v>
      </c>
      <c r="AI29" s="27">
        <v>11478000</v>
      </c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  <c r="BD29" s="29"/>
      <c r="BE29" s="29"/>
      <c r="BF29" s="29"/>
      <c r="BG29" s="29"/>
      <c r="BH29" s="29"/>
      <c r="BI29" s="29"/>
      <c r="BJ29" s="29"/>
      <c r="BK29" s="29"/>
      <c r="BL29" s="29"/>
      <c r="BM29" s="29"/>
    </row>
    <row r="30" spans="1:65" ht="15.75" customHeight="1">
      <c r="A30" s="24"/>
      <c r="B30" s="94" t="s">
        <v>196</v>
      </c>
      <c r="C30" s="26">
        <v>380</v>
      </c>
      <c r="D30" s="26">
        <v>360</v>
      </c>
      <c r="E30" s="95">
        <v>450</v>
      </c>
      <c r="F30" s="42" t="s">
        <v>423</v>
      </c>
      <c r="G30" s="27">
        <v>16874000</v>
      </c>
      <c r="H30" s="27">
        <v>17194000</v>
      </c>
      <c r="I30" s="27">
        <v>16911000</v>
      </c>
      <c r="J30" s="27">
        <v>17386000</v>
      </c>
      <c r="K30" s="27">
        <v>17369000</v>
      </c>
      <c r="L30" s="27">
        <v>16984000</v>
      </c>
      <c r="M30" s="27">
        <v>17076000</v>
      </c>
      <c r="N30" s="27">
        <v>17604000</v>
      </c>
      <c r="O30" s="27">
        <v>17705000</v>
      </c>
      <c r="P30" s="27">
        <v>17137000</v>
      </c>
      <c r="Q30" s="27">
        <v>17069000</v>
      </c>
      <c r="R30" s="27">
        <v>17069000</v>
      </c>
      <c r="S30" s="27">
        <v>17621000</v>
      </c>
      <c r="T30" s="27">
        <v>17792000</v>
      </c>
      <c r="U30" s="42" t="s">
        <v>423</v>
      </c>
      <c r="V30" s="27">
        <v>16747000</v>
      </c>
      <c r="W30" s="27">
        <v>17067000</v>
      </c>
      <c r="X30" s="27">
        <v>16784000</v>
      </c>
      <c r="Y30" s="27">
        <v>17259000</v>
      </c>
      <c r="Z30" s="27">
        <v>17242000</v>
      </c>
      <c r="AA30" s="27">
        <v>16857000</v>
      </c>
      <c r="AB30" s="27">
        <v>16949000</v>
      </c>
      <c r="AC30" s="27">
        <v>17477000</v>
      </c>
      <c r="AD30" s="27">
        <v>17578000</v>
      </c>
      <c r="AE30" s="27">
        <v>17010000</v>
      </c>
      <c r="AF30" s="27">
        <v>16942000</v>
      </c>
      <c r="AG30" s="27">
        <v>16942000</v>
      </c>
      <c r="AH30" s="27">
        <v>17494000</v>
      </c>
      <c r="AI30" s="27">
        <v>17665000</v>
      </c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  <c r="BD30" s="29"/>
      <c r="BE30" s="29"/>
      <c r="BF30" s="29"/>
      <c r="BG30" s="29"/>
      <c r="BH30" s="29"/>
      <c r="BI30" s="29"/>
      <c r="BJ30" s="29"/>
      <c r="BK30" s="29"/>
      <c r="BL30" s="29"/>
      <c r="BM30" s="29"/>
    </row>
    <row r="31" spans="1:65" ht="15.75" customHeight="1">
      <c r="A31" s="24"/>
      <c r="B31" s="94" t="s">
        <v>197</v>
      </c>
      <c r="C31" s="26">
        <v>380</v>
      </c>
      <c r="D31" s="26">
        <v>360</v>
      </c>
      <c r="E31" s="95">
        <v>600</v>
      </c>
      <c r="F31" s="42" t="s">
        <v>423</v>
      </c>
      <c r="G31" s="27">
        <v>17265000</v>
      </c>
      <c r="H31" s="27">
        <v>17692000</v>
      </c>
      <c r="I31" s="27">
        <v>17314000</v>
      </c>
      <c r="J31" s="27">
        <v>17948000</v>
      </c>
      <c r="K31" s="27">
        <v>17925000</v>
      </c>
      <c r="L31" s="27">
        <v>17412000</v>
      </c>
      <c r="M31" s="27">
        <v>17535000</v>
      </c>
      <c r="N31" s="27">
        <v>18239000</v>
      </c>
      <c r="O31" s="27">
        <v>18373000</v>
      </c>
      <c r="P31" s="27">
        <v>17616000</v>
      </c>
      <c r="Q31" s="27">
        <v>17525000</v>
      </c>
      <c r="R31" s="27">
        <v>17525000</v>
      </c>
      <c r="S31" s="27">
        <v>18261000</v>
      </c>
      <c r="T31" s="27">
        <v>18489000</v>
      </c>
      <c r="U31" s="42" t="s">
        <v>423</v>
      </c>
      <c r="V31" s="27">
        <v>17115000</v>
      </c>
      <c r="W31" s="27">
        <v>17541000</v>
      </c>
      <c r="X31" s="27">
        <v>17164000</v>
      </c>
      <c r="Y31" s="27">
        <v>17797000</v>
      </c>
      <c r="Z31" s="27">
        <v>17775000</v>
      </c>
      <c r="AA31" s="27">
        <v>17262000</v>
      </c>
      <c r="AB31" s="27">
        <v>17384000</v>
      </c>
      <c r="AC31" s="27">
        <v>18088000</v>
      </c>
      <c r="AD31" s="27">
        <v>18222000</v>
      </c>
      <c r="AE31" s="27">
        <v>17465000</v>
      </c>
      <c r="AF31" s="27">
        <v>17374000</v>
      </c>
      <c r="AG31" s="27">
        <v>17374000</v>
      </c>
      <c r="AH31" s="27">
        <v>18111000</v>
      </c>
      <c r="AI31" s="27">
        <v>18338000</v>
      </c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  <c r="BD31" s="29"/>
      <c r="BE31" s="29"/>
      <c r="BF31" s="29"/>
      <c r="BG31" s="29"/>
      <c r="BH31" s="29"/>
      <c r="BI31" s="29"/>
      <c r="BJ31" s="29"/>
      <c r="BK31" s="29"/>
      <c r="BL31" s="29"/>
      <c r="BM31" s="29"/>
    </row>
    <row r="32" spans="1:65" ht="15.75" customHeight="1">
      <c r="A32" s="24"/>
      <c r="B32" s="94" t="s">
        <v>198</v>
      </c>
      <c r="C32" s="26">
        <v>380</v>
      </c>
      <c r="D32" s="26">
        <v>360</v>
      </c>
      <c r="E32" s="95">
        <v>900</v>
      </c>
      <c r="F32" s="42" t="s">
        <v>423</v>
      </c>
      <c r="G32" s="27">
        <v>18029000</v>
      </c>
      <c r="H32" s="27">
        <v>18668000</v>
      </c>
      <c r="I32" s="27">
        <v>18103000</v>
      </c>
      <c r="J32" s="27">
        <v>19053000</v>
      </c>
      <c r="K32" s="27">
        <v>19019000</v>
      </c>
      <c r="L32" s="27">
        <v>18250000</v>
      </c>
      <c r="M32" s="27">
        <v>18433000</v>
      </c>
      <c r="N32" s="27">
        <v>19489000</v>
      </c>
      <c r="O32" s="27">
        <v>19690000</v>
      </c>
      <c r="P32" s="27">
        <v>18555000</v>
      </c>
      <c r="Q32" s="27">
        <v>18419000</v>
      </c>
      <c r="R32" s="27">
        <v>18419000</v>
      </c>
      <c r="S32" s="27">
        <v>19523000</v>
      </c>
      <c r="T32" s="27">
        <v>19864000</v>
      </c>
      <c r="U32" s="42" t="s">
        <v>423</v>
      </c>
      <c r="V32" s="27">
        <v>17832000</v>
      </c>
      <c r="W32" s="27">
        <v>18471000</v>
      </c>
      <c r="X32" s="27">
        <v>17905000</v>
      </c>
      <c r="Y32" s="27">
        <v>18855000</v>
      </c>
      <c r="Z32" s="27">
        <v>18822000</v>
      </c>
      <c r="AA32" s="27">
        <v>18052000</v>
      </c>
      <c r="AB32" s="27">
        <v>18236000</v>
      </c>
      <c r="AC32" s="27">
        <v>19292000</v>
      </c>
      <c r="AD32" s="27">
        <v>19493000</v>
      </c>
      <c r="AE32" s="27">
        <v>18357000</v>
      </c>
      <c r="AF32" s="27">
        <v>18221000</v>
      </c>
      <c r="AG32" s="27">
        <v>18221000</v>
      </c>
      <c r="AH32" s="27">
        <v>19325000</v>
      </c>
      <c r="AI32" s="27">
        <v>19667000</v>
      </c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/>
      <c r="BD32" s="29"/>
      <c r="BE32" s="29"/>
      <c r="BF32" s="29"/>
      <c r="BG32" s="29"/>
      <c r="BH32" s="29"/>
      <c r="BI32" s="29"/>
      <c r="BJ32" s="29"/>
      <c r="BK32" s="29"/>
      <c r="BL32" s="29"/>
      <c r="BM32" s="29"/>
    </row>
    <row r="33" spans="1:65" ht="15.75" customHeight="1">
      <c r="A33" s="24"/>
      <c r="B33" s="94" t="s">
        <v>199</v>
      </c>
      <c r="C33" s="26">
        <v>380</v>
      </c>
      <c r="D33" s="26">
        <v>600</v>
      </c>
      <c r="E33" s="95">
        <v>450</v>
      </c>
      <c r="F33" s="42" t="s">
        <v>423</v>
      </c>
      <c r="G33" s="27">
        <v>17717000</v>
      </c>
      <c r="H33" s="27">
        <v>18249000</v>
      </c>
      <c r="I33" s="27">
        <v>17778000</v>
      </c>
      <c r="J33" s="27">
        <v>18569000</v>
      </c>
      <c r="K33" s="27">
        <v>18542000</v>
      </c>
      <c r="L33" s="27">
        <v>17900000</v>
      </c>
      <c r="M33" s="27">
        <v>18053000</v>
      </c>
      <c r="N33" s="27">
        <v>18933000</v>
      </c>
      <c r="O33" s="27">
        <v>19101000</v>
      </c>
      <c r="P33" s="27">
        <v>18154000</v>
      </c>
      <c r="Q33" s="27">
        <v>18041000</v>
      </c>
      <c r="R33" s="27">
        <v>18041000</v>
      </c>
      <c r="S33" s="27">
        <v>18961000</v>
      </c>
      <c r="T33" s="27">
        <v>19246000</v>
      </c>
      <c r="U33" s="42" t="s">
        <v>423</v>
      </c>
      <c r="V33" s="27">
        <v>17552000</v>
      </c>
      <c r="W33" s="27">
        <v>18085000</v>
      </c>
      <c r="X33" s="27">
        <v>17613000</v>
      </c>
      <c r="Y33" s="27">
        <v>18405000</v>
      </c>
      <c r="Z33" s="27">
        <v>18377000</v>
      </c>
      <c r="AA33" s="27">
        <v>17736000</v>
      </c>
      <c r="AB33" s="27">
        <v>17889000</v>
      </c>
      <c r="AC33" s="27">
        <v>18769000</v>
      </c>
      <c r="AD33" s="27">
        <v>18936000</v>
      </c>
      <c r="AE33" s="27">
        <v>17990000</v>
      </c>
      <c r="AF33" s="27">
        <v>17876000</v>
      </c>
      <c r="AG33" s="27">
        <v>17876000</v>
      </c>
      <c r="AH33" s="27">
        <v>18797000</v>
      </c>
      <c r="AI33" s="27">
        <v>19081000</v>
      </c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29"/>
      <c r="BC33" s="29"/>
      <c r="BD33" s="29"/>
      <c r="BE33" s="29"/>
      <c r="BF33" s="29"/>
      <c r="BG33" s="29"/>
      <c r="BH33" s="29"/>
      <c r="BI33" s="29"/>
      <c r="BJ33" s="29"/>
      <c r="BK33" s="29"/>
      <c r="BL33" s="29"/>
      <c r="BM33" s="29"/>
    </row>
    <row r="34" spans="1:65" ht="15.75" customHeight="1">
      <c r="A34" s="24"/>
      <c r="B34" s="94" t="s">
        <v>200</v>
      </c>
      <c r="C34" s="26">
        <v>380</v>
      </c>
      <c r="D34" s="26">
        <v>600</v>
      </c>
      <c r="E34" s="95">
        <v>600</v>
      </c>
      <c r="F34" s="42" t="s">
        <v>423</v>
      </c>
      <c r="G34" s="27">
        <v>18236000</v>
      </c>
      <c r="H34" s="27">
        <v>18946000</v>
      </c>
      <c r="I34" s="27">
        <v>18318000</v>
      </c>
      <c r="J34" s="27">
        <v>19373000</v>
      </c>
      <c r="K34" s="27">
        <v>19336000</v>
      </c>
      <c r="L34" s="27">
        <v>18481000</v>
      </c>
      <c r="M34" s="27">
        <v>18685000</v>
      </c>
      <c r="N34" s="27">
        <v>19859000</v>
      </c>
      <c r="O34" s="27">
        <v>20082000</v>
      </c>
      <c r="P34" s="27">
        <v>18820000</v>
      </c>
      <c r="Q34" s="27">
        <v>18669000</v>
      </c>
      <c r="R34" s="27">
        <v>18669000</v>
      </c>
      <c r="S34" s="27">
        <v>19896000</v>
      </c>
      <c r="T34" s="27">
        <v>20275000</v>
      </c>
      <c r="U34" s="42" t="s">
        <v>423</v>
      </c>
      <c r="V34" s="27">
        <v>18048000</v>
      </c>
      <c r="W34" s="27">
        <v>18758000</v>
      </c>
      <c r="X34" s="27">
        <v>18130000</v>
      </c>
      <c r="Y34" s="27">
        <v>19185000</v>
      </c>
      <c r="Z34" s="27">
        <v>19148000</v>
      </c>
      <c r="AA34" s="27">
        <v>18293000</v>
      </c>
      <c r="AB34" s="27">
        <v>18497000</v>
      </c>
      <c r="AC34" s="27">
        <v>19671000</v>
      </c>
      <c r="AD34" s="27">
        <v>19894000</v>
      </c>
      <c r="AE34" s="27">
        <v>18632000</v>
      </c>
      <c r="AF34" s="27">
        <v>18481000</v>
      </c>
      <c r="AG34" s="27">
        <v>18481000</v>
      </c>
      <c r="AH34" s="27">
        <v>19708000</v>
      </c>
      <c r="AI34" s="27">
        <v>20087000</v>
      </c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  <c r="BD34" s="29"/>
      <c r="BE34" s="29"/>
      <c r="BF34" s="29"/>
      <c r="BG34" s="29"/>
      <c r="BH34" s="29"/>
      <c r="BI34" s="29"/>
      <c r="BJ34" s="29"/>
      <c r="BK34" s="29"/>
      <c r="BL34" s="29"/>
      <c r="BM34" s="29"/>
    </row>
    <row r="35" spans="1:65" ht="15.75" customHeight="1">
      <c r="A35" s="24"/>
      <c r="B35" s="94" t="s">
        <v>201</v>
      </c>
      <c r="C35" s="96">
        <v>380</v>
      </c>
      <c r="D35" s="96">
        <v>600</v>
      </c>
      <c r="E35" s="97">
        <v>900</v>
      </c>
      <c r="F35" s="42" t="s">
        <v>423</v>
      </c>
      <c r="G35" s="27">
        <v>19254000</v>
      </c>
      <c r="H35" s="27">
        <v>20320000</v>
      </c>
      <c r="I35" s="27">
        <v>19377000</v>
      </c>
      <c r="J35" s="27">
        <v>20960000</v>
      </c>
      <c r="K35" s="27">
        <v>20904000</v>
      </c>
      <c r="L35" s="27">
        <v>19622000</v>
      </c>
      <c r="M35" s="27">
        <v>19928000</v>
      </c>
      <c r="N35" s="27">
        <v>21688000</v>
      </c>
      <c r="O35" s="27">
        <v>22023000</v>
      </c>
      <c r="P35" s="27">
        <v>20130000</v>
      </c>
      <c r="Q35" s="27">
        <v>19903000</v>
      </c>
      <c r="R35" s="27">
        <v>19903000</v>
      </c>
      <c r="S35" s="27">
        <v>21744000</v>
      </c>
      <c r="T35" s="27">
        <v>22313000</v>
      </c>
      <c r="U35" s="42" t="s">
        <v>423</v>
      </c>
      <c r="V35" s="27">
        <v>19019000</v>
      </c>
      <c r="W35" s="27">
        <v>20085000</v>
      </c>
      <c r="X35" s="27">
        <v>19142000</v>
      </c>
      <c r="Y35" s="27">
        <v>20725000</v>
      </c>
      <c r="Z35" s="27">
        <v>20669000</v>
      </c>
      <c r="AA35" s="27">
        <v>19387000</v>
      </c>
      <c r="AB35" s="27">
        <v>19693000</v>
      </c>
      <c r="AC35" s="27">
        <v>21453000</v>
      </c>
      <c r="AD35" s="27">
        <v>21788000</v>
      </c>
      <c r="AE35" s="27">
        <v>19895000</v>
      </c>
      <c r="AF35" s="27">
        <v>19668000</v>
      </c>
      <c r="AG35" s="27">
        <v>19668000</v>
      </c>
      <c r="AH35" s="27">
        <v>21509000</v>
      </c>
      <c r="AI35" s="27">
        <v>22078000</v>
      </c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  <c r="BJ35" s="29"/>
      <c r="BK35" s="29"/>
      <c r="BL35" s="29"/>
      <c r="BM35" s="29"/>
    </row>
    <row r="36" spans="1:65" ht="15.75" customHeight="1">
      <c r="A36" s="16" t="e">
        <f ca="1">_xludf.image("https://lh3.google.com/u/0/d/1nIlvE4hSr9q7YJRMHlr6h6MLKyRuHQsX",1)</f>
        <v>#NAME?</v>
      </c>
      <c r="B36" s="92" t="s">
        <v>202</v>
      </c>
      <c r="C36" s="147"/>
      <c r="D36" s="145"/>
      <c r="E36" s="146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3"/>
      <c r="AC36" s="63"/>
      <c r="AD36" s="63"/>
      <c r="AE36" s="63"/>
      <c r="AF36" s="63"/>
      <c r="AG36" s="63"/>
      <c r="AH36" s="63"/>
      <c r="AI36" s="63"/>
      <c r="AJ36" s="63"/>
      <c r="AK36" s="63"/>
      <c r="AL36" s="63"/>
      <c r="AM36" s="63"/>
      <c r="AN36" s="63"/>
      <c r="AO36" s="63"/>
      <c r="AP36" s="63"/>
      <c r="AQ36" s="63"/>
      <c r="AR36" s="63"/>
      <c r="AS36" s="63"/>
      <c r="AT36" s="63"/>
      <c r="AU36" s="63"/>
      <c r="AV36" s="63"/>
      <c r="AW36" s="63"/>
      <c r="AX36" s="63"/>
      <c r="AY36" s="63"/>
      <c r="AZ36" s="63"/>
      <c r="BA36" s="63"/>
      <c r="BB36" s="63"/>
      <c r="BC36" s="63"/>
      <c r="BD36" s="63"/>
      <c r="BE36" s="63"/>
      <c r="BF36" s="63"/>
      <c r="BG36" s="63"/>
      <c r="BH36" s="63"/>
      <c r="BI36" s="63"/>
      <c r="BJ36" s="63"/>
      <c r="BK36" s="63"/>
      <c r="BL36" s="63"/>
      <c r="BM36" s="63"/>
    </row>
    <row r="37" spans="1:65" ht="12.75">
      <c r="A37" s="20"/>
      <c r="B37" s="159" t="s">
        <v>203</v>
      </c>
      <c r="C37" s="136"/>
      <c r="D37" s="136"/>
      <c r="E37" s="137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</row>
    <row r="38" spans="1:65" ht="15.75" customHeight="1">
      <c r="A38" s="24"/>
      <c r="B38" s="94" t="s">
        <v>204</v>
      </c>
      <c r="C38" s="26">
        <v>380</v>
      </c>
      <c r="D38" s="26">
        <v>360</v>
      </c>
      <c r="E38" s="95">
        <v>450</v>
      </c>
      <c r="F38" s="42" t="s">
        <v>423</v>
      </c>
      <c r="G38" s="27">
        <v>9174000</v>
      </c>
      <c r="H38" s="27">
        <v>9494000</v>
      </c>
      <c r="I38" s="27">
        <v>9211000</v>
      </c>
      <c r="J38" s="27">
        <v>9686000</v>
      </c>
      <c r="K38" s="27">
        <v>9669000</v>
      </c>
      <c r="L38" s="27">
        <v>9284000</v>
      </c>
      <c r="M38" s="27">
        <v>9376000</v>
      </c>
      <c r="N38" s="27">
        <v>9904000</v>
      </c>
      <c r="O38" s="27">
        <v>10005000</v>
      </c>
      <c r="P38" s="27">
        <v>9437000</v>
      </c>
      <c r="Q38" s="27">
        <v>9369000</v>
      </c>
      <c r="R38" s="27">
        <v>9369000</v>
      </c>
      <c r="S38" s="27">
        <v>9921000</v>
      </c>
      <c r="T38" s="27">
        <v>10092000</v>
      </c>
      <c r="U38" s="42" t="s">
        <v>423</v>
      </c>
      <c r="V38" s="27">
        <v>9047000</v>
      </c>
      <c r="W38" s="27">
        <v>9367000</v>
      </c>
      <c r="X38" s="27">
        <v>9084000</v>
      </c>
      <c r="Y38" s="27">
        <v>9559000</v>
      </c>
      <c r="Z38" s="27">
        <v>9542000</v>
      </c>
      <c r="AA38" s="27">
        <v>9157000</v>
      </c>
      <c r="AB38" s="27">
        <v>9249000</v>
      </c>
      <c r="AC38" s="27">
        <v>9777000</v>
      </c>
      <c r="AD38" s="27">
        <v>9878000</v>
      </c>
      <c r="AE38" s="27">
        <v>9310000</v>
      </c>
      <c r="AF38" s="27">
        <v>9242000</v>
      </c>
      <c r="AG38" s="27">
        <v>9242000</v>
      </c>
      <c r="AH38" s="27">
        <v>9794000</v>
      </c>
      <c r="AI38" s="27">
        <v>9965000</v>
      </c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29"/>
      <c r="AZ38" s="29"/>
      <c r="BA38" s="29"/>
      <c r="BB38" s="29"/>
      <c r="BC38" s="29"/>
      <c r="BD38" s="29"/>
      <c r="BE38" s="29"/>
      <c r="BF38" s="29"/>
      <c r="BG38" s="29"/>
      <c r="BH38" s="29"/>
      <c r="BI38" s="29"/>
      <c r="BJ38" s="29"/>
      <c r="BK38" s="29"/>
      <c r="BL38" s="29"/>
      <c r="BM38" s="29"/>
    </row>
    <row r="39" spans="1:65" ht="15.75" customHeight="1">
      <c r="A39" s="24"/>
      <c r="B39" s="94" t="s">
        <v>205</v>
      </c>
      <c r="C39" s="26">
        <v>380</v>
      </c>
      <c r="D39" s="26">
        <v>360</v>
      </c>
      <c r="E39" s="95">
        <v>600</v>
      </c>
      <c r="F39" s="42" t="s">
        <v>423</v>
      </c>
      <c r="G39" s="27">
        <v>9565000</v>
      </c>
      <c r="H39" s="27">
        <v>9992000</v>
      </c>
      <c r="I39" s="27">
        <v>9614000</v>
      </c>
      <c r="J39" s="27">
        <v>10248000</v>
      </c>
      <c r="K39" s="27">
        <v>10225000</v>
      </c>
      <c r="L39" s="27">
        <v>9712000</v>
      </c>
      <c r="M39" s="27">
        <v>9835000</v>
      </c>
      <c r="N39" s="27">
        <v>10539000</v>
      </c>
      <c r="O39" s="27">
        <v>10673000</v>
      </c>
      <c r="P39" s="27">
        <v>9916000</v>
      </c>
      <c r="Q39" s="27">
        <v>9825000</v>
      </c>
      <c r="R39" s="27">
        <v>9825000</v>
      </c>
      <c r="S39" s="27">
        <v>10561000</v>
      </c>
      <c r="T39" s="27">
        <v>10789000</v>
      </c>
      <c r="U39" s="42" t="s">
        <v>423</v>
      </c>
      <c r="V39" s="27">
        <v>9415000</v>
      </c>
      <c r="W39" s="27">
        <v>9841000</v>
      </c>
      <c r="X39" s="27">
        <v>9464000</v>
      </c>
      <c r="Y39" s="27">
        <v>10097000</v>
      </c>
      <c r="Z39" s="27">
        <v>10075000</v>
      </c>
      <c r="AA39" s="27">
        <v>9562000</v>
      </c>
      <c r="AB39" s="27">
        <v>9684000</v>
      </c>
      <c r="AC39" s="27">
        <v>10388000</v>
      </c>
      <c r="AD39" s="27">
        <v>10522000</v>
      </c>
      <c r="AE39" s="27">
        <v>9765000</v>
      </c>
      <c r="AF39" s="27">
        <v>9674000</v>
      </c>
      <c r="AG39" s="27">
        <v>9674000</v>
      </c>
      <c r="AH39" s="27">
        <v>10411000</v>
      </c>
      <c r="AI39" s="27">
        <v>10638000</v>
      </c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29"/>
      <c r="AZ39" s="29"/>
      <c r="BA39" s="29"/>
      <c r="BB39" s="29"/>
      <c r="BC39" s="29"/>
      <c r="BD39" s="29"/>
      <c r="BE39" s="29"/>
      <c r="BF39" s="29"/>
      <c r="BG39" s="29"/>
      <c r="BH39" s="29"/>
      <c r="BI39" s="29"/>
      <c r="BJ39" s="29"/>
      <c r="BK39" s="29"/>
      <c r="BL39" s="29"/>
      <c r="BM39" s="29"/>
    </row>
    <row r="40" spans="1:65" ht="15.75" customHeight="1">
      <c r="A40" s="24"/>
      <c r="B40" s="94" t="s">
        <v>206</v>
      </c>
      <c r="C40" s="26">
        <v>380</v>
      </c>
      <c r="D40" s="26">
        <v>360</v>
      </c>
      <c r="E40" s="95">
        <v>900</v>
      </c>
      <c r="F40" s="42" t="s">
        <v>423</v>
      </c>
      <c r="G40" s="27">
        <v>10329000</v>
      </c>
      <c r="H40" s="27">
        <v>10968000</v>
      </c>
      <c r="I40" s="27">
        <v>10403000</v>
      </c>
      <c r="J40" s="27">
        <v>11353000</v>
      </c>
      <c r="K40" s="27">
        <v>11319000</v>
      </c>
      <c r="L40" s="27">
        <v>10550000</v>
      </c>
      <c r="M40" s="27">
        <v>10733000</v>
      </c>
      <c r="N40" s="27">
        <v>11789000</v>
      </c>
      <c r="O40" s="27">
        <v>11990000</v>
      </c>
      <c r="P40" s="27">
        <v>10855000</v>
      </c>
      <c r="Q40" s="27">
        <v>10719000</v>
      </c>
      <c r="R40" s="27">
        <v>10719000</v>
      </c>
      <c r="S40" s="27">
        <v>11823000</v>
      </c>
      <c r="T40" s="27">
        <v>12164000</v>
      </c>
      <c r="U40" s="42" t="s">
        <v>423</v>
      </c>
      <c r="V40" s="27">
        <v>10132000</v>
      </c>
      <c r="W40" s="27">
        <v>10771000</v>
      </c>
      <c r="X40" s="27">
        <v>10205000</v>
      </c>
      <c r="Y40" s="27">
        <v>11155000</v>
      </c>
      <c r="Z40" s="27">
        <v>11122000</v>
      </c>
      <c r="AA40" s="27">
        <v>10352000</v>
      </c>
      <c r="AB40" s="27">
        <v>10536000</v>
      </c>
      <c r="AC40" s="27">
        <v>11592000</v>
      </c>
      <c r="AD40" s="27">
        <v>11793000</v>
      </c>
      <c r="AE40" s="27">
        <v>10657000</v>
      </c>
      <c r="AF40" s="27">
        <v>10521000</v>
      </c>
      <c r="AG40" s="27">
        <v>10521000</v>
      </c>
      <c r="AH40" s="27">
        <v>11625000</v>
      </c>
      <c r="AI40" s="27">
        <v>11967000</v>
      </c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29"/>
      <c r="AZ40" s="29"/>
      <c r="BA40" s="29"/>
      <c r="BB40" s="29"/>
      <c r="BC40" s="29"/>
      <c r="BD40" s="29"/>
      <c r="BE40" s="29"/>
      <c r="BF40" s="29"/>
      <c r="BG40" s="29"/>
      <c r="BH40" s="29"/>
      <c r="BI40" s="29"/>
      <c r="BJ40" s="29"/>
      <c r="BK40" s="29"/>
      <c r="BL40" s="29"/>
      <c r="BM40" s="29"/>
    </row>
    <row r="41" spans="1:65" ht="15.75" customHeight="1">
      <c r="A41" s="24"/>
      <c r="B41" s="94" t="s">
        <v>207</v>
      </c>
      <c r="C41" s="26">
        <v>380</v>
      </c>
      <c r="D41" s="26">
        <v>600</v>
      </c>
      <c r="E41" s="95">
        <v>450</v>
      </c>
      <c r="F41" s="42" t="s">
        <v>423</v>
      </c>
      <c r="G41" s="27">
        <v>10017000</v>
      </c>
      <c r="H41" s="27">
        <v>10549000</v>
      </c>
      <c r="I41" s="27">
        <v>10078000</v>
      </c>
      <c r="J41" s="27">
        <v>10869000</v>
      </c>
      <c r="K41" s="27">
        <v>10842000</v>
      </c>
      <c r="L41" s="27">
        <v>10200000</v>
      </c>
      <c r="M41" s="27">
        <v>10353000</v>
      </c>
      <c r="N41" s="27">
        <v>11233000</v>
      </c>
      <c r="O41" s="27">
        <v>11401000</v>
      </c>
      <c r="P41" s="27">
        <v>10454000</v>
      </c>
      <c r="Q41" s="27">
        <v>10341000</v>
      </c>
      <c r="R41" s="27">
        <v>10341000</v>
      </c>
      <c r="S41" s="27">
        <v>11261000</v>
      </c>
      <c r="T41" s="27">
        <v>11546000</v>
      </c>
      <c r="U41" s="42" t="s">
        <v>423</v>
      </c>
      <c r="V41" s="27">
        <v>9852000</v>
      </c>
      <c r="W41" s="27">
        <v>10385000</v>
      </c>
      <c r="X41" s="27">
        <v>9913000</v>
      </c>
      <c r="Y41" s="27">
        <v>10705000</v>
      </c>
      <c r="Z41" s="27">
        <v>10677000</v>
      </c>
      <c r="AA41" s="27">
        <v>10036000</v>
      </c>
      <c r="AB41" s="27">
        <v>10189000</v>
      </c>
      <c r="AC41" s="27">
        <v>11069000</v>
      </c>
      <c r="AD41" s="27">
        <v>11236000</v>
      </c>
      <c r="AE41" s="27">
        <v>10290000</v>
      </c>
      <c r="AF41" s="27">
        <v>10176000</v>
      </c>
      <c r="AG41" s="27">
        <v>10176000</v>
      </c>
      <c r="AH41" s="27">
        <v>11097000</v>
      </c>
      <c r="AI41" s="27">
        <v>11381000</v>
      </c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  <c r="AU41" s="29"/>
      <c r="AV41" s="29"/>
      <c r="AW41" s="29"/>
      <c r="AX41" s="29"/>
      <c r="AY41" s="29"/>
      <c r="AZ41" s="29"/>
      <c r="BA41" s="29"/>
      <c r="BB41" s="29"/>
      <c r="BC41" s="29"/>
      <c r="BD41" s="29"/>
      <c r="BE41" s="29"/>
      <c r="BF41" s="29"/>
      <c r="BG41" s="29"/>
      <c r="BH41" s="29"/>
      <c r="BI41" s="29"/>
      <c r="BJ41" s="29"/>
      <c r="BK41" s="29"/>
      <c r="BL41" s="29"/>
      <c r="BM41" s="29"/>
    </row>
    <row r="42" spans="1:65" ht="15.75" customHeight="1">
      <c r="A42" s="24"/>
      <c r="B42" s="94" t="s">
        <v>208</v>
      </c>
      <c r="C42" s="26">
        <v>380</v>
      </c>
      <c r="D42" s="26">
        <v>600</v>
      </c>
      <c r="E42" s="95">
        <v>600</v>
      </c>
      <c r="F42" s="42" t="s">
        <v>423</v>
      </c>
      <c r="G42" s="27">
        <v>10536000</v>
      </c>
      <c r="H42" s="27">
        <v>11246000</v>
      </c>
      <c r="I42" s="27">
        <v>10618000</v>
      </c>
      <c r="J42" s="27">
        <v>11673000</v>
      </c>
      <c r="K42" s="27">
        <v>11636000</v>
      </c>
      <c r="L42" s="27">
        <v>10781000</v>
      </c>
      <c r="M42" s="27">
        <v>10985000</v>
      </c>
      <c r="N42" s="27">
        <v>12159000</v>
      </c>
      <c r="O42" s="27">
        <v>12382000</v>
      </c>
      <c r="P42" s="27">
        <v>11120000</v>
      </c>
      <c r="Q42" s="27">
        <v>10969000</v>
      </c>
      <c r="R42" s="27">
        <v>10969000</v>
      </c>
      <c r="S42" s="27">
        <v>12196000</v>
      </c>
      <c r="T42" s="27">
        <v>12575000</v>
      </c>
      <c r="U42" s="42" t="s">
        <v>423</v>
      </c>
      <c r="V42" s="27">
        <v>10348000</v>
      </c>
      <c r="W42" s="27">
        <v>11058000</v>
      </c>
      <c r="X42" s="27">
        <v>10430000</v>
      </c>
      <c r="Y42" s="27">
        <v>11485000</v>
      </c>
      <c r="Z42" s="27">
        <v>11448000</v>
      </c>
      <c r="AA42" s="27">
        <v>10593000</v>
      </c>
      <c r="AB42" s="27">
        <v>10797000</v>
      </c>
      <c r="AC42" s="27">
        <v>11971000</v>
      </c>
      <c r="AD42" s="27">
        <v>12194000</v>
      </c>
      <c r="AE42" s="27">
        <v>10932000</v>
      </c>
      <c r="AF42" s="27">
        <v>10781000</v>
      </c>
      <c r="AG42" s="27">
        <v>10781000</v>
      </c>
      <c r="AH42" s="27">
        <v>12008000</v>
      </c>
      <c r="AI42" s="27">
        <v>12387000</v>
      </c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29"/>
      <c r="AV42" s="29"/>
      <c r="AW42" s="29"/>
      <c r="AX42" s="29"/>
      <c r="AY42" s="29"/>
      <c r="AZ42" s="29"/>
      <c r="BA42" s="29"/>
      <c r="BB42" s="29"/>
      <c r="BC42" s="29"/>
      <c r="BD42" s="29"/>
      <c r="BE42" s="29"/>
      <c r="BF42" s="29"/>
      <c r="BG42" s="29"/>
      <c r="BH42" s="29"/>
      <c r="BI42" s="29"/>
      <c r="BJ42" s="29"/>
      <c r="BK42" s="29"/>
      <c r="BL42" s="29"/>
      <c r="BM42" s="29"/>
    </row>
    <row r="43" spans="1:65" ht="15.75" customHeight="1">
      <c r="A43" s="24"/>
      <c r="B43" s="94" t="s">
        <v>209</v>
      </c>
      <c r="C43" s="26">
        <v>380</v>
      </c>
      <c r="D43" s="26">
        <v>600</v>
      </c>
      <c r="E43" s="95">
        <v>900</v>
      </c>
      <c r="F43" s="42" t="s">
        <v>423</v>
      </c>
      <c r="G43" s="27">
        <v>11554000</v>
      </c>
      <c r="H43" s="27">
        <v>12620000</v>
      </c>
      <c r="I43" s="27">
        <v>11677000</v>
      </c>
      <c r="J43" s="27">
        <v>13260000</v>
      </c>
      <c r="K43" s="27">
        <v>13204000</v>
      </c>
      <c r="L43" s="27">
        <v>11922000</v>
      </c>
      <c r="M43" s="27">
        <v>12228000</v>
      </c>
      <c r="N43" s="27">
        <v>13988000</v>
      </c>
      <c r="O43" s="27">
        <v>14323000</v>
      </c>
      <c r="P43" s="27">
        <v>12430000</v>
      </c>
      <c r="Q43" s="27">
        <v>12203000</v>
      </c>
      <c r="R43" s="27">
        <v>12203000</v>
      </c>
      <c r="S43" s="27">
        <v>14044000</v>
      </c>
      <c r="T43" s="27">
        <v>14613000</v>
      </c>
      <c r="U43" s="42" t="s">
        <v>423</v>
      </c>
      <c r="V43" s="27">
        <v>11319000</v>
      </c>
      <c r="W43" s="27">
        <v>12385000</v>
      </c>
      <c r="X43" s="27">
        <v>11442000</v>
      </c>
      <c r="Y43" s="27">
        <v>13025000</v>
      </c>
      <c r="Z43" s="27">
        <v>12969000</v>
      </c>
      <c r="AA43" s="27">
        <v>11687000</v>
      </c>
      <c r="AB43" s="27">
        <v>11993000</v>
      </c>
      <c r="AC43" s="27">
        <v>13753000</v>
      </c>
      <c r="AD43" s="27">
        <v>14088000</v>
      </c>
      <c r="AE43" s="27">
        <v>12195000</v>
      </c>
      <c r="AF43" s="27">
        <v>11968000</v>
      </c>
      <c r="AG43" s="27">
        <v>11968000</v>
      </c>
      <c r="AH43" s="27">
        <v>13809000</v>
      </c>
      <c r="AI43" s="27">
        <v>14378000</v>
      </c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29"/>
      <c r="AW43" s="29"/>
      <c r="AX43" s="29"/>
      <c r="AY43" s="29"/>
      <c r="AZ43" s="29"/>
      <c r="BA43" s="29"/>
      <c r="BB43" s="29"/>
      <c r="BC43" s="29"/>
      <c r="BD43" s="29"/>
      <c r="BE43" s="29"/>
      <c r="BF43" s="29"/>
      <c r="BG43" s="29"/>
      <c r="BH43" s="29"/>
      <c r="BI43" s="29"/>
      <c r="BJ43" s="29"/>
      <c r="BK43" s="29"/>
      <c r="BL43" s="29"/>
      <c r="BM43" s="29"/>
    </row>
    <row r="44" spans="1:65">
      <c r="A44" s="24"/>
      <c r="B44" s="94" t="s">
        <v>210</v>
      </c>
      <c r="C44" s="26">
        <v>380</v>
      </c>
      <c r="D44" s="26">
        <v>360</v>
      </c>
      <c r="E44" s="95">
        <v>450</v>
      </c>
      <c r="F44" s="42" t="s">
        <v>423</v>
      </c>
      <c r="G44" s="27">
        <v>20224000</v>
      </c>
      <c r="H44" s="27">
        <v>20544000</v>
      </c>
      <c r="I44" s="27">
        <v>20261000</v>
      </c>
      <c r="J44" s="27">
        <v>20736000</v>
      </c>
      <c r="K44" s="27">
        <v>20719000</v>
      </c>
      <c r="L44" s="27">
        <v>20334000</v>
      </c>
      <c r="M44" s="27">
        <v>20426000</v>
      </c>
      <c r="N44" s="27">
        <v>20954000</v>
      </c>
      <c r="O44" s="27">
        <v>21055000</v>
      </c>
      <c r="P44" s="27">
        <v>20487000</v>
      </c>
      <c r="Q44" s="27">
        <v>20419000</v>
      </c>
      <c r="R44" s="27">
        <v>20419000</v>
      </c>
      <c r="S44" s="27">
        <v>20971000</v>
      </c>
      <c r="T44" s="27">
        <v>21142000</v>
      </c>
      <c r="U44" s="42" t="s">
        <v>423</v>
      </c>
      <c r="V44" s="27">
        <v>20097000</v>
      </c>
      <c r="W44" s="27">
        <v>20417000</v>
      </c>
      <c r="X44" s="27">
        <v>20134000</v>
      </c>
      <c r="Y44" s="27">
        <v>20609000</v>
      </c>
      <c r="Z44" s="27">
        <v>20592000</v>
      </c>
      <c r="AA44" s="27">
        <v>20207000</v>
      </c>
      <c r="AB44" s="27">
        <v>20299000</v>
      </c>
      <c r="AC44" s="27">
        <v>20827000</v>
      </c>
      <c r="AD44" s="27">
        <v>20928000</v>
      </c>
      <c r="AE44" s="27">
        <v>20360000</v>
      </c>
      <c r="AF44" s="27">
        <v>20292000</v>
      </c>
      <c r="AG44" s="27">
        <v>20292000</v>
      </c>
      <c r="AH44" s="27">
        <v>20844000</v>
      </c>
      <c r="AI44" s="27">
        <v>21015000</v>
      </c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29"/>
      <c r="AW44" s="29"/>
      <c r="AX44" s="29"/>
      <c r="AY44" s="29"/>
      <c r="AZ44" s="29"/>
      <c r="BA44" s="29"/>
      <c r="BB44" s="29"/>
      <c r="BC44" s="29"/>
      <c r="BD44" s="29"/>
      <c r="BE44" s="29"/>
      <c r="BF44" s="29"/>
      <c r="BG44" s="29"/>
      <c r="BH44" s="29"/>
      <c r="BI44" s="29"/>
      <c r="BJ44" s="29"/>
      <c r="BK44" s="29"/>
      <c r="BL44" s="29"/>
      <c r="BM44" s="29"/>
    </row>
    <row r="45" spans="1:65">
      <c r="A45" s="24"/>
      <c r="B45" s="94" t="s">
        <v>211</v>
      </c>
      <c r="C45" s="26">
        <v>380</v>
      </c>
      <c r="D45" s="26">
        <v>360</v>
      </c>
      <c r="E45" s="95">
        <v>600</v>
      </c>
      <c r="F45" s="42" t="s">
        <v>423</v>
      </c>
      <c r="G45" s="27">
        <v>20615000</v>
      </c>
      <c r="H45" s="27">
        <v>21042000</v>
      </c>
      <c r="I45" s="27">
        <v>20664000</v>
      </c>
      <c r="J45" s="27">
        <v>21298000</v>
      </c>
      <c r="K45" s="27">
        <v>21275000</v>
      </c>
      <c r="L45" s="27">
        <v>20762000</v>
      </c>
      <c r="M45" s="27">
        <v>20885000</v>
      </c>
      <c r="N45" s="27">
        <v>21589000</v>
      </c>
      <c r="O45" s="27">
        <v>21723000</v>
      </c>
      <c r="P45" s="27">
        <v>20966000</v>
      </c>
      <c r="Q45" s="27">
        <v>20875000</v>
      </c>
      <c r="R45" s="27">
        <v>20875000</v>
      </c>
      <c r="S45" s="27">
        <v>21611000</v>
      </c>
      <c r="T45" s="27">
        <v>21839000</v>
      </c>
      <c r="U45" s="42" t="s">
        <v>423</v>
      </c>
      <c r="V45" s="27">
        <v>20465000</v>
      </c>
      <c r="W45" s="27">
        <v>20891000</v>
      </c>
      <c r="X45" s="27">
        <v>20514000</v>
      </c>
      <c r="Y45" s="27">
        <v>21147000</v>
      </c>
      <c r="Z45" s="27">
        <v>21125000</v>
      </c>
      <c r="AA45" s="27">
        <v>20612000</v>
      </c>
      <c r="AB45" s="27">
        <v>20734000</v>
      </c>
      <c r="AC45" s="27">
        <v>21438000</v>
      </c>
      <c r="AD45" s="27">
        <v>21572000</v>
      </c>
      <c r="AE45" s="27">
        <v>20815000</v>
      </c>
      <c r="AF45" s="27">
        <v>20724000</v>
      </c>
      <c r="AG45" s="27">
        <v>20724000</v>
      </c>
      <c r="AH45" s="27">
        <v>21461000</v>
      </c>
      <c r="AI45" s="27">
        <v>21688000</v>
      </c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29"/>
      <c r="AV45" s="29"/>
      <c r="AW45" s="29"/>
      <c r="AX45" s="29"/>
      <c r="AY45" s="29"/>
      <c r="AZ45" s="29"/>
      <c r="BA45" s="29"/>
      <c r="BB45" s="29"/>
      <c r="BC45" s="29"/>
      <c r="BD45" s="29"/>
      <c r="BE45" s="29"/>
      <c r="BF45" s="29"/>
      <c r="BG45" s="29"/>
      <c r="BH45" s="29"/>
      <c r="BI45" s="29"/>
      <c r="BJ45" s="29"/>
      <c r="BK45" s="29"/>
      <c r="BL45" s="29"/>
      <c r="BM45" s="29"/>
    </row>
    <row r="46" spans="1:65">
      <c r="A46" s="24"/>
      <c r="B46" s="94" t="s">
        <v>212</v>
      </c>
      <c r="C46" s="26">
        <v>380</v>
      </c>
      <c r="D46" s="26">
        <v>360</v>
      </c>
      <c r="E46" s="95">
        <v>900</v>
      </c>
      <c r="F46" s="42" t="s">
        <v>423</v>
      </c>
      <c r="G46" s="27">
        <v>21379000</v>
      </c>
      <c r="H46" s="27">
        <v>22018000</v>
      </c>
      <c r="I46" s="27">
        <v>21453000</v>
      </c>
      <c r="J46" s="27">
        <v>22403000</v>
      </c>
      <c r="K46" s="27">
        <v>22369000</v>
      </c>
      <c r="L46" s="27">
        <v>21600000</v>
      </c>
      <c r="M46" s="27">
        <v>21783000</v>
      </c>
      <c r="N46" s="27">
        <v>22839000</v>
      </c>
      <c r="O46" s="27">
        <v>23040000</v>
      </c>
      <c r="P46" s="27">
        <v>21905000</v>
      </c>
      <c r="Q46" s="27">
        <v>21769000</v>
      </c>
      <c r="R46" s="27">
        <v>21769000</v>
      </c>
      <c r="S46" s="27">
        <v>22873000</v>
      </c>
      <c r="T46" s="27">
        <v>23214000</v>
      </c>
      <c r="U46" s="42" t="s">
        <v>423</v>
      </c>
      <c r="V46" s="27">
        <v>21182000</v>
      </c>
      <c r="W46" s="27">
        <v>21821000</v>
      </c>
      <c r="X46" s="27">
        <v>21255000</v>
      </c>
      <c r="Y46" s="27">
        <v>22205000</v>
      </c>
      <c r="Z46" s="27">
        <v>22172000</v>
      </c>
      <c r="AA46" s="27">
        <v>21402000</v>
      </c>
      <c r="AB46" s="27">
        <v>21586000</v>
      </c>
      <c r="AC46" s="27">
        <v>22642000</v>
      </c>
      <c r="AD46" s="27">
        <v>22843000</v>
      </c>
      <c r="AE46" s="27">
        <v>21707000</v>
      </c>
      <c r="AF46" s="27">
        <v>21571000</v>
      </c>
      <c r="AG46" s="27">
        <v>21571000</v>
      </c>
      <c r="AH46" s="27">
        <v>22675000</v>
      </c>
      <c r="AI46" s="27">
        <v>23017000</v>
      </c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29"/>
      <c r="AV46" s="29"/>
      <c r="AW46" s="29"/>
      <c r="AX46" s="29"/>
      <c r="AY46" s="29"/>
      <c r="AZ46" s="29"/>
      <c r="BA46" s="29"/>
      <c r="BB46" s="29"/>
      <c r="BC46" s="29"/>
      <c r="BD46" s="29"/>
      <c r="BE46" s="29"/>
      <c r="BF46" s="29"/>
      <c r="BG46" s="29"/>
      <c r="BH46" s="29"/>
      <c r="BI46" s="29"/>
      <c r="BJ46" s="29"/>
      <c r="BK46" s="29"/>
      <c r="BL46" s="29"/>
      <c r="BM46" s="29"/>
    </row>
    <row r="47" spans="1:65">
      <c r="A47" s="24"/>
      <c r="B47" s="94" t="s">
        <v>213</v>
      </c>
      <c r="C47" s="26">
        <v>380</v>
      </c>
      <c r="D47" s="26">
        <v>600</v>
      </c>
      <c r="E47" s="95">
        <v>450</v>
      </c>
      <c r="F47" s="42" t="s">
        <v>423</v>
      </c>
      <c r="G47" s="27">
        <v>21067000</v>
      </c>
      <c r="H47" s="27">
        <v>21599000</v>
      </c>
      <c r="I47" s="27">
        <v>21128000</v>
      </c>
      <c r="J47" s="27">
        <v>21919000</v>
      </c>
      <c r="K47" s="27">
        <v>21892000</v>
      </c>
      <c r="L47" s="27">
        <v>21250000</v>
      </c>
      <c r="M47" s="27">
        <v>21403000</v>
      </c>
      <c r="N47" s="27">
        <v>22283000</v>
      </c>
      <c r="O47" s="27">
        <v>22451000</v>
      </c>
      <c r="P47" s="27">
        <v>21504000</v>
      </c>
      <c r="Q47" s="27">
        <v>21391000</v>
      </c>
      <c r="R47" s="27">
        <v>21391000</v>
      </c>
      <c r="S47" s="27">
        <v>22311000</v>
      </c>
      <c r="T47" s="27">
        <v>22596000</v>
      </c>
      <c r="U47" s="42" t="s">
        <v>423</v>
      </c>
      <c r="V47" s="27">
        <v>20902000</v>
      </c>
      <c r="W47" s="27">
        <v>21435000</v>
      </c>
      <c r="X47" s="27">
        <v>20963000</v>
      </c>
      <c r="Y47" s="27">
        <v>21755000</v>
      </c>
      <c r="Z47" s="27">
        <v>21727000</v>
      </c>
      <c r="AA47" s="27">
        <v>21086000</v>
      </c>
      <c r="AB47" s="27">
        <v>21239000</v>
      </c>
      <c r="AC47" s="27">
        <v>22119000</v>
      </c>
      <c r="AD47" s="27">
        <v>22286000</v>
      </c>
      <c r="AE47" s="27">
        <v>21340000</v>
      </c>
      <c r="AF47" s="27">
        <v>21226000</v>
      </c>
      <c r="AG47" s="27">
        <v>21226000</v>
      </c>
      <c r="AH47" s="27">
        <v>22147000</v>
      </c>
      <c r="AI47" s="27">
        <v>22431000</v>
      </c>
      <c r="AJ47" s="29"/>
      <c r="AK47" s="29"/>
      <c r="AL47" s="29"/>
      <c r="AM47" s="29"/>
      <c r="AN47" s="29"/>
      <c r="AO47" s="29"/>
      <c r="AP47" s="29"/>
      <c r="AQ47" s="29"/>
      <c r="AR47" s="29"/>
      <c r="AS47" s="29"/>
      <c r="AT47" s="29"/>
      <c r="AU47" s="29"/>
      <c r="AV47" s="29"/>
      <c r="AW47" s="29"/>
      <c r="AX47" s="29"/>
      <c r="AY47" s="29"/>
      <c r="AZ47" s="29"/>
      <c r="BA47" s="29"/>
      <c r="BB47" s="29"/>
      <c r="BC47" s="29"/>
      <c r="BD47" s="29"/>
      <c r="BE47" s="29"/>
      <c r="BF47" s="29"/>
      <c r="BG47" s="29"/>
      <c r="BH47" s="29"/>
      <c r="BI47" s="29"/>
      <c r="BJ47" s="29"/>
      <c r="BK47" s="29"/>
      <c r="BL47" s="29"/>
      <c r="BM47" s="29"/>
    </row>
    <row r="48" spans="1:65">
      <c r="A48" s="24"/>
      <c r="B48" s="94" t="s">
        <v>214</v>
      </c>
      <c r="C48" s="26">
        <v>380</v>
      </c>
      <c r="D48" s="26">
        <v>600</v>
      </c>
      <c r="E48" s="95">
        <v>600</v>
      </c>
      <c r="F48" s="42" t="s">
        <v>423</v>
      </c>
      <c r="G48" s="27">
        <v>21586000</v>
      </c>
      <c r="H48" s="27">
        <v>22296000</v>
      </c>
      <c r="I48" s="27">
        <v>21668000</v>
      </c>
      <c r="J48" s="27">
        <v>22723000</v>
      </c>
      <c r="K48" s="27">
        <v>22686000</v>
      </c>
      <c r="L48" s="27">
        <v>21831000</v>
      </c>
      <c r="M48" s="27">
        <v>22035000</v>
      </c>
      <c r="N48" s="27">
        <v>23209000</v>
      </c>
      <c r="O48" s="27">
        <v>23432000</v>
      </c>
      <c r="P48" s="27">
        <v>22170000</v>
      </c>
      <c r="Q48" s="27">
        <v>22019000</v>
      </c>
      <c r="R48" s="27">
        <v>22019000</v>
      </c>
      <c r="S48" s="27">
        <v>23246000</v>
      </c>
      <c r="T48" s="27">
        <v>23625000</v>
      </c>
      <c r="U48" s="42" t="s">
        <v>423</v>
      </c>
      <c r="V48" s="27">
        <v>21398000</v>
      </c>
      <c r="W48" s="27">
        <v>22108000</v>
      </c>
      <c r="X48" s="27">
        <v>21480000</v>
      </c>
      <c r="Y48" s="27">
        <v>22535000</v>
      </c>
      <c r="Z48" s="27">
        <v>22498000</v>
      </c>
      <c r="AA48" s="27">
        <v>21643000</v>
      </c>
      <c r="AB48" s="27">
        <v>21847000</v>
      </c>
      <c r="AC48" s="27">
        <v>23021000</v>
      </c>
      <c r="AD48" s="27">
        <v>23244000</v>
      </c>
      <c r="AE48" s="27">
        <v>21982000</v>
      </c>
      <c r="AF48" s="27">
        <v>21831000</v>
      </c>
      <c r="AG48" s="27">
        <v>21831000</v>
      </c>
      <c r="AH48" s="27">
        <v>23058000</v>
      </c>
      <c r="AI48" s="27">
        <v>23437000</v>
      </c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/>
      <c r="AU48" s="29"/>
      <c r="AV48" s="29"/>
      <c r="AW48" s="29"/>
      <c r="AX48" s="29"/>
      <c r="AY48" s="29"/>
      <c r="AZ48" s="29"/>
      <c r="BA48" s="29"/>
      <c r="BB48" s="29"/>
      <c r="BC48" s="29"/>
      <c r="BD48" s="29"/>
      <c r="BE48" s="29"/>
      <c r="BF48" s="29"/>
      <c r="BG48" s="29"/>
      <c r="BH48" s="29"/>
      <c r="BI48" s="29"/>
      <c r="BJ48" s="29"/>
      <c r="BK48" s="29"/>
      <c r="BL48" s="29"/>
      <c r="BM48" s="29"/>
    </row>
    <row r="49" spans="1:65">
      <c r="A49" s="24"/>
      <c r="B49" s="94" t="s">
        <v>215</v>
      </c>
      <c r="C49" s="96">
        <v>380</v>
      </c>
      <c r="D49" s="96">
        <v>600</v>
      </c>
      <c r="E49" s="97">
        <v>900</v>
      </c>
      <c r="F49" s="42" t="s">
        <v>423</v>
      </c>
      <c r="G49" s="27">
        <v>22604000</v>
      </c>
      <c r="H49" s="27">
        <v>23670000</v>
      </c>
      <c r="I49" s="27">
        <v>22727000</v>
      </c>
      <c r="J49" s="27">
        <v>24310000</v>
      </c>
      <c r="K49" s="27">
        <v>24254000</v>
      </c>
      <c r="L49" s="27">
        <v>22972000</v>
      </c>
      <c r="M49" s="27">
        <v>23278000</v>
      </c>
      <c r="N49" s="27">
        <v>25038000</v>
      </c>
      <c r="O49" s="27">
        <v>25373000</v>
      </c>
      <c r="P49" s="27">
        <v>23480000</v>
      </c>
      <c r="Q49" s="27">
        <v>23253000</v>
      </c>
      <c r="R49" s="27">
        <v>23253000</v>
      </c>
      <c r="S49" s="27">
        <v>25094000</v>
      </c>
      <c r="T49" s="27">
        <v>25663000</v>
      </c>
      <c r="U49" s="42" t="s">
        <v>423</v>
      </c>
      <c r="V49" s="27">
        <v>22369000</v>
      </c>
      <c r="W49" s="27">
        <v>23435000</v>
      </c>
      <c r="X49" s="27">
        <v>22492000</v>
      </c>
      <c r="Y49" s="27">
        <v>24075000</v>
      </c>
      <c r="Z49" s="27">
        <v>24019000</v>
      </c>
      <c r="AA49" s="27">
        <v>22737000</v>
      </c>
      <c r="AB49" s="27">
        <v>23043000</v>
      </c>
      <c r="AC49" s="27">
        <v>24803000</v>
      </c>
      <c r="AD49" s="27">
        <v>25138000</v>
      </c>
      <c r="AE49" s="27">
        <v>23245000</v>
      </c>
      <c r="AF49" s="27">
        <v>23018000</v>
      </c>
      <c r="AG49" s="27">
        <v>23018000</v>
      </c>
      <c r="AH49" s="27">
        <v>24859000</v>
      </c>
      <c r="AI49" s="27">
        <v>25428000</v>
      </c>
      <c r="AJ49" s="29"/>
      <c r="AK49" s="29"/>
      <c r="AL49" s="29"/>
      <c r="AM49" s="29"/>
      <c r="AN49" s="29"/>
      <c r="AO49" s="29"/>
      <c r="AP49" s="29"/>
      <c r="AQ49" s="29"/>
      <c r="AR49" s="29"/>
      <c r="AS49" s="29"/>
      <c r="AT49" s="29"/>
      <c r="AU49" s="29"/>
      <c r="AV49" s="29"/>
      <c r="AW49" s="29"/>
      <c r="AX49" s="29"/>
      <c r="AY49" s="29"/>
      <c r="AZ49" s="29"/>
      <c r="BA49" s="29"/>
      <c r="BB49" s="29"/>
      <c r="BC49" s="29"/>
      <c r="BD49" s="29"/>
      <c r="BE49" s="29"/>
      <c r="BF49" s="29"/>
      <c r="BG49" s="29"/>
      <c r="BH49" s="29"/>
      <c r="BI49" s="29"/>
      <c r="BJ49" s="29"/>
      <c r="BK49" s="29"/>
      <c r="BL49" s="29"/>
      <c r="BM49" s="29"/>
    </row>
    <row r="50" spans="1:65" ht="18">
      <c r="A50" s="16" t="e">
        <f ca="1">_xludf.image("https://lh3.google.com/u/0/d/1I0hL5Y8m1uvQoAGRraoPC29eLMKdPCX0",1)</f>
        <v>#NAME?</v>
      </c>
      <c r="B50" s="92" t="s">
        <v>216</v>
      </c>
      <c r="C50" s="147"/>
      <c r="D50" s="145"/>
      <c r="E50" s="146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  <c r="AA50" s="63"/>
      <c r="AB50" s="63"/>
      <c r="AC50" s="63"/>
      <c r="AD50" s="63"/>
      <c r="AE50" s="63"/>
      <c r="AF50" s="63"/>
      <c r="AG50" s="63"/>
      <c r="AH50" s="63"/>
      <c r="AI50" s="63"/>
      <c r="AJ50" s="63"/>
      <c r="AK50" s="63"/>
      <c r="AL50" s="63"/>
      <c r="AM50" s="63"/>
      <c r="AN50" s="63"/>
      <c r="AO50" s="63"/>
      <c r="AP50" s="63"/>
      <c r="AQ50" s="63"/>
      <c r="AR50" s="63"/>
      <c r="AS50" s="63"/>
      <c r="AT50" s="63"/>
      <c r="AU50" s="63"/>
      <c r="AV50" s="63"/>
      <c r="AW50" s="63"/>
      <c r="AX50" s="63"/>
      <c r="AY50" s="63"/>
      <c r="AZ50" s="63"/>
      <c r="BA50" s="63"/>
      <c r="BB50" s="63"/>
      <c r="BC50" s="63"/>
      <c r="BD50" s="63"/>
      <c r="BE50" s="63"/>
      <c r="BF50" s="63"/>
      <c r="BG50" s="63"/>
      <c r="BH50" s="63"/>
      <c r="BI50" s="63"/>
      <c r="BJ50" s="63"/>
      <c r="BK50" s="63"/>
      <c r="BL50" s="63"/>
      <c r="BM50" s="63"/>
    </row>
    <row r="51" spans="1:65" ht="12.75">
      <c r="A51" s="20"/>
      <c r="B51" s="159" t="s">
        <v>217</v>
      </c>
      <c r="C51" s="136"/>
      <c r="D51" s="136"/>
      <c r="E51" s="137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</row>
    <row r="52" spans="1:65">
      <c r="A52" s="24"/>
      <c r="B52" s="94" t="s">
        <v>218</v>
      </c>
      <c r="C52" s="26">
        <v>380</v>
      </c>
      <c r="D52" s="26">
        <v>723</v>
      </c>
      <c r="E52" s="95">
        <v>450</v>
      </c>
      <c r="F52" s="42" t="s">
        <v>423</v>
      </c>
      <c r="G52" s="27">
        <v>7595000</v>
      </c>
      <c r="H52" s="27">
        <v>8237000</v>
      </c>
      <c r="I52" s="27">
        <v>7669000</v>
      </c>
      <c r="J52" s="27">
        <v>8623000</v>
      </c>
      <c r="K52" s="27">
        <v>8589000</v>
      </c>
      <c r="L52" s="27">
        <v>7817000</v>
      </c>
      <c r="M52" s="27">
        <v>8001000</v>
      </c>
      <c r="N52" s="27">
        <v>9062000</v>
      </c>
      <c r="O52" s="27">
        <v>9263000</v>
      </c>
      <c r="P52" s="27">
        <v>8123000</v>
      </c>
      <c r="Q52" s="27">
        <v>7986000</v>
      </c>
      <c r="R52" s="27">
        <v>7986000</v>
      </c>
      <c r="S52" s="27">
        <v>9095000</v>
      </c>
      <c r="T52" s="27">
        <v>9438000</v>
      </c>
      <c r="U52" s="42" t="s">
        <v>423</v>
      </c>
      <c r="V52" s="27">
        <v>7411000</v>
      </c>
      <c r="W52" s="27">
        <v>8053000</v>
      </c>
      <c r="X52" s="27">
        <v>7485000</v>
      </c>
      <c r="Y52" s="27">
        <v>8439000</v>
      </c>
      <c r="Z52" s="27">
        <v>8405000</v>
      </c>
      <c r="AA52" s="27">
        <v>7633000</v>
      </c>
      <c r="AB52" s="27">
        <v>7817000</v>
      </c>
      <c r="AC52" s="27">
        <v>8878000</v>
      </c>
      <c r="AD52" s="27">
        <v>9079000</v>
      </c>
      <c r="AE52" s="27">
        <v>7939000</v>
      </c>
      <c r="AF52" s="27">
        <v>7802000</v>
      </c>
      <c r="AG52" s="27">
        <v>7802000</v>
      </c>
      <c r="AH52" s="27">
        <v>8911000</v>
      </c>
      <c r="AI52" s="27">
        <v>9254000</v>
      </c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29"/>
      <c r="BA52" s="29"/>
      <c r="BB52" s="29"/>
      <c r="BC52" s="29"/>
      <c r="BD52" s="29"/>
      <c r="BE52" s="29"/>
      <c r="BF52" s="29"/>
      <c r="BG52" s="29"/>
      <c r="BH52" s="29"/>
      <c r="BI52" s="29"/>
      <c r="BJ52" s="29"/>
      <c r="BK52" s="29"/>
      <c r="BL52" s="29"/>
      <c r="BM52" s="29"/>
    </row>
    <row r="53" spans="1:65">
      <c r="A53" s="24"/>
      <c r="B53" s="94" t="s">
        <v>219</v>
      </c>
      <c r="C53" s="26">
        <v>380</v>
      </c>
      <c r="D53" s="26">
        <v>723</v>
      </c>
      <c r="E53" s="95">
        <v>600</v>
      </c>
      <c r="F53" s="42" t="s">
        <v>423</v>
      </c>
      <c r="G53" s="27">
        <v>8137000</v>
      </c>
      <c r="H53" s="27">
        <v>8993000</v>
      </c>
      <c r="I53" s="27">
        <v>8236000</v>
      </c>
      <c r="J53" s="27">
        <v>9507000</v>
      </c>
      <c r="K53" s="27">
        <v>9463000</v>
      </c>
      <c r="L53" s="27">
        <v>8432000</v>
      </c>
      <c r="M53" s="27">
        <v>8678000</v>
      </c>
      <c r="N53" s="27">
        <v>10092000</v>
      </c>
      <c r="O53" s="27">
        <v>10361000</v>
      </c>
      <c r="P53" s="27">
        <v>8841000</v>
      </c>
      <c r="Q53" s="27">
        <v>8659000</v>
      </c>
      <c r="R53" s="27">
        <v>8659000</v>
      </c>
      <c r="S53" s="27">
        <v>10137000</v>
      </c>
      <c r="T53" s="27">
        <v>10594000</v>
      </c>
      <c r="U53" s="42" t="s">
        <v>423</v>
      </c>
      <c r="V53" s="27">
        <v>7930000</v>
      </c>
      <c r="W53" s="27">
        <v>8786000</v>
      </c>
      <c r="X53" s="27">
        <v>8028000</v>
      </c>
      <c r="Y53" s="27">
        <v>9300000</v>
      </c>
      <c r="Z53" s="27">
        <v>9255000</v>
      </c>
      <c r="AA53" s="27">
        <v>8225000</v>
      </c>
      <c r="AB53" s="27">
        <v>8471000</v>
      </c>
      <c r="AC53" s="27">
        <v>9885000</v>
      </c>
      <c r="AD53" s="27">
        <v>10154000</v>
      </c>
      <c r="AE53" s="27">
        <v>8633000</v>
      </c>
      <c r="AF53" s="27">
        <v>8451000</v>
      </c>
      <c r="AG53" s="27">
        <v>8451000</v>
      </c>
      <c r="AH53" s="27">
        <v>9930000</v>
      </c>
      <c r="AI53" s="27">
        <v>10387000</v>
      </c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  <c r="AU53" s="29"/>
      <c r="AV53" s="29"/>
      <c r="AW53" s="29"/>
      <c r="AX53" s="29"/>
      <c r="AY53" s="29"/>
      <c r="AZ53" s="29"/>
      <c r="BA53" s="29"/>
      <c r="BB53" s="29"/>
      <c r="BC53" s="29"/>
      <c r="BD53" s="29"/>
      <c r="BE53" s="29"/>
      <c r="BF53" s="29"/>
      <c r="BG53" s="29"/>
      <c r="BH53" s="29"/>
      <c r="BI53" s="29"/>
      <c r="BJ53" s="29"/>
      <c r="BK53" s="29"/>
      <c r="BL53" s="29"/>
      <c r="BM53" s="29"/>
    </row>
    <row r="54" spans="1:65">
      <c r="A54" s="24"/>
      <c r="B54" s="94" t="s">
        <v>220</v>
      </c>
      <c r="C54" s="26">
        <v>380</v>
      </c>
      <c r="D54" s="26">
        <v>723</v>
      </c>
      <c r="E54" s="95">
        <v>900</v>
      </c>
      <c r="F54" s="42" t="s">
        <v>423</v>
      </c>
      <c r="G54" s="27">
        <v>9201000</v>
      </c>
      <c r="H54" s="27">
        <v>10484000</v>
      </c>
      <c r="I54" s="27">
        <v>9348000</v>
      </c>
      <c r="J54" s="27">
        <v>11256000</v>
      </c>
      <c r="K54" s="27">
        <v>11189000</v>
      </c>
      <c r="L54" s="27">
        <v>9643000</v>
      </c>
      <c r="M54" s="27">
        <v>10012000</v>
      </c>
      <c r="N54" s="27">
        <v>12133000</v>
      </c>
      <c r="O54" s="27">
        <v>12537000</v>
      </c>
      <c r="P54" s="27">
        <v>10255000</v>
      </c>
      <c r="Q54" s="27">
        <v>9983000</v>
      </c>
      <c r="R54" s="27">
        <v>9983000</v>
      </c>
      <c r="S54" s="27">
        <v>12200000</v>
      </c>
      <c r="T54" s="27">
        <v>12886000</v>
      </c>
      <c r="U54" s="42" t="s">
        <v>423</v>
      </c>
      <c r="V54" s="27">
        <v>8946000</v>
      </c>
      <c r="W54" s="27">
        <v>10230000</v>
      </c>
      <c r="X54" s="27">
        <v>9094000</v>
      </c>
      <c r="Y54" s="27">
        <v>11001000</v>
      </c>
      <c r="Z54" s="27">
        <v>10934000</v>
      </c>
      <c r="AA54" s="27">
        <v>9389000</v>
      </c>
      <c r="AB54" s="27">
        <v>9758000</v>
      </c>
      <c r="AC54" s="27">
        <v>11879000</v>
      </c>
      <c r="AD54" s="27">
        <v>12282000</v>
      </c>
      <c r="AE54" s="27">
        <v>10001000</v>
      </c>
      <c r="AF54" s="27">
        <v>9728000</v>
      </c>
      <c r="AG54" s="27">
        <v>9728000</v>
      </c>
      <c r="AH54" s="27">
        <v>11946000</v>
      </c>
      <c r="AI54" s="27">
        <v>12632000</v>
      </c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29"/>
      <c r="AU54" s="29"/>
      <c r="AV54" s="29"/>
      <c r="AW54" s="29"/>
      <c r="AX54" s="29"/>
      <c r="AY54" s="29"/>
      <c r="AZ54" s="29"/>
      <c r="BA54" s="29"/>
      <c r="BB54" s="29"/>
      <c r="BC54" s="29"/>
      <c r="BD54" s="29"/>
      <c r="BE54" s="29"/>
      <c r="BF54" s="29"/>
      <c r="BG54" s="29"/>
      <c r="BH54" s="29"/>
      <c r="BI54" s="29"/>
      <c r="BJ54" s="29"/>
      <c r="BK54" s="29"/>
      <c r="BL54" s="29"/>
      <c r="BM54" s="29"/>
    </row>
    <row r="55" spans="1:65">
      <c r="A55" s="24"/>
      <c r="B55" s="94" t="s">
        <v>221</v>
      </c>
      <c r="C55" s="26">
        <v>380</v>
      </c>
      <c r="D55" s="26">
        <v>978</v>
      </c>
      <c r="E55" s="95">
        <v>450</v>
      </c>
      <c r="F55" s="42" t="s">
        <v>423</v>
      </c>
      <c r="G55" s="27">
        <v>8481000</v>
      </c>
      <c r="H55" s="27">
        <v>9350000</v>
      </c>
      <c r="I55" s="27">
        <v>8581000</v>
      </c>
      <c r="J55" s="27">
        <v>9871000</v>
      </c>
      <c r="K55" s="27">
        <v>9826000</v>
      </c>
      <c r="L55" s="27">
        <v>8781000</v>
      </c>
      <c r="M55" s="27">
        <v>9030000</v>
      </c>
      <c r="N55" s="27">
        <v>10465000</v>
      </c>
      <c r="O55" s="27">
        <v>10738000</v>
      </c>
      <c r="P55" s="27">
        <v>9195000</v>
      </c>
      <c r="Q55" s="27">
        <v>9010000</v>
      </c>
      <c r="R55" s="27">
        <v>9010000</v>
      </c>
      <c r="S55" s="27">
        <v>10510000</v>
      </c>
      <c r="T55" s="27">
        <v>10974000</v>
      </c>
      <c r="U55" s="42" t="s">
        <v>423</v>
      </c>
      <c r="V55" s="27">
        <v>8257000</v>
      </c>
      <c r="W55" s="27">
        <v>9126000</v>
      </c>
      <c r="X55" s="27">
        <v>8357000</v>
      </c>
      <c r="Y55" s="27">
        <v>9647000</v>
      </c>
      <c r="Z55" s="27">
        <v>9602000</v>
      </c>
      <c r="AA55" s="27">
        <v>8557000</v>
      </c>
      <c r="AB55" s="27">
        <v>8806000</v>
      </c>
      <c r="AC55" s="27">
        <v>10241000</v>
      </c>
      <c r="AD55" s="27">
        <v>10514000</v>
      </c>
      <c r="AE55" s="27">
        <v>8971000</v>
      </c>
      <c r="AF55" s="27">
        <v>8786000</v>
      </c>
      <c r="AG55" s="27">
        <v>8786000</v>
      </c>
      <c r="AH55" s="27">
        <v>10286000</v>
      </c>
      <c r="AI55" s="27">
        <v>10750000</v>
      </c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29"/>
      <c r="AU55" s="29"/>
      <c r="AV55" s="29"/>
      <c r="AW55" s="29"/>
      <c r="AX55" s="29"/>
      <c r="AY55" s="29"/>
      <c r="AZ55" s="29"/>
      <c r="BA55" s="29"/>
      <c r="BB55" s="29"/>
      <c r="BC55" s="29"/>
      <c r="BD55" s="29"/>
      <c r="BE55" s="29"/>
      <c r="BF55" s="29"/>
      <c r="BG55" s="29"/>
      <c r="BH55" s="29"/>
      <c r="BI55" s="29"/>
      <c r="BJ55" s="29"/>
      <c r="BK55" s="29"/>
      <c r="BL55" s="29"/>
      <c r="BM55" s="29"/>
    </row>
    <row r="56" spans="1:65">
      <c r="A56" s="24"/>
      <c r="B56" s="94" t="s">
        <v>222</v>
      </c>
      <c r="C56" s="26">
        <v>380</v>
      </c>
      <c r="D56" s="26">
        <v>978</v>
      </c>
      <c r="E56" s="95">
        <v>600</v>
      </c>
      <c r="F56" s="42" t="s">
        <v>423</v>
      </c>
      <c r="G56" s="27">
        <v>9155000</v>
      </c>
      <c r="H56" s="27">
        <v>10312000</v>
      </c>
      <c r="I56" s="27">
        <v>9288000</v>
      </c>
      <c r="J56" s="27">
        <v>11008000</v>
      </c>
      <c r="K56" s="27">
        <v>10947000</v>
      </c>
      <c r="L56" s="27">
        <v>9554000</v>
      </c>
      <c r="M56" s="27">
        <v>9886000</v>
      </c>
      <c r="N56" s="27">
        <v>11799000</v>
      </c>
      <c r="O56" s="27">
        <v>12163000</v>
      </c>
      <c r="P56" s="27">
        <v>10106000</v>
      </c>
      <c r="Q56" s="27">
        <v>9860000</v>
      </c>
      <c r="R56" s="27">
        <v>9860000</v>
      </c>
      <c r="S56" s="27">
        <v>11860000</v>
      </c>
      <c r="T56" s="27">
        <v>12478000</v>
      </c>
      <c r="U56" s="42" t="s">
        <v>423</v>
      </c>
      <c r="V56" s="27">
        <v>8907000</v>
      </c>
      <c r="W56" s="27">
        <v>10065000</v>
      </c>
      <c r="X56" s="27">
        <v>9040000</v>
      </c>
      <c r="Y56" s="27">
        <v>10760000</v>
      </c>
      <c r="Z56" s="27">
        <v>10700000</v>
      </c>
      <c r="AA56" s="27">
        <v>9306000</v>
      </c>
      <c r="AB56" s="27">
        <v>9639000</v>
      </c>
      <c r="AC56" s="27">
        <v>11552000</v>
      </c>
      <c r="AD56" s="27">
        <v>11916000</v>
      </c>
      <c r="AE56" s="27">
        <v>9858000</v>
      </c>
      <c r="AF56" s="27">
        <v>9612000</v>
      </c>
      <c r="AG56" s="27">
        <v>9612000</v>
      </c>
      <c r="AH56" s="27">
        <v>11612000</v>
      </c>
      <c r="AI56" s="27">
        <v>12231000</v>
      </c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29"/>
      <c r="AU56" s="29"/>
      <c r="AV56" s="29"/>
      <c r="AW56" s="29"/>
      <c r="AX56" s="29"/>
      <c r="AY56" s="29"/>
      <c r="AZ56" s="29"/>
      <c r="BA56" s="29"/>
      <c r="BB56" s="29"/>
      <c r="BC56" s="29"/>
      <c r="BD56" s="29"/>
      <c r="BE56" s="29"/>
      <c r="BF56" s="29"/>
      <c r="BG56" s="29"/>
      <c r="BH56" s="29"/>
      <c r="BI56" s="29"/>
      <c r="BJ56" s="29"/>
      <c r="BK56" s="29"/>
      <c r="BL56" s="29"/>
      <c r="BM56" s="29"/>
    </row>
    <row r="57" spans="1:65">
      <c r="A57" s="24"/>
      <c r="B57" s="94" t="s">
        <v>223</v>
      </c>
      <c r="C57" s="26">
        <v>380</v>
      </c>
      <c r="D57" s="26">
        <v>978</v>
      </c>
      <c r="E57" s="95">
        <v>900</v>
      </c>
      <c r="F57" s="42" t="s">
        <v>423</v>
      </c>
      <c r="G57" s="27">
        <v>10479000</v>
      </c>
      <c r="H57" s="27">
        <v>12215000</v>
      </c>
      <c r="I57" s="27">
        <v>10679000</v>
      </c>
      <c r="J57" s="27">
        <v>13259000</v>
      </c>
      <c r="K57" s="27">
        <v>13168000</v>
      </c>
      <c r="L57" s="27">
        <v>11078000</v>
      </c>
      <c r="M57" s="27">
        <v>11577000</v>
      </c>
      <c r="N57" s="27">
        <v>14446000</v>
      </c>
      <c r="O57" s="27">
        <v>14992000</v>
      </c>
      <c r="P57" s="27">
        <v>11906000</v>
      </c>
      <c r="Q57" s="27">
        <v>11537000</v>
      </c>
      <c r="R57" s="27">
        <v>11537000</v>
      </c>
      <c r="S57" s="27">
        <v>14536000</v>
      </c>
      <c r="T57" s="27">
        <v>15464000</v>
      </c>
      <c r="U57" s="42" t="s">
        <v>423</v>
      </c>
      <c r="V57" s="27">
        <v>10185000</v>
      </c>
      <c r="W57" s="27">
        <v>11921000</v>
      </c>
      <c r="X57" s="27">
        <v>10384000</v>
      </c>
      <c r="Y57" s="27">
        <v>12964000</v>
      </c>
      <c r="Z57" s="27">
        <v>12874000</v>
      </c>
      <c r="AA57" s="27">
        <v>10783000</v>
      </c>
      <c r="AB57" s="27">
        <v>11282000</v>
      </c>
      <c r="AC57" s="27">
        <v>14151000</v>
      </c>
      <c r="AD57" s="27">
        <v>14697000</v>
      </c>
      <c r="AE57" s="27">
        <v>11611000</v>
      </c>
      <c r="AF57" s="27">
        <v>11242000</v>
      </c>
      <c r="AG57" s="27">
        <v>11242000</v>
      </c>
      <c r="AH57" s="27">
        <v>14242000</v>
      </c>
      <c r="AI57" s="27">
        <v>15170000</v>
      </c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29"/>
      <c r="AU57" s="29"/>
      <c r="AV57" s="29"/>
      <c r="AW57" s="29"/>
      <c r="AX57" s="29"/>
      <c r="AY57" s="29"/>
      <c r="AZ57" s="29"/>
      <c r="BA57" s="29"/>
      <c r="BB57" s="29"/>
      <c r="BC57" s="29"/>
      <c r="BD57" s="29"/>
      <c r="BE57" s="29"/>
      <c r="BF57" s="29"/>
      <c r="BG57" s="29"/>
      <c r="BH57" s="29"/>
      <c r="BI57" s="29"/>
      <c r="BJ57" s="29"/>
      <c r="BK57" s="29"/>
      <c r="BL57" s="29"/>
      <c r="BM57" s="29"/>
    </row>
    <row r="58" spans="1:65">
      <c r="A58" s="24"/>
      <c r="B58" s="94" t="s">
        <v>224</v>
      </c>
      <c r="C58" s="26">
        <v>380</v>
      </c>
      <c r="D58" s="26">
        <v>723</v>
      </c>
      <c r="E58" s="95">
        <v>450</v>
      </c>
      <c r="F58" s="42" t="s">
        <v>423</v>
      </c>
      <c r="G58" s="27">
        <v>17295000</v>
      </c>
      <c r="H58" s="27">
        <v>17937000</v>
      </c>
      <c r="I58" s="27">
        <v>17369000</v>
      </c>
      <c r="J58" s="27">
        <v>18323000</v>
      </c>
      <c r="K58" s="27">
        <v>18289000</v>
      </c>
      <c r="L58" s="27">
        <v>17517000</v>
      </c>
      <c r="M58" s="27">
        <v>17701000</v>
      </c>
      <c r="N58" s="27">
        <v>18762000</v>
      </c>
      <c r="O58" s="27">
        <v>18963000</v>
      </c>
      <c r="P58" s="27">
        <v>17823000</v>
      </c>
      <c r="Q58" s="27">
        <v>17686000</v>
      </c>
      <c r="R58" s="27">
        <v>17686000</v>
      </c>
      <c r="S58" s="27">
        <v>18795000</v>
      </c>
      <c r="T58" s="27">
        <v>19138000</v>
      </c>
      <c r="U58" s="42" t="s">
        <v>423</v>
      </c>
      <c r="V58" s="27">
        <v>17111000</v>
      </c>
      <c r="W58" s="27">
        <v>17753000</v>
      </c>
      <c r="X58" s="27">
        <v>17185000</v>
      </c>
      <c r="Y58" s="27">
        <v>18139000</v>
      </c>
      <c r="Z58" s="27">
        <v>18105000</v>
      </c>
      <c r="AA58" s="27">
        <v>17333000</v>
      </c>
      <c r="AB58" s="27">
        <v>17517000</v>
      </c>
      <c r="AC58" s="27">
        <v>18578000</v>
      </c>
      <c r="AD58" s="27">
        <v>18779000</v>
      </c>
      <c r="AE58" s="27">
        <v>17639000</v>
      </c>
      <c r="AF58" s="27">
        <v>17502000</v>
      </c>
      <c r="AG58" s="27">
        <v>17502000</v>
      </c>
      <c r="AH58" s="27">
        <v>18611000</v>
      </c>
      <c r="AI58" s="27">
        <v>18954000</v>
      </c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29"/>
      <c r="AU58" s="29"/>
      <c r="AV58" s="29"/>
      <c r="AW58" s="29"/>
      <c r="AX58" s="29"/>
      <c r="AY58" s="29"/>
      <c r="AZ58" s="29"/>
      <c r="BA58" s="29"/>
      <c r="BB58" s="29"/>
      <c r="BC58" s="29"/>
      <c r="BD58" s="29"/>
      <c r="BE58" s="29"/>
      <c r="BF58" s="29"/>
      <c r="BG58" s="29"/>
      <c r="BH58" s="29"/>
      <c r="BI58" s="29"/>
      <c r="BJ58" s="29"/>
      <c r="BK58" s="29"/>
      <c r="BL58" s="29"/>
      <c r="BM58" s="29"/>
    </row>
    <row r="59" spans="1:65">
      <c r="A59" s="24"/>
      <c r="B59" s="94" t="s">
        <v>225</v>
      </c>
      <c r="C59" s="26">
        <v>380</v>
      </c>
      <c r="D59" s="26">
        <v>723</v>
      </c>
      <c r="E59" s="95">
        <v>600</v>
      </c>
      <c r="F59" s="42" t="s">
        <v>423</v>
      </c>
      <c r="G59" s="27">
        <v>17837000</v>
      </c>
      <c r="H59" s="27">
        <v>18693000</v>
      </c>
      <c r="I59" s="27">
        <v>17936000</v>
      </c>
      <c r="J59" s="27">
        <v>19207000</v>
      </c>
      <c r="K59" s="27">
        <v>19163000</v>
      </c>
      <c r="L59" s="27">
        <v>18132000</v>
      </c>
      <c r="M59" s="27">
        <v>18378000</v>
      </c>
      <c r="N59" s="27">
        <v>19792000</v>
      </c>
      <c r="O59" s="27">
        <v>20061000</v>
      </c>
      <c r="P59" s="27">
        <v>18541000</v>
      </c>
      <c r="Q59" s="27">
        <v>18359000</v>
      </c>
      <c r="R59" s="27">
        <v>18359000</v>
      </c>
      <c r="S59" s="27">
        <v>19837000</v>
      </c>
      <c r="T59" s="27">
        <v>20294000</v>
      </c>
      <c r="U59" s="42" t="s">
        <v>423</v>
      </c>
      <c r="V59" s="27">
        <v>17630000</v>
      </c>
      <c r="W59" s="27">
        <v>18486000</v>
      </c>
      <c r="X59" s="27">
        <v>17728000</v>
      </c>
      <c r="Y59" s="27">
        <v>19000000</v>
      </c>
      <c r="Z59" s="27">
        <v>18955000</v>
      </c>
      <c r="AA59" s="27">
        <v>17925000</v>
      </c>
      <c r="AB59" s="27">
        <v>18171000</v>
      </c>
      <c r="AC59" s="27">
        <v>19585000</v>
      </c>
      <c r="AD59" s="27">
        <v>19854000</v>
      </c>
      <c r="AE59" s="27">
        <v>18333000</v>
      </c>
      <c r="AF59" s="27">
        <v>18151000</v>
      </c>
      <c r="AG59" s="27">
        <v>18151000</v>
      </c>
      <c r="AH59" s="27">
        <v>19630000</v>
      </c>
      <c r="AI59" s="27">
        <v>20087000</v>
      </c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/>
      <c r="AU59" s="29"/>
      <c r="AV59" s="29"/>
      <c r="AW59" s="29"/>
      <c r="AX59" s="29"/>
      <c r="AY59" s="29"/>
      <c r="AZ59" s="29"/>
      <c r="BA59" s="29"/>
      <c r="BB59" s="29"/>
      <c r="BC59" s="29"/>
      <c r="BD59" s="29"/>
      <c r="BE59" s="29"/>
      <c r="BF59" s="29"/>
      <c r="BG59" s="29"/>
      <c r="BH59" s="29"/>
      <c r="BI59" s="29"/>
      <c r="BJ59" s="29"/>
      <c r="BK59" s="29"/>
      <c r="BL59" s="29"/>
      <c r="BM59" s="29"/>
    </row>
    <row r="60" spans="1:65">
      <c r="A60" s="24"/>
      <c r="B60" s="94" t="s">
        <v>226</v>
      </c>
      <c r="C60" s="26">
        <v>380</v>
      </c>
      <c r="D60" s="26">
        <v>723</v>
      </c>
      <c r="E60" s="95">
        <v>900</v>
      </c>
      <c r="F60" s="42" t="s">
        <v>423</v>
      </c>
      <c r="G60" s="27">
        <v>18901000</v>
      </c>
      <c r="H60" s="27">
        <v>20184000</v>
      </c>
      <c r="I60" s="27">
        <v>19048000</v>
      </c>
      <c r="J60" s="27">
        <v>20956000</v>
      </c>
      <c r="K60" s="27">
        <v>20889000</v>
      </c>
      <c r="L60" s="27">
        <v>19343000</v>
      </c>
      <c r="M60" s="27">
        <v>19712000</v>
      </c>
      <c r="N60" s="27">
        <v>21833000</v>
      </c>
      <c r="O60" s="27">
        <v>22237000</v>
      </c>
      <c r="P60" s="27">
        <v>19955000</v>
      </c>
      <c r="Q60" s="27">
        <v>19683000</v>
      </c>
      <c r="R60" s="27">
        <v>19683000</v>
      </c>
      <c r="S60" s="27">
        <v>21900000</v>
      </c>
      <c r="T60" s="27">
        <v>22586000</v>
      </c>
      <c r="U60" s="42" t="s">
        <v>423</v>
      </c>
      <c r="V60" s="27">
        <v>18646000</v>
      </c>
      <c r="W60" s="27">
        <v>19930000</v>
      </c>
      <c r="X60" s="27">
        <v>18794000</v>
      </c>
      <c r="Y60" s="27">
        <v>20701000</v>
      </c>
      <c r="Z60" s="27">
        <v>20634000</v>
      </c>
      <c r="AA60" s="27">
        <v>19089000</v>
      </c>
      <c r="AB60" s="27">
        <v>19458000</v>
      </c>
      <c r="AC60" s="27">
        <v>21579000</v>
      </c>
      <c r="AD60" s="27">
        <v>21982000</v>
      </c>
      <c r="AE60" s="27">
        <v>19701000</v>
      </c>
      <c r="AF60" s="27">
        <v>19428000</v>
      </c>
      <c r="AG60" s="27">
        <v>19428000</v>
      </c>
      <c r="AH60" s="27">
        <v>21646000</v>
      </c>
      <c r="AI60" s="27">
        <v>22332000</v>
      </c>
      <c r="AJ60" s="29"/>
      <c r="AK60" s="29"/>
      <c r="AL60" s="29"/>
      <c r="AM60" s="29"/>
      <c r="AN60" s="29"/>
      <c r="AO60" s="29"/>
      <c r="AP60" s="29"/>
      <c r="AQ60" s="29"/>
      <c r="AR60" s="29"/>
      <c r="AS60" s="29"/>
      <c r="AT60" s="29"/>
      <c r="AU60" s="29"/>
      <c r="AV60" s="29"/>
      <c r="AW60" s="29"/>
      <c r="AX60" s="29"/>
      <c r="AY60" s="29"/>
      <c r="AZ60" s="29"/>
      <c r="BA60" s="29"/>
      <c r="BB60" s="29"/>
      <c r="BC60" s="29"/>
      <c r="BD60" s="29"/>
      <c r="BE60" s="29"/>
      <c r="BF60" s="29"/>
      <c r="BG60" s="29"/>
      <c r="BH60" s="29"/>
      <c r="BI60" s="29"/>
      <c r="BJ60" s="29"/>
      <c r="BK60" s="29"/>
      <c r="BL60" s="29"/>
      <c r="BM60" s="29"/>
    </row>
    <row r="61" spans="1:65">
      <c r="A61" s="24"/>
      <c r="B61" s="94" t="s">
        <v>227</v>
      </c>
      <c r="C61" s="26">
        <v>380</v>
      </c>
      <c r="D61" s="26">
        <v>978</v>
      </c>
      <c r="E61" s="95">
        <v>450</v>
      </c>
      <c r="F61" s="42" t="s">
        <v>423</v>
      </c>
      <c r="G61" s="27">
        <v>18181000</v>
      </c>
      <c r="H61" s="27">
        <v>19050000</v>
      </c>
      <c r="I61" s="27">
        <v>18281000</v>
      </c>
      <c r="J61" s="27">
        <v>19571000</v>
      </c>
      <c r="K61" s="27">
        <v>19526000</v>
      </c>
      <c r="L61" s="27">
        <v>18481000</v>
      </c>
      <c r="M61" s="27">
        <v>18730000</v>
      </c>
      <c r="N61" s="27">
        <v>20165000</v>
      </c>
      <c r="O61" s="27">
        <v>20438000</v>
      </c>
      <c r="P61" s="27">
        <v>18895000</v>
      </c>
      <c r="Q61" s="27">
        <v>18710000</v>
      </c>
      <c r="R61" s="27">
        <v>18710000</v>
      </c>
      <c r="S61" s="27">
        <v>20210000</v>
      </c>
      <c r="T61" s="27">
        <v>20674000</v>
      </c>
      <c r="U61" s="42" t="s">
        <v>423</v>
      </c>
      <c r="V61" s="27">
        <v>17957000</v>
      </c>
      <c r="W61" s="27">
        <v>18826000</v>
      </c>
      <c r="X61" s="27">
        <v>18057000</v>
      </c>
      <c r="Y61" s="27">
        <v>19347000</v>
      </c>
      <c r="Z61" s="27">
        <v>19302000</v>
      </c>
      <c r="AA61" s="27">
        <v>18257000</v>
      </c>
      <c r="AB61" s="27">
        <v>18506000</v>
      </c>
      <c r="AC61" s="27">
        <v>19941000</v>
      </c>
      <c r="AD61" s="27">
        <v>20214000</v>
      </c>
      <c r="AE61" s="27">
        <v>18671000</v>
      </c>
      <c r="AF61" s="27">
        <v>18486000</v>
      </c>
      <c r="AG61" s="27">
        <v>18486000</v>
      </c>
      <c r="AH61" s="27">
        <v>19986000</v>
      </c>
      <c r="AI61" s="27">
        <v>20450000</v>
      </c>
      <c r="AJ61" s="29"/>
      <c r="AK61" s="29"/>
      <c r="AL61" s="29"/>
      <c r="AM61" s="29"/>
      <c r="AN61" s="29"/>
      <c r="AO61" s="29"/>
      <c r="AP61" s="29"/>
      <c r="AQ61" s="29"/>
      <c r="AR61" s="29"/>
      <c r="AS61" s="29"/>
      <c r="AT61" s="29"/>
      <c r="AU61" s="29"/>
      <c r="AV61" s="29"/>
      <c r="AW61" s="29"/>
      <c r="AX61" s="29"/>
      <c r="AY61" s="29"/>
      <c r="AZ61" s="29"/>
      <c r="BA61" s="29"/>
      <c r="BB61" s="29"/>
      <c r="BC61" s="29"/>
      <c r="BD61" s="29"/>
      <c r="BE61" s="29"/>
      <c r="BF61" s="29"/>
      <c r="BG61" s="29"/>
      <c r="BH61" s="29"/>
      <c r="BI61" s="29"/>
      <c r="BJ61" s="29"/>
      <c r="BK61" s="29"/>
      <c r="BL61" s="29"/>
      <c r="BM61" s="29"/>
    </row>
    <row r="62" spans="1:65">
      <c r="A62" s="24"/>
      <c r="B62" s="94" t="s">
        <v>228</v>
      </c>
      <c r="C62" s="26">
        <v>380</v>
      </c>
      <c r="D62" s="26">
        <v>978</v>
      </c>
      <c r="E62" s="95">
        <v>600</v>
      </c>
      <c r="F62" s="42" t="s">
        <v>423</v>
      </c>
      <c r="G62" s="27">
        <v>18855000</v>
      </c>
      <c r="H62" s="27">
        <v>20012000</v>
      </c>
      <c r="I62" s="27">
        <v>18988000</v>
      </c>
      <c r="J62" s="27">
        <v>20708000</v>
      </c>
      <c r="K62" s="27">
        <v>20647000</v>
      </c>
      <c r="L62" s="27">
        <v>19254000</v>
      </c>
      <c r="M62" s="27">
        <v>19586000</v>
      </c>
      <c r="N62" s="27">
        <v>21499000</v>
      </c>
      <c r="O62" s="27">
        <v>21863000</v>
      </c>
      <c r="P62" s="27">
        <v>19806000</v>
      </c>
      <c r="Q62" s="27">
        <v>19560000</v>
      </c>
      <c r="R62" s="27">
        <v>19560000</v>
      </c>
      <c r="S62" s="27">
        <v>21560000</v>
      </c>
      <c r="T62" s="27">
        <v>22178000</v>
      </c>
      <c r="U62" s="42" t="s">
        <v>423</v>
      </c>
      <c r="V62" s="27">
        <v>18607000</v>
      </c>
      <c r="W62" s="27">
        <v>19765000</v>
      </c>
      <c r="X62" s="27">
        <v>18740000</v>
      </c>
      <c r="Y62" s="27">
        <v>20460000</v>
      </c>
      <c r="Z62" s="27">
        <v>20400000</v>
      </c>
      <c r="AA62" s="27">
        <v>19006000</v>
      </c>
      <c r="AB62" s="27">
        <v>19339000</v>
      </c>
      <c r="AC62" s="27">
        <v>21252000</v>
      </c>
      <c r="AD62" s="27">
        <v>21616000</v>
      </c>
      <c r="AE62" s="27">
        <v>19558000</v>
      </c>
      <c r="AF62" s="27">
        <v>19312000</v>
      </c>
      <c r="AG62" s="27">
        <v>19312000</v>
      </c>
      <c r="AH62" s="27">
        <v>21312000</v>
      </c>
      <c r="AI62" s="27">
        <v>21931000</v>
      </c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  <c r="AU62" s="29"/>
      <c r="AV62" s="29"/>
      <c r="AW62" s="29"/>
      <c r="AX62" s="29"/>
      <c r="AY62" s="29"/>
      <c r="AZ62" s="29"/>
      <c r="BA62" s="29"/>
      <c r="BB62" s="29"/>
      <c r="BC62" s="29"/>
      <c r="BD62" s="29"/>
      <c r="BE62" s="29"/>
      <c r="BF62" s="29"/>
      <c r="BG62" s="29"/>
      <c r="BH62" s="29"/>
      <c r="BI62" s="29"/>
      <c r="BJ62" s="29"/>
      <c r="BK62" s="29"/>
      <c r="BL62" s="29"/>
      <c r="BM62" s="29"/>
    </row>
    <row r="63" spans="1:65">
      <c r="A63" s="24"/>
      <c r="B63" s="94" t="s">
        <v>229</v>
      </c>
      <c r="C63" s="96">
        <v>380</v>
      </c>
      <c r="D63" s="96">
        <v>978</v>
      </c>
      <c r="E63" s="97">
        <v>900</v>
      </c>
      <c r="F63" s="42" t="s">
        <v>423</v>
      </c>
      <c r="G63" s="27">
        <v>20179000</v>
      </c>
      <c r="H63" s="27">
        <v>21915000</v>
      </c>
      <c r="I63" s="27">
        <v>20379000</v>
      </c>
      <c r="J63" s="27">
        <v>22959000</v>
      </c>
      <c r="K63" s="27">
        <v>22868000</v>
      </c>
      <c r="L63" s="27">
        <v>20778000</v>
      </c>
      <c r="M63" s="27">
        <v>21277000</v>
      </c>
      <c r="N63" s="27">
        <v>24146000</v>
      </c>
      <c r="O63" s="27">
        <v>24692000</v>
      </c>
      <c r="P63" s="27">
        <v>21606000</v>
      </c>
      <c r="Q63" s="27">
        <v>21237000</v>
      </c>
      <c r="R63" s="27">
        <v>21237000</v>
      </c>
      <c r="S63" s="27">
        <v>24236000</v>
      </c>
      <c r="T63" s="27">
        <v>25164000</v>
      </c>
      <c r="U63" s="42" t="s">
        <v>423</v>
      </c>
      <c r="V63" s="27">
        <v>19885000</v>
      </c>
      <c r="W63" s="27">
        <v>21621000</v>
      </c>
      <c r="X63" s="27">
        <v>20084000</v>
      </c>
      <c r="Y63" s="27">
        <v>22664000</v>
      </c>
      <c r="Z63" s="27">
        <v>22574000</v>
      </c>
      <c r="AA63" s="27">
        <v>20483000</v>
      </c>
      <c r="AB63" s="27">
        <v>20982000</v>
      </c>
      <c r="AC63" s="27">
        <v>23851000</v>
      </c>
      <c r="AD63" s="27">
        <v>24397000</v>
      </c>
      <c r="AE63" s="27">
        <v>21311000</v>
      </c>
      <c r="AF63" s="27">
        <v>20942000</v>
      </c>
      <c r="AG63" s="27">
        <v>20942000</v>
      </c>
      <c r="AH63" s="27">
        <v>23942000</v>
      </c>
      <c r="AI63" s="27">
        <v>24870000</v>
      </c>
      <c r="AJ63" s="29"/>
      <c r="AK63" s="29"/>
      <c r="AL63" s="29"/>
      <c r="AM63" s="29"/>
      <c r="AN63" s="29"/>
      <c r="AO63" s="29"/>
      <c r="AP63" s="29"/>
      <c r="AQ63" s="29"/>
      <c r="AR63" s="29"/>
      <c r="AS63" s="29"/>
      <c r="AT63" s="29"/>
      <c r="AU63" s="29"/>
      <c r="AV63" s="29"/>
      <c r="AW63" s="29"/>
      <c r="AX63" s="29"/>
      <c r="AY63" s="29"/>
      <c r="AZ63" s="29"/>
      <c r="BA63" s="29"/>
      <c r="BB63" s="29"/>
      <c r="BC63" s="29"/>
      <c r="BD63" s="29"/>
      <c r="BE63" s="29"/>
      <c r="BF63" s="29"/>
      <c r="BG63" s="29"/>
      <c r="BH63" s="29"/>
      <c r="BI63" s="29"/>
      <c r="BJ63" s="29"/>
      <c r="BK63" s="29"/>
      <c r="BL63" s="29"/>
      <c r="BM63" s="29"/>
    </row>
    <row r="64" spans="1:65" ht="18">
      <c r="A64" s="16" t="e">
        <f ca="1">_xludf.image("https://lh3.google.com/u/0/d/1FYX4okAcN43RMMTEPScFDFOi07fVzH5I",1)</f>
        <v>#NAME?</v>
      </c>
      <c r="B64" s="92" t="s">
        <v>230</v>
      </c>
      <c r="C64" s="147"/>
      <c r="D64" s="145"/>
      <c r="E64" s="146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  <c r="AA64" s="63"/>
      <c r="AB64" s="63"/>
      <c r="AC64" s="63"/>
      <c r="AD64" s="63"/>
      <c r="AE64" s="63"/>
      <c r="AF64" s="63"/>
      <c r="AG64" s="63"/>
      <c r="AH64" s="63"/>
      <c r="AI64" s="63"/>
      <c r="AJ64" s="63"/>
      <c r="AK64" s="63"/>
      <c r="AL64" s="63"/>
      <c r="AM64" s="63"/>
      <c r="AN64" s="63"/>
      <c r="AO64" s="63"/>
      <c r="AP64" s="63"/>
      <c r="AQ64" s="63"/>
      <c r="AR64" s="63"/>
      <c r="AS64" s="63"/>
      <c r="AT64" s="63"/>
      <c r="AU64" s="63"/>
      <c r="AV64" s="63"/>
      <c r="AW64" s="63"/>
      <c r="AX64" s="63"/>
      <c r="AY64" s="63"/>
      <c r="AZ64" s="63"/>
      <c r="BA64" s="63"/>
      <c r="BB64" s="63"/>
      <c r="BC64" s="63"/>
      <c r="BD64" s="63"/>
      <c r="BE64" s="63"/>
      <c r="BF64" s="63"/>
      <c r="BG64" s="63"/>
      <c r="BH64" s="63"/>
      <c r="BI64" s="63"/>
      <c r="BJ64" s="63"/>
      <c r="BK64" s="63"/>
      <c r="BL64" s="63"/>
      <c r="BM64" s="63"/>
    </row>
    <row r="65" spans="1:65" ht="12.75">
      <c r="A65" s="20"/>
      <c r="B65" s="93" t="s">
        <v>231</v>
      </c>
      <c r="C65" s="65"/>
      <c r="D65" s="65"/>
      <c r="E65" s="66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</row>
    <row r="66" spans="1:65">
      <c r="A66" s="24" t="s">
        <v>232</v>
      </c>
      <c r="B66" s="94" t="s">
        <v>233</v>
      </c>
      <c r="C66" s="26">
        <v>450</v>
      </c>
      <c r="D66" s="26">
        <v>350</v>
      </c>
      <c r="E66" s="95">
        <v>700</v>
      </c>
      <c r="F66" s="42">
        <v>2</v>
      </c>
      <c r="G66" s="27">
        <v>4877000</v>
      </c>
      <c r="H66" s="27">
        <v>5360000</v>
      </c>
      <c r="I66" s="27">
        <v>4932000</v>
      </c>
      <c r="J66" s="27">
        <v>5651000</v>
      </c>
      <c r="K66" s="27">
        <v>5625000</v>
      </c>
      <c r="L66" s="27">
        <v>5043000</v>
      </c>
      <c r="M66" s="27">
        <v>5182000</v>
      </c>
      <c r="N66" s="27">
        <v>5981000</v>
      </c>
      <c r="O66" s="27">
        <v>6133000</v>
      </c>
      <c r="P66" s="27">
        <v>5274000</v>
      </c>
      <c r="Q66" s="27">
        <v>5171000</v>
      </c>
      <c r="R66" s="27">
        <v>5171000</v>
      </c>
      <c r="S66" s="27">
        <v>6006000</v>
      </c>
      <c r="T66" s="27">
        <v>6265000</v>
      </c>
      <c r="U66" s="42">
        <v>2</v>
      </c>
      <c r="V66" s="27">
        <v>4622000</v>
      </c>
      <c r="W66" s="27">
        <v>5106000</v>
      </c>
      <c r="X66" s="27">
        <v>4678000</v>
      </c>
      <c r="Y66" s="27">
        <v>5396000</v>
      </c>
      <c r="Z66" s="27">
        <v>5371000</v>
      </c>
      <c r="AA66" s="27">
        <v>4789000</v>
      </c>
      <c r="AB66" s="27">
        <v>4928000</v>
      </c>
      <c r="AC66" s="27">
        <v>5727000</v>
      </c>
      <c r="AD66" s="27">
        <v>5878000</v>
      </c>
      <c r="AE66" s="27">
        <v>5020000</v>
      </c>
      <c r="AF66" s="27">
        <v>4917000</v>
      </c>
      <c r="AG66" s="27">
        <v>4917000</v>
      </c>
      <c r="AH66" s="27">
        <v>5752000</v>
      </c>
      <c r="AI66" s="27">
        <v>6010000</v>
      </c>
      <c r="AJ66" s="27">
        <v>2</v>
      </c>
      <c r="AK66" s="27">
        <v>6812000</v>
      </c>
      <c r="AL66" s="27">
        <v>7296000</v>
      </c>
      <c r="AM66" s="27">
        <v>6868000</v>
      </c>
      <c r="AN66" s="27">
        <v>7586000</v>
      </c>
      <c r="AO66" s="27">
        <v>7561000</v>
      </c>
      <c r="AP66" s="27">
        <v>6979000</v>
      </c>
      <c r="AQ66" s="27">
        <v>7118000</v>
      </c>
      <c r="AR66" s="27">
        <v>7917000</v>
      </c>
      <c r="AS66" s="27">
        <v>8069000</v>
      </c>
      <c r="AT66" s="27">
        <v>7210000</v>
      </c>
      <c r="AU66" s="27">
        <v>7107000</v>
      </c>
      <c r="AV66" s="27">
        <v>7107000</v>
      </c>
      <c r="AW66" s="27">
        <v>7942000</v>
      </c>
      <c r="AX66" s="27">
        <v>8200000</v>
      </c>
      <c r="AY66" s="27">
        <v>2</v>
      </c>
      <c r="AZ66" s="27">
        <v>13326000</v>
      </c>
      <c r="BA66" s="27">
        <v>13809000</v>
      </c>
      <c r="BB66" s="27">
        <v>13381000</v>
      </c>
      <c r="BC66" s="27">
        <v>14100000</v>
      </c>
      <c r="BD66" s="27">
        <v>14074000</v>
      </c>
      <c r="BE66" s="27">
        <v>13492000</v>
      </c>
      <c r="BF66" s="27">
        <v>13631000</v>
      </c>
      <c r="BG66" s="27">
        <v>14430000</v>
      </c>
      <c r="BH66" s="27">
        <v>14582000</v>
      </c>
      <c r="BI66" s="27">
        <v>13723000</v>
      </c>
      <c r="BJ66" s="27">
        <v>13620000</v>
      </c>
      <c r="BK66" s="27">
        <v>13620000</v>
      </c>
      <c r="BL66" s="27">
        <v>14455000</v>
      </c>
      <c r="BM66" s="27">
        <v>14713000</v>
      </c>
    </row>
    <row r="67" spans="1:65">
      <c r="A67" s="24"/>
      <c r="B67" s="94" t="s">
        <v>234</v>
      </c>
      <c r="C67" s="26">
        <v>450</v>
      </c>
      <c r="D67" s="26">
        <v>350</v>
      </c>
      <c r="E67" s="95">
        <v>920</v>
      </c>
      <c r="F67" s="42">
        <v>2</v>
      </c>
      <c r="G67" s="27">
        <v>5763000</v>
      </c>
      <c r="H67" s="27">
        <v>6398000</v>
      </c>
      <c r="I67" s="27">
        <v>5836000</v>
      </c>
      <c r="J67" s="27">
        <v>6780000</v>
      </c>
      <c r="K67" s="27">
        <v>6747000</v>
      </c>
      <c r="L67" s="27">
        <v>5982000</v>
      </c>
      <c r="M67" s="27">
        <v>6165000</v>
      </c>
      <c r="N67" s="27">
        <v>7214000</v>
      </c>
      <c r="O67" s="27">
        <v>7414000</v>
      </c>
      <c r="P67" s="27">
        <v>6285000</v>
      </c>
      <c r="Q67" s="27">
        <v>6150000</v>
      </c>
      <c r="R67" s="27">
        <v>6150000</v>
      </c>
      <c r="S67" s="27">
        <v>7247000</v>
      </c>
      <c r="T67" s="27">
        <v>7587000</v>
      </c>
      <c r="U67" s="42">
        <v>2</v>
      </c>
      <c r="V67" s="27">
        <v>5474000</v>
      </c>
      <c r="W67" s="27">
        <v>6109000</v>
      </c>
      <c r="X67" s="27">
        <v>5547000</v>
      </c>
      <c r="Y67" s="27">
        <v>6491000</v>
      </c>
      <c r="Z67" s="27">
        <v>6458000</v>
      </c>
      <c r="AA67" s="27">
        <v>5693000</v>
      </c>
      <c r="AB67" s="27">
        <v>5876000</v>
      </c>
      <c r="AC67" s="27">
        <v>6925000</v>
      </c>
      <c r="AD67" s="27">
        <v>7125000</v>
      </c>
      <c r="AE67" s="27">
        <v>5996000</v>
      </c>
      <c r="AF67" s="27">
        <v>5861000</v>
      </c>
      <c r="AG67" s="27">
        <v>5861000</v>
      </c>
      <c r="AH67" s="27">
        <v>6958000</v>
      </c>
      <c r="AI67" s="27">
        <v>7298000</v>
      </c>
      <c r="AJ67" s="27">
        <v>2</v>
      </c>
      <c r="AK67" s="27">
        <v>7671000</v>
      </c>
      <c r="AL67" s="27">
        <v>8306000</v>
      </c>
      <c r="AM67" s="27">
        <v>7744000</v>
      </c>
      <c r="AN67" s="27">
        <v>8688000</v>
      </c>
      <c r="AO67" s="27">
        <v>8655000</v>
      </c>
      <c r="AP67" s="27">
        <v>7890000</v>
      </c>
      <c r="AQ67" s="27">
        <v>8073000</v>
      </c>
      <c r="AR67" s="27">
        <v>9122000</v>
      </c>
      <c r="AS67" s="27">
        <v>9322000</v>
      </c>
      <c r="AT67" s="27">
        <v>8193000</v>
      </c>
      <c r="AU67" s="27">
        <v>8058000</v>
      </c>
      <c r="AV67" s="27">
        <v>8058000</v>
      </c>
      <c r="AW67" s="27">
        <v>9155000</v>
      </c>
      <c r="AX67" s="27">
        <v>9495000</v>
      </c>
      <c r="AY67" s="27">
        <v>2</v>
      </c>
      <c r="AZ67" s="27">
        <v>14480000</v>
      </c>
      <c r="BA67" s="27">
        <v>15115000</v>
      </c>
      <c r="BB67" s="27">
        <v>14553000</v>
      </c>
      <c r="BC67" s="27">
        <v>15497000</v>
      </c>
      <c r="BD67" s="27">
        <v>15463000</v>
      </c>
      <c r="BE67" s="27">
        <v>14699000</v>
      </c>
      <c r="BF67" s="27">
        <v>14881000</v>
      </c>
      <c r="BG67" s="27">
        <v>15931000</v>
      </c>
      <c r="BH67" s="27">
        <v>16130000</v>
      </c>
      <c r="BI67" s="27">
        <v>15002000</v>
      </c>
      <c r="BJ67" s="27">
        <v>14867000</v>
      </c>
      <c r="BK67" s="27">
        <v>14867000</v>
      </c>
      <c r="BL67" s="27">
        <v>15964000</v>
      </c>
      <c r="BM67" s="27">
        <v>16303000</v>
      </c>
    </row>
    <row r="68" spans="1:65">
      <c r="A68" s="24" t="s">
        <v>235</v>
      </c>
      <c r="B68" s="94" t="s">
        <v>236</v>
      </c>
      <c r="C68" s="26">
        <v>450</v>
      </c>
      <c r="D68" s="26">
        <v>550</v>
      </c>
      <c r="E68" s="95">
        <v>700</v>
      </c>
      <c r="F68" s="42">
        <v>2</v>
      </c>
      <c r="G68" s="27">
        <v>6121000</v>
      </c>
      <c r="H68" s="27">
        <v>6880000</v>
      </c>
      <c r="I68" s="27">
        <v>6208000</v>
      </c>
      <c r="J68" s="27">
        <v>7336000</v>
      </c>
      <c r="K68" s="27">
        <v>7297000</v>
      </c>
      <c r="L68" s="27">
        <v>6382000</v>
      </c>
      <c r="M68" s="27">
        <v>6601000</v>
      </c>
      <c r="N68" s="27">
        <v>7856000</v>
      </c>
      <c r="O68" s="27">
        <v>8094000</v>
      </c>
      <c r="P68" s="27">
        <v>6745000</v>
      </c>
      <c r="Q68" s="27">
        <v>6583000</v>
      </c>
      <c r="R68" s="27">
        <v>6583000</v>
      </c>
      <c r="S68" s="27">
        <v>7895000</v>
      </c>
      <c r="T68" s="27">
        <v>8301000</v>
      </c>
      <c r="U68" s="42">
        <v>2</v>
      </c>
      <c r="V68" s="27">
        <v>5783000</v>
      </c>
      <c r="W68" s="27">
        <v>6543000</v>
      </c>
      <c r="X68" s="27">
        <v>5871000</v>
      </c>
      <c r="Y68" s="27">
        <v>6999000</v>
      </c>
      <c r="Z68" s="27">
        <v>6960000</v>
      </c>
      <c r="AA68" s="27">
        <v>6045000</v>
      </c>
      <c r="AB68" s="27">
        <v>6264000</v>
      </c>
      <c r="AC68" s="27">
        <v>7519000</v>
      </c>
      <c r="AD68" s="27">
        <v>7757000</v>
      </c>
      <c r="AE68" s="27">
        <v>6408000</v>
      </c>
      <c r="AF68" s="27">
        <v>6246000</v>
      </c>
      <c r="AG68" s="27">
        <v>6246000</v>
      </c>
      <c r="AH68" s="27">
        <v>7558000</v>
      </c>
      <c r="AI68" s="27">
        <v>7964000</v>
      </c>
      <c r="AJ68" s="27">
        <v>2</v>
      </c>
      <c r="AK68" s="27">
        <v>7986000</v>
      </c>
      <c r="AL68" s="27">
        <v>8746000</v>
      </c>
      <c r="AM68" s="27">
        <v>8074000</v>
      </c>
      <c r="AN68" s="27">
        <v>9202000</v>
      </c>
      <c r="AO68" s="27">
        <v>9163000</v>
      </c>
      <c r="AP68" s="27">
        <v>8248000</v>
      </c>
      <c r="AQ68" s="27">
        <v>8466000</v>
      </c>
      <c r="AR68" s="27">
        <v>9721000</v>
      </c>
      <c r="AS68" s="27">
        <v>9960000</v>
      </c>
      <c r="AT68" s="27">
        <v>8610000</v>
      </c>
      <c r="AU68" s="27">
        <v>8449000</v>
      </c>
      <c r="AV68" s="27">
        <v>8449000</v>
      </c>
      <c r="AW68" s="27">
        <v>9761000</v>
      </c>
      <c r="AX68" s="27">
        <v>10167000</v>
      </c>
      <c r="AY68" s="27">
        <v>2</v>
      </c>
      <c r="AZ68" s="27">
        <v>15104000</v>
      </c>
      <c r="BA68" s="27">
        <v>15863000</v>
      </c>
      <c r="BB68" s="27">
        <v>15191000</v>
      </c>
      <c r="BC68" s="27">
        <v>16320000</v>
      </c>
      <c r="BD68" s="27">
        <v>16280000</v>
      </c>
      <c r="BE68" s="27">
        <v>15366000</v>
      </c>
      <c r="BF68" s="27">
        <v>15584000</v>
      </c>
      <c r="BG68" s="27">
        <v>16839000</v>
      </c>
      <c r="BH68" s="27">
        <v>17078000</v>
      </c>
      <c r="BI68" s="27">
        <v>15728000</v>
      </c>
      <c r="BJ68" s="27">
        <v>15567000</v>
      </c>
      <c r="BK68" s="27">
        <v>15567000</v>
      </c>
      <c r="BL68" s="27">
        <v>16879000</v>
      </c>
      <c r="BM68" s="27">
        <v>17285000</v>
      </c>
    </row>
    <row r="69" spans="1:65">
      <c r="A69" s="24"/>
      <c r="B69" s="94" t="s">
        <v>237</v>
      </c>
      <c r="C69" s="96">
        <v>450</v>
      </c>
      <c r="D69" s="96">
        <v>550</v>
      </c>
      <c r="E69" s="97">
        <v>920</v>
      </c>
      <c r="F69" s="42">
        <v>2</v>
      </c>
      <c r="G69" s="27">
        <v>7309000</v>
      </c>
      <c r="H69" s="27">
        <v>8307000</v>
      </c>
      <c r="I69" s="27">
        <v>7423000</v>
      </c>
      <c r="J69" s="27">
        <v>8907000</v>
      </c>
      <c r="K69" s="27">
        <v>8855000</v>
      </c>
      <c r="L69" s="27">
        <v>7653000</v>
      </c>
      <c r="M69" s="27">
        <v>7940000</v>
      </c>
      <c r="N69" s="27">
        <v>9589000</v>
      </c>
      <c r="O69" s="27">
        <v>9903000</v>
      </c>
      <c r="P69" s="27">
        <v>8129000</v>
      </c>
      <c r="Q69" s="27">
        <v>7917000</v>
      </c>
      <c r="R69" s="27">
        <v>7917000</v>
      </c>
      <c r="S69" s="27">
        <v>9641000</v>
      </c>
      <c r="T69" s="27">
        <v>10175000</v>
      </c>
      <c r="U69" s="42">
        <v>2</v>
      </c>
      <c r="V69" s="27">
        <v>6937000</v>
      </c>
      <c r="W69" s="27">
        <v>7935000</v>
      </c>
      <c r="X69" s="27">
        <v>7052000</v>
      </c>
      <c r="Y69" s="27">
        <v>8535000</v>
      </c>
      <c r="Z69" s="27">
        <v>8483000</v>
      </c>
      <c r="AA69" s="27">
        <v>7281000</v>
      </c>
      <c r="AB69" s="27">
        <v>7568000</v>
      </c>
      <c r="AC69" s="27">
        <v>9218000</v>
      </c>
      <c r="AD69" s="27">
        <v>9531000</v>
      </c>
      <c r="AE69" s="27">
        <v>7757000</v>
      </c>
      <c r="AF69" s="27">
        <v>7545000</v>
      </c>
      <c r="AG69" s="27">
        <v>7545000</v>
      </c>
      <c r="AH69" s="27">
        <v>9270000</v>
      </c>
      <c r="AI69" s="27">
        <v>9803000</v>
      </c>
      <c r="AJ69" s="27">
        <v>2</v>
      </c>
      <c r="AK69" s="27">
        <v>9147000</v>
      </c>
      <c r="AL69" s="27">
        <v>10145000</v>
      </c>
      <c r="AM69" s="27">
        <v>9262000</v>
      </c>
      <c r="AN69" s="27">
        <v>10745000</v>
      </c>
      <c r="AO69" s="27">
        <v>10693000</v>
      </c>
      <c r="AP69" s="27">
        <v>9491000</v>
      </c>
      <c r="AQ69" s="27">
        <v>9778000</v>
      </c>
      <c r="AR69" s="27">
        <v>11427000</v>
      </c>
      <c r="AS69" s="27">
        <v>11741000</v>
      </c>
      <c r="AT69" s="27">
        <v>9967000</v>
      </c>
      <c r="AU69" s="27">
        <v>9755000</v>
      </c>
      <c r="AV69" s="27">
        <v>9755000</v>
      </c>
      <c r="AW69" s="27">
        <v>11479000</v>
      </c>
      <c r="AX69" s="27">
        <v>12013000</v>
      </c>
      <c r="AY69" s="27">
        <v>2</v>
      </c>
      <c r="AZ69" s="27">
        <v>16560000</v>
      </c>
      <c r="BA69" s="27">
        <v>17558000</v>
      </c>
      <c r="BB69" s="27">
        <v>16674000</v>
      </c>
      <c r="BC69" s="27">
        <v>18158000</v>
      </c>
      <c r="BD69" s="27">
        <v>18106000</v>
      </c>
      <c r="BE69" s="27">
        <v>16904000</v>
      </c>
      <c r="BF69" s="27">
        <v>17191000</v>
      </c>
      <c r="BG69" s="27">
        <v>18840000</v>
      </c>
      <c r="BH69" s="27">
        <v>19154000</v>
      </c>
      <c r="BI69" s="27">
        <v>17380000</v>
      </c>
      <c r="BJ69" s="27">
        <v>17168000</v>
      </c>
      <c r="BK69" s="27">
        <v>17168000</v>
      </c>
      <c r="BL69" s="27">
        <v>18892000</v>
      </c>
      <c r="BM69" s="27">
        <v>19426000</v>
      </c>
    </row>
    <row r="70" spans="1:65" ht="18">
      <c r="A70" s="16" t="e">
        <f ca="1">_xludf.image("https://lh3.google.com/u/0/d/15SIuX2dOtFeBigv5Egba1vQNS43oAWDh",1)</f>
        <v>#NAME?</v>
      </c>
      <c r="B70" s="92" t="s">
        <v>238</v>
      </c>
      <c r="C70" s="147"/>
      <c r="D70" s="145"/>
      <c r="E70" s="146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  <c r="AA70" s="63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63"/>
      <c r="AM70" s="63"/>
      <c r="AN70" s="63"/>
      <c r="AO70" s="63"/>
      <c r="AP70" s="63"/>
      <c r="AQ70" s="63"/>
      <c r="AR70" s="63"/>
      <c r="AS70" s="63"/>
      <c r="AT70" s="63"/>
      <c r="AU70" s="63"/>
      <c r="AV70" s="63"/>
      <c r="AW70" s="63"/>
      <c r="AX70" s="63"/>
      <c r="AY70" s="63"/>
      <c r="AZ70" s="63"/>
      <c r="BA70" s="63"/>
      <c r="BB70" s="63"/>
      <c r="BC70" s="63"/>
      <c r="BD70" s="63"/>
      <c r="BE70" s="63"/>
      <c r="BF70" s="63"/>
      <c r="BG70" s="63"/>
      <c r="BH70" s="63"/>
      <c r="BI70" s="63"/>
      <c r="BJ70" s="63"/>
      <c r="BK70" s="63"/>
      <c r="BL70" s="63"/>
      <c r="BM70" s="63"/>
    </row>
    <row r="71" spans="1:65" ht="12.75">
      <c r="A71" s="20"/>
      <c r="B71" s="93" t="s">
        <v>239</v>
      </c>
      <c r="C71" s="65"/>
      <c r="D71" s="65"/>
      <c r="E71" s="66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</row>
    <row r="72" spans="1:65">
      <c r="A72" s="24"/>
      <c r="B72" s="94" t="s">
        <v>240</v>
      </c>
      <c r="C72" s="26">
        <v>380</v>
      </c>
      <c r="D72" s="26">
        <v>600</v>
      </c>
      <c r="E72" s="95">
        <v>300</v>
      </c>
      <c r="F72" s="42">
        <v>2</v>
      </c>
      <c r="G72" s="27">
        <v>3220000</v>
      </c>
      <c r="H72" s="27">
        <v>3575000</v>
      </c>
      <c r="I72" s="27">
        <v>3261000</v>
      </c>
      <c r="J72" s="27">
        <v>3789000</v>
      </c>
      <c r="K72" s="27">
        <v>3770000</v>
      </c>
      <c r="L72" s="27">
        <v>3342000</v>
      </c>
      <c r="M72" s="27">
        <v>3445000</v>
      </c>
      <c r="N72" s="27">
        <v>4031000</v>
      </c>
      <c r="O72" s="27">
        <v>4143000</v>
      </c>
      <c r="P72" s="27">
        <v>3512000</v>
      </c>
      <c r="Q72" s="27">
        <v>3436000</v>
      </c>
      <c r="R72" s="27">
        <v>3436000</v>
      </c>
      <c r="S72" s="27">
        <v>4050000</v>
      </c>
      <c r="T72" s="27">
        <v>4240000</v>
      </c>
      <c r="U72" s="42">
        <v>2</v>
      </c>
      <c r="V72" s="27">
        <v>3049000</v>
      </c>
      <c r="W72" s="27">
        <v>3404000</v>
      </c>
      <c r="X72" s="27">
        <v>3090000</v>
      </c>
      <c r="Y72" s="27">
        <v>3617000</v>
      </c>
      <c r="Z72" s="27">
        <v>3599000</v>
      </c>
      <c r="AA72" s="27">
        <v>3171000</v>
      </c>
      <c r="AB72" s="27">
        <v>3273000</v>
      </c>
      <c r="AC72" s="27">
        <v>3860000</v>
      </c>
      <c r="AD72" s="27">
        <v>3972000</v>
      </c>
      <c r="AE72" s="27">
        <v>3341000</v>
      </c>
      <c r="AF72" s="27">
        <v>3265000</v>
      </c>
      <c r="AG72" s="27">
        <v>3265000</v>
      </c>
      <c r="AH72" s="27">
        <v>3879000</v>
      </c>
      <c r="AI72" s="27">
        <v>4069000</v>
      </c>
      <c r="AJ72" s="27">
        <v>2</v>
      </c>
      <c r="AK72" s="27">
        <v>4150000</v>
      </c>
      <c r="AL72" s="27">
        <v>4506000</v>
      </c>
      <c r="AM72" s="27">
        <v>4191000</v>
      </c>
      <c r="AN72" s="27">
        <v>4719000</v>
      </c>
      <c r="AO72" s="27">
        <v>4700000</v>
      </c>
      <c r="AP72" s="27">
        <v>4273000</v>
      </c>
      <c r="AQ72" s="27">
        <v>4375000</v>
      </c>
      <c r="AR72" s="27">
        <v>4962000</v>
      </c>
      <c r="AS72" s="27">
        <v>5073000</v>
      </c>
      <c r="AT72" s="27">
        <v>4442000</v>
      </c>
      <c r="AU72" s="27">
        <v>4367000</v>
      </c>
      <c r="AV72" s="27">
        <v>4367000</v>
      </c>
      <c r="AW72" s="27">
        <v>4980000</v>
      </c>
      <c r="AX72" s="27">
        <v>5170000</v>
      </c>
      <c r="AY72" s="27">
        <v>2</v>
      </c>
      <c r="AZ72" s="27">
        <v>7718000</v>
      </c>
      <c r="BA72" s="27">
        <v>8073000</v>
      </c>
      <c r="BB72" s="27">
        <v>7759000</v>
      </c>
      <c r="BC72" s="27">
        <v>8286000</v>
      </c>
      <c r="BD72" s="27">
        <v>8268000</v>
      </c>
      <c r="BE72" s="27">
        <v>7840000</v>
      </c>
      <c r="BF72" s="27">
        <v>7942000</v>
      </c>
      <c r="BG72" s="27">
        <v>8529000</v>
      </c>
      <c r="BH72" s="27">
        <v>8641000</v>
      </c>
      <c r="BI72" s="27">
        <v>8010000</v>
      </c>
      <c r="BJ72" s="27">
        <v>7934000</v>
      </c>
      <c r="BK72" s="27">
        <v>7934000</v>
      </c>
      <c r="BL72" s="27">
        <v>8547000</v>
      </c>
      <c r="BM72" s="27">
        <v>8737000</v>
      </c>
    </row>
    <row r="73" spans="1:65">
      <c r="A73" s="24"/>
      <c r="B73" s="94" t="s">
        <v>241</v>
      </c>
      <c r="C73" s="26">
        <v>380</v>
      </c>
      <c r="D73" s="26">
        <v>600</v>
      </c>
      <c r="E73" s="95">
        <v>450</v>
      </c>
      <c r="F73" s="42">
        <v>2</v>
      </c>
      <c r="G73" s="27">
        <v>3720000</v>
      </c>
      <c r="H73" s="27">
        <v>4252000</v>
      </c>
      <c r="I73" s="27">
        <v>3781000</v>
      </c>
      <c r="J73" s="27">
        <v>4572000</v>
      </c>
      <c r="K73" s="27">
        <v>4545000</v>
      </c>
      <c r="L73" s="27">
        <v>3903000</v>
      </c>
      <c r="M73" s="27">
        <v>4056000</v>
      </c>
      <c r="N73" s="27">
        <v>4937000</v>
      </c>
      <c r="O73" s="27">
        <v>5104000</v>
      </c>
      <c r="P73" s="27">
        <v>4157000</v>
      </c>
      <c r="Q73" s="27">
        <v>4044000</v>
      </c>
      <c r="R73" s="27">
        <v>4044000</v>
      </c>
      <c r="S73" s="27">
        <v>4964000</v>
      </c>
      <c r="T73" s="27">
        <v>5249000</v>
      </c>
      <c r="U73" s="42">
        <v>2</v>
      </c>
      <c r="V73" s="27">
        <v>3525000</v>
      </c>
      <c r="W73" s="27">
        <v>4058000</v>
      </c>
      <c r="X73" s="27">
        <v>3586000</v>
      </c>
      <c r="Y73" s="27">
        <v>4378000</v>
      </c>
      <c r="Z73" s="27">
        <v>4350000</v>
      </c>
      <c r="AA73" s="27">
        <v>3709000</v>
      </c>
      <c r="AB73" s="27">
        <v>3862000</v>
      </c>
      <c r="AC73" s="27">
        <v>4742000</v>
      </c>
      <c r="AD73" s="27">
        <v>4909000</v>
      </c>
      <c r="AE73" s="27">
        <v>3963000</v>
      </c>
      <c r="AF73" s="27">
        <v>3850000</v>
      </c>
      <c r="AG73" s="27">
        <v>3850000</v>
      </c>
      <c r="AH73" s="27">
        <v>4770000</v>
      </c>
      <c r="AI73" s="27">
        <v>5054000</v>
      </c>
      <c r="AJ73" s="27">
        <v>2</v>
      </c>
      <c r="AK73" s="27">
        <v>4631000</v>
      </c>
      <c r="AL73" s="27">
        <v>5164000</v>
      </c>
      <c r="AM73" s="27">
        <v>4693000</v>
      </c>
      <c r="AN73" s="27">
        <v>5484000</v>
      </c>
      <c r="AO73" s="27">
        <v>5456000</v>
      </c>
      <c r="AP73" s="27">
        <v>4815000</v>
      </c>
      <c r="AQ73" s="27">
        <v>4968000</v>
      </c>
      <c r="AR73" s="27">
        <v>5848000</v>
      </c>
      <c r="AS73" s="27">
        <v>6016000</v>
      </c>
      <c r="AT73" s="27">
        <v>5069000</v>
      </c>
      <c r="AU73" s="27">
        <v>4956000</v>
      </c>
      <c r="AV73" s="27">
        <v>4956000</v>
      </c>
      <c r="AW73" s="27">
        <v>5876000</v>
      </c>
      <c r="AX73" s="27">
        <v>6161000</v>
      </c>
      <c r="AY73" s="27">
        <v>2</v>
      </c>
      <c r="AZ73" s="27">
        <v>8400000</v>
      </c>
      <c r="BA73" s="27">
        <v>8932000</v>
      </c>
      <c r="BB73" s="27">
        <v>8461000</v>
      </c>
      <c r="BC73" s="27">
        <v>9253000</v>
      </c>
      <c r="BD73" s="27">
        <v>9225000</v>
      </c>
      <c r="BE73" s="27">
        <v>8583000</v>
      </c>
      <c r="BF73" s="27">
        <v>8737000</v>
      </c>
      <c r="BG73" s="27">
        <v>9617000</v>
      </c>
      <c r="BH73" s="27">
        <v>9784000</v>
      </c>
      <c r="BI73" s="27">
        <v>8838000</v>
      </c>
      <c r="BJ73" s="27">
        <v>8724000</v>
      </c>
      <c r="BK73" s="27">
        <v>8724000</v>
      </c>
      <c r="BL73" s="27">
        <v>9644000</v>
      </c>
      <c r="BM73" s="27">
        <v>9929000</v>
      </c>
    </row>
    <row r="74" spans="1:65">
      <c r="A74" s="24"/>
      <c r="B74" s="94" t="s">
        <v>242</v>
      </c>
      <c r="C74" s="26">
        <v>380</v>
      </c>
      <c r="D74" s="26">
        <v>600</v>
      </c>
      <c r="E74" s="95">
        <v>600</v>
      </c>
      <c r="F74" s="42">
        <v>2</v>
      </c>
      <c r="G74" s="27">
        <v>4239000</v>
      </c>
      <c r="H74" s="27">
        <v>4949000</v>
      </c>
      <c r="I74" s="27">
        <v>4321000</v>
      </c>
      <c r="J74" s="27">
        <v>5376000</v>
      </c>
      <c r="K74" s="27">
        <v>5339000</v>
      </c>
      <c r="L74" s="27">
        <v>4484000</v>
      </c>
      <c r="M74" s="27">
        <v>4688000</v>
      </c>
      <c r="N74" s="27">
        <v>5862000</v>
      </c>
      <c r="O74" s="27">
        <v>6085000</v>
      </c>
      <c r="P74" s="27">
        <v>4823000</v>
      </c>
      <c r="Q74" s="27">
        <v>4672000</v>
      </c>
      <c r="R74" s="27">
        <v>4672000</v>
      </c>
      <c r="S74" s="27">
        <v>5899000</v>
      </c>
      <c r="T74" s="27">
        <v>6278000</v>
      </c>
      <c r="U74" s="42">
        <v>2</v>
      </c>
      <c r="V74" s="27">
        <v>4021000</v>
      </c>
      <c r="W74" s="27">
        <v>4731000</v>
      </c>
      <c r="X74" s="27">
        <v>4103000</v>
      </c>
      <c r="Y74" s="27">
        <v>5158000</v>
      </c>
      <c r="Z74" s="27">
        <v>5121000</v>
      </c>
      <c r="AA74" s="27">
        <v>4266000</v>
      </c>
      <c r="AB74" s="27">
        <v>4470000</v>
      </c>
      <c r="AC74" s="27">
        <v>5644000</v>
      </c>
      <c r="AD74" s="27">
        <v>5867000</v>
      </c>
      <c r="AE74" s="27">
        <v>4605000</v>
      </c>
      <c r="AF74" s="27">
        <v>4454000</v>
      </c>
      <c r="AG74" s="27">
        <v>4454000</v>
      </c>
      <c r="AH74" s="27">
        <v>5681000</v>
      </c>
      <c r="AI74" s="27">
        <v>6060000</v>
      </c>
      <c r="AJ74" s="27">
        <v>2</v>
      </c>
      <c r="AK74" s="27">
        <v>5132000</v>
      </c>
      <c r="AL74" s="27">
        <v>5842000</v>
      </c>
      <c r="AM74" s="27">
        <v>5214000</v>
      </c>
      <c r="AN74" s="27">
        <v>6269000</v>
      </c>
      <c r="AO74" s="27">
        <v>6232000</v>
      </c>
      <c r="AP74" s="27">
        <v>5377000</v>
      </c>
      <c r="AQ74" s="27">
        <v>5581000</v>
      </c>
      <c r="AR74" s="27">
        <v>6755000</v>
      </c>
      <c r="AS74" s="27">
        <v>6978000</v>
      </c>
      <c r="AT74" s="27">
        <v>5716000</v>
      </c>
      <c r="AU74" s="27">
        <v>5565000</v>
      </c>
      <c r="AV74" s="27">
        <v>5565000</v>
      </c>
      <c r="AW74" s="27">
        <v>6792000</v>
      </c>
      <c r="AX74" s="27">
        <v>7171000</v>
      </c>
      <c r="AY74" s="27">
        <v>2</v>
      </c>
      <c r="AZ74" s="27">
        <v>9102000</v>
      </c>
      <c r="BA74" s="27">
        <v>9812000</v>
      </c>
      <c r="BB74" s="27">
        <v>9184000</v>
      </c>
      <c r="BC74" s="27">
        <v>10239000</v>
      </c>
      <c r="BD74" s="27">
        <v>10202000</v>
      </c>
      <c r="BE74" s="27">
        <v>9347000</v>
      </c>
      <c r="BF74" s="27">
        <v>9551000</v>
      </c>
      <c r="BG74" s="27">
        <v>10724000</v>
      </c>
      <c r="BH74" s="27">
        <v>10948000</v>
      </c>
      <c r="BI74" s="27">
        <v>9685000</v>
      </c>
      <c r="BJ74" s="27">
        <v>9535000</v>
      </c>
      <c r="BK74" s="27">
        <v>9535000</v>
      </c>
      <c r="BL74" s="27">
        <v>10761000</v>
      </c>
      <c r="BM74" s="27">
        <v>11141000</v>
      </c>
    </row>
    <row r="75" spans="1:65">
      <c r="A75" s="24"/>
      <c r="B75" s="94" t="s">
        <v>243</v>
      </c>
      <c r="C75" s="26">
        <v>380</v>
      </c>
      <c r="D75" s="26">
        <v>600</v>
      </c>
      <c r="E75" s="95">
        <v>900</v>
      </c>
      <c r="F75" s="42">
        <v>2</v>
      </c>
      <c r="G75" s="27">
        <v>6769000</v>
      </c>
      <c r="H75" s="27">
        <v>7834000</v>
      </c>
      <c r="I75" s="27">
        <v>6891000</v>
      </c>
      <c r="J75" s="27">
        <v>8474000</v>
      </c>
      <c r="K75" s="27">
        <v>8419000</v>
      </c>
      <c r="L75" s="27">
        <v>7136000</v>
      </c>
      <c r="M75" s="27">
        <v>7442000</v>
      </c>
      <c r="N75" s="27">
        <v>9203000</v>
      </c>
      <c r="O75" s="27">
        <v>9537000</v>
      </c>
      <c r="P75" s="27">
        <v>7644000</v>
      </c>
      <c r="Q75" s="27">
        <v>7418000</v>
      </c>
      <c r="R75" s="27">
        <v>7418000</v>
      </c>
      <c r="S75" s="27">
        <v>9258000</v>
      </c>
      <c r="T75" s="27">
        <v>9827000</v>
      </c>
      <c r="U75" s="42">
        <v>2</v>
      </c>
      <c r="V75" s="27">
        <v>6380000</v>
      </c>
      <c r="W75" s="27">
        <v>7445000</v>
      </c>
      <c r="X75" s="27">
        <v>6502000</v>
      </c>
      <c r="Y75" s="27">
        <v>8085000</v>
      </c>
      <c r="Z75" s="27">
        <v>8030000</v>
      </c>
      <c r="AA75" s="27">
        <v>6747000</v>
      </c>
      <c r="AB75" s="27">
        <v>7053000</v>
      </c>
      <c r="AC75" s="27">
        <v>8813000</v>
      </c>
      <c r="AD75" s="27">
        <v>9148000</v>
      </c>
      <c r="AE75" s="27">
        <v>7255000</v>
      </c>
      <c r="AF75" s="27">
        <v>7029000</v>
      </c>
      <c r="AG75" s="27">
        <v>7029000</v>
      </c>
      <c r="AH75" s="27">
        <v>8869000</v>
      </c>
      <c r="AI75" s="27">
        <v>9438000</v>
      </c>
      <c r="AJ75" s="27">
        <v>2</v>
      </c>
      <c r="AK75" s="27">
        <v>8592000</v>
      </c>
      <c r="AL75" s="27">
        <v>9657000</v>
      </c>
      <c r="AM75" s="27">
        <v>8715000</v>
      </c>
      <c r="AN75" s="27">
        <v>10298000</v>
      </c>
      <c r="AO75" s="27">
        <v>10242000</v>
      </c>
      <c r="AP75" s="27">
        <v>8960000</v>
      </c>
      <c r="AQ75" s="27">
        <v>9266000</v>
      </c>
      <c r="AR75" s="27">
        <v>11026000</v>
      </c>
      <c r="AS75" s="27">
        <v>11361000</v>
      </c>
      <c r="AT75" s="27">
        <v>9468000</v>
      </c>
      <c r="AU75" s="27">
        <v>9241000</v>
      </c>
      <c r="AV75" s="27">
        <v>9241000</v>
      </c>
      <c r="AW75" s="27">
        <v>11081000</v>
      </c>
      <c r="AX75" s="27">
        <v>11651000</v>
      </c>
      <c r="AY75" s="27">
        <v>2</v>
      </c>
      <c r="AZ75" s="27">
        <v>16129000</v>
      </c>
      <c r="BA75" s="27">
        <v>17194000</v>
      </c>
      <c r="BB75" s="27">
        <v>16252000</v>
      </c>
      <c r="BC75" s="27">
        <v>17835000</v>
      </c>
      <c r="BD75" s="27">
        <v>17779000</v>
      </c>
      <c r="BE75" s="27">
        <v>16496000</v>
      </c>
      <c r="BF75" s="27">
        <v>16803000</v>
      </c>
      <c r="BG75" s="27">
        <v>18563000</v>
      </c>
      <c r="BH75" s="27">
        <v>18898000</v>
      </c>
      <c r="BI75" s="27">
        <v>17005000</v>
      </c>
      <c r="BJ75" s="27">
        <v>16778000</v>
      </c>
      <c r="BK75" s="27">
        <v>16778000</v>
      </c>
      <c r="BL75" s="27">
        <v>18618000</v>
      </c>
      <c r="BM75" s="27">
        <v>19188000</v>
      </c>
    </row>
    <row r="76" spans="1:65">
      <c r="A76" s="43"/>
      <c r="B76" s="94" t="s">
        <v>245</v>
      </c>
      <c r="C76" s="26">
        <v>380</v>
      </c>
      <c r="D76" s="26">
        <v>600</v>
      </c>
      <c r="E76" s="95">
        <v>1050</v>
      </c>
      <c r="F76" s="42">
        <v>2</v>
      </c>
      <c r="G76" s="27">
        <v>5181000</v>
      </c>
      <c r="H76" s="27">
        <v>5713000</v>
      </c>
      <c r="I76" s="27">
        <v>5242000</v>
      </c>
      <c r="J76" s="27">
        <v>6033000</v>
      </c>
      <c r="K76" s="27">
        <v>6006000</v>
      </c>
      <c r="L76" s="27">
        <v>5364000</v>
      </c>
      <c r="M76" s="27">
        <v>5517000</v>
      </c>
      <c r="N76" s="27">
        <v>6398000</v>
      </c>
      <c r="O76" s="27">
        <v>6565000</v>
      </c>
      <c r="P76" s="27">
        <v>5618000</v>
      </c>
      <c r="Q76" s="27">
        <v>5505000</v>
      </c>
      <c r="R76" s="27">
        <v>5505000</v>
      </c>
      <c r="S76" s="27">
        <v>6425000</v>
      </c>
      <c r="T76" s="27">
        <v>6710000</v>
      </c>
      <c r="U76" s="42">
        <v>2</v>
      </c>
      <c r="V76" s="27">
        <v>4986000</v>
      </c>
      <c r="W76" s="27">
        <v>5519000</v>
      </c>
      <c r="X76" s="27">
        <v>5047000</v>
      </c>
      <c r="Y76" s="27">
        <v>5839000</v>
      </c>
      <c r="Z76" s="27">
        <v>5811000</v>
      </c>
      <c r="AA76" s="27">
        <v>5170000</v>
      </c>
      <c r="AB76" s="27">
        <v>5323000</v>
      </c>
      <c r="AC76" s="27">
        <v>6203000</v>
      </c>
      <c r="AD76" s="27">
        <v>6370000</v>
      </c>
      <c r="AE76" s="27">
        <v>5424000</v>
      </c>
      <c r="AF76" s="27">
        <v>5311000</v>
      </c>
      <c r="AG76" s="27">
        <v>5311000</v>
      </c>
      <c r="AH76" s="27">
        <v>6231000</v>
      </c>
      <c r="AI76" s="27">
        <v>6515000</v>
      </c>
      <c r="AJ76" s="27">
        <v>2</v>
      </c>
      <c r="AK76" s="27">
        <v>6092000</v>
      </c>
      <c r="AL76" s="27">
        <v>6625000</v>
      </c>
      <c r="AM76" s="27">
        <v>6154000</v>
      </c>
      <c r="AN76" s="27">
        <v>6945000</v>
      </c>
      <c r="AO76" s="27">
        <v>6917000</v>
      </c>
      <c r="AP76" s="27">
        <v>6276000</v>
      </c>
      <c r="AQ76" s="27">
        <v>6429000</v>
      </c>
      <c r="AR76" s="27">
        <v>7309000</v>
      </c>
      <c r="AS76" s="27">
        <v>7477000</v>
      </c>
      <c r="AT76" s="27">
        <v>6530000</v>
      </c>
      <c r="AU76" s="27">
        <v>6417000</v>
      </c>
      <c r="AV76" s="27">
        <v>6417000</v>
      </c>
      <c r="AW76" s="27">
        <v>7337000</v>
      </c>
      <c r="AX76" s="27">
        <v>7622000</v>
      </c>
      <c r="AY76" s="27">
        <v>2</v>
      </c>
      <c r="AZ76" s="27">
        <v>9861000</v>
      </c>
      <c r="BA76" s="27">
        <v>10393000</v>
      </c>
      <c r="BB76" s="27">
        <v>9922000</v>
      </c>
      <c r="BC76" s="27">
        <v>10714000</v>
      </c>
      <c r="BD76" s="27">
        <v>10686000</v>
      </c>
      <c r="BE76" s="27">
        <v>10044000</v>
      </c>
      <c r="BF76" s="27">
        <v>10198000</v>
      </c>
      <c r="BG76" s="27">
        <v>11078000</v>
      </c>
      <c r="BH76" s="27">
        <v>11245000</v>
      </c>
      <c r="BI76" s="27">
        <v>10299000</v>
      </c>
      <c r="BJ76" s="27">
        <v>10185000</v>
      </c>
      <c r="BK76" s="27">
        <v>10185000</v>
      </c>
      <c r="BL76" s="27">
        <v>11105000</v>
      </c>
      <c r="BM76" s="27">
        <v>11390000</v>
      </c>
    </row>
    <row r="77" spans="1:65">
      <c r="A77" s="24"/>
      <c r="B77" s="94" t="s">
        <v>246</v>
      </c>
      <c r="C77" s="26">
        <v>380</v>
      </c>
      <c r="D77" s="26">
        <v>600</v>
      </c>
      <c r="E77" s="95">
        <v>300</v>
      </c>
      <c r="F77" s="42">
        <v>2</v>
      </c>
      <c r="G77" s="27">
        <v>3506000</v>
      </c>
      <c r="H77" s="27">
        <v>3861000</v>
      </c>
      <c r="I77" s="27">
        <v>3547000</v>
      </c>
      <c r="J77" s="27">
        <v>4075000</v>
      </c>
      <c r="K77" s="27">
        <v>4056000</v>
      </c>
      <c r="L77" s="27">
        <v>3628000</v>
      </c>
      <c r="M77" s="27">
        <v>3731000</v>
      </c>
      <c r="N77" s="27">
        <v>4317000</v>
      </c>
      <c r="O77" s="27">
        <v>4429000</v>
      </c>
      <c r="P77" s="27">
        <v>3798000</v>
      </c>
      <c r="Q77" s="27">
        <v>3722000</v>
      </c>
      <c r="R77" s="27">
        <v>3722000</v>
      </c>
      <c r="S77" s="27">
        <v>4336000</v>
      </c>
      <c r="T77" s="27">
        <v>4526000</v>
      </c>
      <c r="U77" s="42">
        <v>2</v>
      </c>
      <c r="V77" s="27">
        <v>3335000</v>
      </c>
      <c r="W77" s="27">
        <v>3690000</v>
      </c>
      <c r="X77" s="27">
        <v>3376000</v>
      </c>
      <c r="Y77" s="27">
        <v>3903000</v>
      </c>
      <c r="Z77" s="27">
        <v>3885000</v>
      </c>
      <c r="AA77" s="27">
        <v>3457000</v>
      </c>
      <c r="AB77" s="27">
        <v>3559000</v>
      </c>
      <c r="AC77" s="27">
        <v>4146000</v>
      </c>
      <c r="AD77" s="27">
        <v>4258000</v>
      </c>
      <c r="AE77" s="27">
        <v>3627000</v>
      </c>
      <c r="AF77" s="27">
        <v>3551000</v>
      </c>
      <c r="AG77" s="27">
        <v>3551000</v>
      </c>
      <c r="AH77" s="27">
        <v>4165000</v>
      </c>
      <c r="AI77" s="27">
        <v>4355000</v>
      </c>
      <c r="AJ77" s="27">
        <v>2</v>
      </c>
      <c r="AK77" s="27">
        <v>4436000</v>
      </c>
      <c r="AL77" s="27">
        <v>4792000</v>
      </c>
      <c r="AM77" s="27">
        <v>4477000</v>
      </c>
      <c r="AN77" s="27">
        <v>5005000</v>
      </c>
      <c r="AO77" s="27">
        <v>4986000</v>
      </c>
      <c r="AP77" s="27">
        <v>4559000</v>
      </c>
      <c r="AQ77" s="27">
        <v>4661000</v>
      </c>
      <c r="AR77" s="27">
        <v>5248000</v>
      </c>
      <c r="AS77" s="27">
        <v>5359000</v>
      </c>
      <c r="AT77" s="27">
        <v>4728000</v>
      </c>
      <c r="AU77" s="27">
        <v>4653000</v>
      </c>
      <c r="AV77" s="27">
        <v>4653000</v>
      </c>
      <c r="AW77" s="27">
        <v>5266000</v>
      </c>
      <c r="AX77" s="27">
        <v>5456000</v>
      </c>
      <c r="AY77" s="27">
        <v>2</v>
      </c>
      <c r="AZ77" s="27">
        <v>8004000</v>
      </c>
      <c r="BA77" s="27">
        <v>8359000</v>
      </c>
      <c r="BB77" s="27">
        <v>8045000</v>
      </c>
      <c r="BC77" s="27">
        <v>8572000</v>
      </c>
      <c r="BD77" s="27">
        <v>8554000</v>
      </c>
      <c r="BE77" s="27">
        <v>8126000</v>
      </c>
      <c r="BF77" s="27">
        <v>8228000</v>
      </c>
      <c r="BG77" s="27">
        <v>8815000</v>
      </c>
      <c r="BH77" s="27">
        <v>8927000</v>
      </c>
      <c r="BI77" s="27">
        <v>8296000</v>
      </c>
      <c r="BJ77" s="27">
        <v>8220000</v>
      </c>
      <c r="BK77" s="27">
        <v>8220000</v>
      </c>
      <c r="BL77" s="27">
        <v>8833000</v>
      </c>
      <c r="BM77" s="27">
        <v>9023000</v>
      </c>
    </row>
    <row r="78" spans="1:65">
      <c r="A78" s="24"/>
      <c r="B78" s="94" t="s">
        <v>247</v>
      </c>
      <c r="C78" s="26">
        <v>380</v>
      </c>
      <c r="D78" s="26">
        <v>600</v>
      </c>
      <c r="E78" s="95">
        <v>450</v>
      </c>
      <c r="F78" s="42">
        <v>2</v>
      </c>
      <c r="G78" s="27">
        <v>4155000</v>
      </c>
      <c r="H78" s="27">
        <v>4687000</v>
      </c>
      <c r="I78" s="27">
        <v>4216000</v>
      </c>
      <c r="J78" s="27">
        <v>5007000</v>
      </c>
      <c r="K78" s="27">
        <v>4980000</v>
      </c>
      <c r="L78" s="27">
        <v>4338000</v>
      </c>
      <c r="M78" s="27">
        <v>4491000</v>
      </c>
      <c r="N78" s="27">
        <v>5372000</v>
      </c>
      <c r="O78" s="27">
        <v>5539000</v>
      </c>
      <c r="P78" s="27">
        <v>4592000</v>
      </c>
      <c r="Q78" s="27">
        <v>4479000</v>
      </c>
      <c r="R78" s="27">
        <v>4479000</v>
      </c>
      <c r="S78" s="27">
        <v>5399000</v>
      </c>
      <c r="T78" s="27">
        <v>5684000</v>
      </c>
      <c r="U78" s="42">
        <v>2</v>
      </c>
      <c r="V78" s="27">
        <v>3960000</v>
      </c>
      <c r="W78" s="27">
        <v>4493000</v>
      </c>
      <c r="X78" s="27">
        <v>4021000</v>
      </c>
      <c r="Y78" s="27">
        <v>4813000</v>
      </c>
      <c r="Z78" s="27">
        <v>4785000</v>
      </c>
      <c r="AA78" s="27">
        <v>4144000</v>
      </c>
      <c r="AB78" s="27">
        <v>4297000</v>
      </c>
      <c r="AC78" s="27">
        <v>5177000</v>
      </c>
      <c r="AD78" s="27">
        <v>5344000</v>
      </c>
      <c r="AE78" s="27">
        <v>4398000</v>
      </c>
      <c r="AF78" s="27">
        <v>4285000</v>
      </c>
      <c r="AG78" s="27">
        <v>4285000</v>
      </c>
      <c r="AH78" s="27">
        <v>5205000</v>
      </c>
      <c r="AI78" s="27">
        <v>5489000</v>
      </c>
      <c r="AJ78" s="27">
        <v>2</v>
      </c>
      <c r="AK78" s="27">
        <v>5066000</v>
      </c>
      <c r="AL78" s="27">
        <v>5599000</v>
      </c>
      <c r="AM78" s="27">
        <v>5128000</v>
      </c>
      <c r="AN78" s="27">
        <v>5919000</v>
      </c>
      <c r="AO78" s="27">
        <v>5891000</v>
      </c>
      <c r="AP78" s="27">
        <v>5250000</v>
      </c>
      <c r="AQ78" s="27">
        <v>5403000</v>
      </c>
      <c r="AR78" s="27">
        <v>6283000</v>
      </c>
      <c r="AS78" s="27">
        <v>6451000</v>
      </c>
      <c r="AT78" s="27">
        <v>5504000</v>
      </c>
      <c r="AU78" s="27">
        <v>5391000</v>
      </c>
      <c r="AV78" s="27">
        <v>5391000</v>
      </c>
      <c r="AW78" s="27">
        <v>6311000</v>
      </c>
      <c r="AX78" s="27">
        <v>6596000</v>
      </c>
      <c r="AY78" s="27">
        <v>2</v>
      </c>
      <c r="AZ78" s="27">
        <v>8835000</v>
      </c>
      <c r="BA78" s="27">
        <v>9367000</v>
      </c>
      <c r="BB78" s="27">
        <v>8896000</v>
      </c>
      <c r="BC78" s="27">
        <v>9688000</v>
      </c>
      <c r="BD78" s="27">
        <v>9660000</v>
      </c>
      <c r="BE78" s="27">
        <v>9018000</v>
      </c>
      <c r="BF78" s="27">
        <v>9172000</v>
      </c>
      <c r="BG78" s="27">
        <v>10052000</v>
      </c>
      <c r="BH78" s="27">
        <v>10219000</v>
      </c>
      <c r="BI78" s="27">
        <v>9273000</v>
      </c>
      <c r="BJ78" s="27">
        <v>9159000</v>
      </c>
      <c r="BK78" s="27">
        <v>9159000</v>
      </c>
      <c r="BL78" s="27">
        <v>10079000</v>
      </c>
      <c r="BM78" s="27">
        <v>10364000</v>
      </c>
    </row>
    <row r="79" spans="1:65">
      <c r="A79" s="24"/>
      <c r="B79" s="94" t="s">
        <v>248</v>
      </c>
      <c r="C79" s="26">
        <v>380</v>
      </c>
      <c r="D79" s="26">
        <v>600</v>
      </c>
      <c r="E79" s="95">
        <v>600</v>
      </c>
      <c r="F79" s="42">
        <v>2</v>
      </c>
      <c r="G79" s="27">
        <v>4822000</v>
      </c>
      <c r="H79" s="27">
        <v>5532000</v>
      </c>
      <c r="I79" s="27">
        <v>4904000</v>
      </c>
      <c r="J79" s="27">
        <v>5959000</v>
      </c>
      <c r="K79" s="27">
        <v>5922000</v>
      </c>
      <c r="L79" s="27">
        <v>5067000</v>
      </c>
      <c r="M79" s="27">
        <v>5271000</v>
      </c>
      <c r="N79" s="27">
        <v>6445000</v>
      </c>
      <c r="O79" s="27">
        <v>6668000</v>
      </c>
      <c r="P79" s="27">
        <v>5406000</v>
      </c>
      <c r="Q79" s="27">
        <v>5255000</v>
      </c>
      <c r="R79" s="27">
        <v>5255000</v>
      </c>
      <c r="S79" s="27">
        <v>6482000</v>
      </c>
      <c r="T79" s="27">
        <v>6861000</v>
      </c>
      <c r="U79" s="42">
        <v>2</v>
      </c>
      <c r="V79" s="27">
        <v>4604000</v>
      </c>
      <c r="W79" s="27">
        <v>5314000</v>
      </c>
      <c r="X79" s="27">
        <v>4686000</v>
      </c>
      <c r="Y79" s="27">
        <v>5741000</v>
      </c>
      <c r="Z79" s="27">
        <v>5704000</v>
      </c>
      <c r="AA79" s="27">
        <v>4849000</v>
      </c>
      <c r="AB79" s="27">
        <v>5053000</v>
      </c>
      <c r="AC79" s="27">
        <v>6227000</v>
      </c>
      <c r="AD79" s="27">
        <v>6450000</v>
      </c>
      <c r="AE79" s="27">
        <v>5188000</v>
      </c>
      <c r="AF79" s="27">
        <v>5037000</v>
      </c>
      <c r="AG79" s="27">
        <v>5037000</v>
      </c>
      <c r="AH79" s="27">
        <v>6264000</v>
      </c>
      <c r="AI79" s="27">
        <v>6643000</v>
      </c>
      <c r="AJ79" s="27">
        <v>2</v>
      </c>
      <c r="AK79" s="27">
        <v>5715000</v>
      </c>
      <c r="AL79" s="27">
        <v>6425000</v>
      </c>
      <c r="AM79" s="27">
        <v>5797000</v>
      </c>
      <c r="AN79" s="27">
        <v>6852000</v>
      </c>
      <c r="AO79" s="27">
        <v>6815000</v>
      </c>
      <c r="AP79" s="27">
        <v>5960000</v>
      </c>
      <c r="AQ79" s="27">
        <v>6164000</v>
      </c>
      <c r="AR79" s="27">
        <v>7338000</v>
      </c>
      <c r="AS79" s="27">
        <v>7561000</v>
      </c>
      <c r="AT79" s="27">
        <v>6299000</v>
      </c>
      <c r="AU79" s="27">
        <v>6148000</v>
      </c>
      <c r="AV79" s="27">
        <v>6148000</v>
      </c>
      <c r="AW79" s="27">
        <v>7375000</v>
      </c>
      <c r="AX79" s="27">
        <v>7754000</v>
      </c>
      <c r="AY79" s="27">
        <v>2</v>
      </c>
      <c r="AZ79" s="27">
        <v>9685000</v>
      </c>
      <c r="BA79" s="27">
        <v>10395000</v>
      </c>
      <c r="BB79" s="27">
        <v>9767000</v>
      </c>
      <c r="BC79" s="27">
        <v>10822000</v>
      </c>
      <c r="BD79" s="27">
        <v>10785000</v>
      </c>
      <c r="BE79" s="27">
        <v>9930000</v>
      </c>
      <c r="BF79" s="27">
        <v>10134000</v>
      </c>
      <c r="BG79" s="27">
        <v>11307000</v>
      </c>
      <c r="BH79" s="27">
        <v>11531000</v>
      </c>
      <c r="BI79" s="27">
        <v>10268000</v>
      </c>
      <c r="BJ79" s="27">
        <v>10118000</v>
      </c>
      <c r="BK79" s="27">
        <v>10118000</v>
      </c>
      <c r="BL79" s="27">
        <v>11344000</v>
      </c>
      <c r="BM79" s="27">
        <v>11724000</v>
      </c>
    </row>
    <row r="80" spans="1:65">
      <c r="A80" s="24"/>
      <c r="B80" s="94" t="s">
        <v>249</v>
      </c>
      <c r="C80" s="96">
        <v>380</v>
      </c>
      <c r="D80" s="96">
        <v>600</v>
      </c>
      <c r="E80" s="97">
        <v>900</v>
      </c>
      <c r="F80" s="42">
        <v>2</v>
      </c>
      <c r="G80" s="27">
        <v>7650000</v>
      </c>
      <c r="H80" s="27">
        <v>8715000</v>
      </c>
      <c r="I80" s="27">
        <v>7772000</v>
      </c>
      <c r="J80" s="27">
        <v>9355000</v>
      </c>
      <c r="K80" s="27">
        <v>9300000</v>
      </c>
      <c r="L80" s="27">
        <v>8017000</v>
      </c>
      <c r="M80" s="27">
        <v>8323000</v>
      </c>
      <c r="N80" s="27">
        <v>10084000</v>
      </c>
      <c r="O80" s="27">
        <v>10418000</v>
      </c>
      <c r="P80" s="27">
        <v>8525000</v>
      </c>
      <c r="Q80" s="27">
        <v>8299000</v>
      </c>
      <c r="R80" s="27">
        <v>8299000</v>
      </c>
      <c r="S80" s="27">
        <v>10139000</v>
      </c>
      <c r="T80" s="27">
        <v>10708000</v>
      </c>
      <c r="U80" s="42">
        <v>2</v>
      </c>
      <c r="V80" s="27">
        <v>7261000</v>
      </c>
      <c r="W80" s="27">
        <v>8326000</v>
      </c>
      <c r="X80" s="27">
        <v>7383000</v>
      </c>
      <c r="Y80" s="27">
        <v>8966000</v>
      </c>
      <c r="Z80" s="27">
        <v>8911000</v>
      </c>
      <c r="AA80" s="27">
        <v>7628000</v>
      </c>
      <c r="AB80" s="27">
        <v>7934000</v>
      </c>
      <c r="AC80" s="27">
        <v>9694000</v>
      </c>
      <c r="AD80" s="27">
        <v>10029000</v>
      </c>
      <c r="AE80" s="27">
        <v>8136000</v>
      </c>
      <c r="AF80" s="27">
        <v>7910000</v>
      </c>
      <c r="AG80" s="27">
        <v>7910000</v>
      </c>
      <c r="AH80" s="27">
        <v>9750000</v>
      </c>
      <c r="AI80" s="27">
        <v>10319000</v>
      </c>
      <c r="AJ80" s="27">
        <v>2</v>
      </c>
      <c r="AK80" s="27">
        <v>9473000</v>
      </c>
      <c r="AL80" s="27">
        <v>10538000</v>
      </c>
      <c r="AM80" s="27">
        <v>9596000</v>
      </c>
      <c r="AN80" s="27">
        <v>11179000</v>
      </c>
      <c r="AO80" s="27">
        <v>11123000</v>
      </c>
      <c r="AP80" s="27">
        <v>9841000</v>
      </c>
      <c r="AQ80" s="27">
        <v>10147000</v>
      </c>
      <c r="AR80" s="27">
        <v>11907000</v>
      </c>
      <c r="AS80" s="27">
        <v>12242000</v>
      </c>
      <c r="AT80" s="27">
        <v>10349000</v>
      </c>
      <c r="AU80" s="27">
        <v>10122000</v>
      </c>
      <c r="AV80" s="27">
        <v>10122000</v>
      </c>
      <c r="AW80" s="27">
        <v>11962000</v>
      </c>
      <c r="AX80" s="27">
        <v>12532000</v>
      </c>
      <c r="AY80" s="27">
        <v>2</v>
      </c>
      <c r="AZ80" s="27">
        <v>17010000</v>
      </c>
      <c r="BA80" s="27">
        <v>18075000</v>
      </c>
      <c r="BB80" s="27">
        <v>17133000</v>
      </c>
      <c r="BC80" s="27">
        <v>18716000</v>
      </c>
      <c r="BD80" s="27">
        <v>18660000</v>
      </c>
      <c r="BE80" s="27">
        <v>17377000</v>
      </c>
      <c r="BF80" s="27">
        <v>17684000</v>
      </c>
      <c r="BG80" s="27">
        <v>19444000</v>
      </c>
      <c r="BH80" s="27">
        <v>19779000</v>
      </c>
      <c r="BI80" s="27">
        <v>17886000</v>
      </c>
      <c r="BJ80" s="27">
        <v>17659000</v>
      </c>
      <c r="BK80" s="27">
        <v>17659000</v>
      </c>
      <c r="BL80" s="27">
        <v>19499000</v>
      </c>
      <c r="BM80" s="27">
        <v>20069000</v>
      </c>
    </row>
    <row r="81" spans="1:65" ht="18">
      <c r="A81" s="16" t="e">
        <f ca="1">_xludf.image("https://lh3.google.com/u/0/d/15SIuX2dOtFeBigv5Egba1vQNS43oAWDh",1)</f>
        <v>#NAME?</v>
      </c>
      <c r="B81" s="92" t="s">
        <v>250</v>
      </c>
      <c r="C81" s="147"/>
      <c r="D81" s="145"/>
      <c r="E81" s="146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  <c r="AA81" s="63"/>
      <c r="AB81" s="63"/>
      <c r="AC81" s="63"/>
      <c r="AD81" s="63"/>
      <c r="AE81" s="63"/>
      <c r="AF81" s="63"/>
      <c r="AG81" s="63"/>
      <c r="AH81" s="63"/>
      <c r="AI81" s="63"/>
      <c r="AJ81" s="63"/>
      <c r="AK81" s="63"/>
      <c r="AL81" s="63"/>
      <c r="AM81" s="63"/>
      <c r="AN81" s="63"/>
      <c r="AO81" s="63"/>
      <c r="AP81" s="63"/>
      <c r="AQ81" s="63"/>
      <c r="AR81" s="63"/>
      <c r="AS81" s="63"/>
      <c r="AT81" s="63"/>
      <c r="AU81" s="63"/>
      <c r="AV81" s="63"/>
      <c r="AW81" s="63"/>
      <c r="AX81" s="63"/>
      <c r="AY81" s="63"/>
      <c r="AZ81" s="63"/>
      <c r="BA81" s="63"/>
      <c r="BB81" s="63"/>
      <c r="BC81" s="63"/>
      <c r="BD81" s="63"/>
      <c r="BE81" s="63"/>
      <c r="BF81" s="63"/>
      <c r="BG81" s="63"/>
      <c r="BH81" s="63"/>
      <c r="BI81" s="63"/>
      <c r="BJ81" s="63"/>
      <c r="BK81" s="63"/>
      <c r="BL81" s="63"/>
      <c r="BM81" s="63"/>
    </row>
    <row r="82" spans="1:65" ht="12.75">
      <c r="A82" s="20"/>
      <c r="B82" s="93" t="s">
        <v>239</v>
      </c>
      <c r="C82" s="65"/>
      <c r="D82" s="65"/>
      <c r="E82" s="66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</row>
    <row r="83" spans="1:65">
      <c r="A83" s="24"/>
      <c r="B83" s="94" t="s">
        <v>251</v>
      </c>
      <c r="C83" s="26">
        <v>380</v>
      </c>
      <c r="D83" s="26">
        <v>723</v>
      </c>
      <c r="E83" s="95">
        <v>300</v>
      </c>
      <c r="F83" s="42">
        <v>2</v>
      </c>
      <c r="G83" s="27">
        <v>3482000</v>
      </c>
      <c r="H83" s="27">
        <v>3910000</v>
      </c>
      <c r="I83" s="27">
        <v>3532000</v>
      </c>
      <c r="J83" s="27">
        <v>4167000</v>
      </c>
      <c r="K83" s="27">
        <v>4145000</v>
      </c>
      <c r="L83" s="27">
        <v>3630000</v>
      </c>
      <c r="M83" s="27">
        <v>3753000</v>
      </c>
      <c r="N83" s="27">
        <v>4460000</v>
      </c>
      <c r="O83" s="27">
        <v>4594000</v>
      </c>
      <c r="P83" s="27">
        <v>3834000</v>
      </c>
      <c r="Q83" s="27">
        <v>3743000</v>
      </c>
      <c r="R83" s="27">
        <v>3743000</v>
      </c>
      <c r="S83" s="27">
        <v>4482000</v>
      </c>
      <c r="T83" s="27">
        <v>4711000</v>
      </c>
      <c r="U83" s="42">
        <v>2</v>
      </c>
      <c r="V83" s="27">
        <v>3286000</v>
      </c>
      <c r="W83" s="27">
        <v>3714000</v>
      </c>
      <c r="X83" s="27">
        <v>3335000</v>
      </c>
      <c r="Y83" s="27">
        <v>3971000</v>
      </c>
      <c r="Z83" s="27">
        <v>3949000</v>
      </c>
      <c r="AA83" s="27">
        <v>3433000</v>
      </c>
      <c r="AB83" s="27">
        <v>3556000</v>
      </c>
      <c r="AC83" s="27">
        <v>4263000</v>
      </c>
      <c r="AD83" s="27">
        <v>4398000</v>
      </c>
      <c r="AE83" s="27">
        <v>3638000</v>
      </c>
      <c r="AF83" s="27">
        <v>3547000</v>
      </c>
      <c r="AG83" s="27">
        <v>3547000</v>
      </c>
      <c r="AH83" s="27">
        <v>4286000</v>
      </c>
      <c r="AI83" s="27">
        <v>4514000</v>
      </c>
      <c r="AJ83" s="27">
        <v>2</v>
      </c>
      <c r="AK83" s="27">
        <v>4391000</v>
      </c>
      <c r="AL83" s="27">
        <v>4819000</v>
      </c>
      <c r="AM83" s="27">
        <v>4440000</v>
      </c>
      <c r="AN83" s="27">
        <v>5076000</v>
      </c>
      <c r="AO83" s="27">
        <v>5054000</v>
      </c>
      <c r="AP83" s="27">
        <v>4539000</v>
      </c>
      <c r="AQ83" s="27">
        <v>4662000</v>
      </c>
      <c r="AR83" s="27">
        <v>5369000</v>
      </c>
      <c r="AS83" s="27">
        <v>5503000</v>
      </c>
      <c r="AT83" s="27">
        <v>4743000</v>
      </c>
      <c r="AU83" s="27">
        <v>4652000</v>
      </c>
      <c r="AV83" s="27">
        <v>4652000</v>
      </c>
      <c r="AW83" s="27">
        <v>5391000</v>
      </c>
      <c r="AX83" s="27">
        <v>5620000</v>
      </c>
      <c r="AY83" s="27">
        <v>2</v>
      </c>
      <c r="AZ83" s="27">
        <v>8144000</v>
      </c>
      <c r="BA83" s="27">
        <v>8572000</v>
      </c>
      <c r="BB83" s="27">
        <v>8194000</v>
      </c>
      <c r="BC83" s="27">
        <v>8829000</v>
      </c>
      <c r="BD83" s="27">
        <v>8807000</v>
      </c>
      <c r="BE83" s="27">
        <v>8292000</v>
      </c>
      <c r="BF83" s="27">
        <v>8415000</v>
      </c>
      <c r="BG83" s="27">
        <v>9122000</v>
      </c>
      <c r="BH83" s="27">
        <v>9256000</v>
      </c>
      <c r="BI83" s="27">
        <v>8496000</v>
      </c>
      <c r="BJ83" s="27">
        <v>8405000</v>
      </c>
      <c r="BK83" s="27">
        <v>8405000</v>
      </c>
      <c r="BL83" s="27">
        <v>9144000</v>
      </c>
      <c r="BM83" s="27">
        <v>9373000</v>
      </c>
    </row>
    <row r="84" spans="1:65">
      <c r="A84" s="24"/>
      <c r="B84" s="94" t="s">
        <v>252</v>
      </c>
      <c r="C84" s="26">
        <v>380</v>
      </c>
      <c r="D84" s="26">
        <v>723</v>
      </c>
      <c r="E84" s="95">
        <v>450</v>
      </c>
      <c r="F84" s="42">
        <v>2</v>
      </c>
      <c r="G84" s="27">
        <v>4005000</v>
      </c>
      <c r="H84" s="27">
        <v>4646000</v>
      </c>
      <c r="I84" s="27">
        <v>4078000</v>
      </c>
      <c r="J84" s="27">
        <v>5032000</v>
      </c>
      <c r="K84" s="27">
        <v>4999000</v>
      </c>
      <c r="L84" s="27">
        <v>4226000</v>
      </c>
      <c r="M84" s="27">
        <v>4410000</v>
      </c>
      <c r="N84" s="27">
        <v>5471000</v>
      </c>
      <c r="O84" s="27">
        <v>5673000</v>
      </c>
      <c r="P84" s="27">
        <v>4532000</v>
      </c>
      <c r="Q84" s="27">
        <v>4395000</v>
      </c>
      <c r="R84" s="27">
        <v>4395000</v>
      </c>
      <c r="S84" s="27">
        <v>5504000</v>
      </c>
      <c r="T84" s="27">
        <v>5847000</v>
      </c>
      <c r="U84" s="42">
        <v>2</v>
      </c>
      <c r="V84" s="27">
        <v>3785000</v>
      </c>
      <c r="W84" s="27">
        <v>4426000</v>
      </c>
      <c r="X84" s="27">
        <v>3858000</v>
      </c>
      <c r="Y84" s="27">
        <v>4812000</v>
      </c>
      <c r="Z84" s="27">
        <v>4779000</v>
      </c>
      <c r="AA84" s="27">
        <v>4006000</v>
      </c>
      <c r="AB84" s="27">
        <v>4190000</v>
      </c>
      <c r="AC84" s="27">
        <v>5251000</v>
      </c>
      <c r="AD84" s="27">
        <v>5453000</v>
      </c>
      <c r="AE84" s="27">
        <v>4312000</v>
      </c>
      <c r="AF84" s="27">
        <v>4176000</v>
      </c>
      <c r="AG84" s="27">
        <v>4176000</v>
      </c>
      <c r="AH84" s="27">
        <v>5284000</v>
      </c>
      <c r="AI84" s="27">
        <v>5627000</v>
      </c>
      <c r="AJ84" s="27">
        <v>2</v>
      </c>
      <c r="AK84" s="27">
        <v>4895000</v>
      </c>
      <c r="AL84" s="27">
        <v>5537000</v>
      </c>
      <c r="AM84" s="27">
        <v>4968000</v>
      </c>
      <c r="AN84" s="27">
        <v>5922000</v>
      </c>
      <c r="AO84" s="27">
        <v>5889000</v>
      </c>
      <c r="AP84" s="27">
        <v>5116000</v>
      </c>
      <c r="AQ84" s="27">
        <v>5300000</v>
      </c>
      <c r="AR84" s="27">
        <v>6361000</v>
      </c>
      <c r="AS84" s="27">
        <v>6563000</v>
      </c>
      <c r="AT84" s="27">
        <v>5422000</v>
      </c>
      <c r="AU84" s="27">
        <v>5286000</v>
      </c>
      <c r="AV84" s="27">
        <v>5286000</v>
      </c>
      <c r="AW84" s="27">
        <v>6394000</v>
      </c>
      <c r="AX84" s="27">
        <v>6737000</v>
      </c>
      <c r="AY84" s="27">
        <v>2</v>
      </c>
      <c r="AZ84" s="27">
        <v>8849000</v>
      </c>
      <c r="BA84" s="27">
        <v>9491000</v>
      </c>
      <c r="BB84" s="27">
        <v>8923000</v>
      </c>
      <c r="BC84" s="27">
        <v>9877000</v>
      </c>
      <c r="BD84" s="27">
        <v>9843000</v>
      </c>
      <c r="BE84" s="27">
        <v>9070000</v>
      </c>
      <c r="BF84" s="27">
        <v>9255000</v>
      </c>
      <c r="BG84" s="27">
        <v>10315000</v>
      </c>
      <c r="BH84" s="27">
        <v>10517000</v>
      </c>
      <c r="BI84" s="27">
        <v>9376000</v>
      </c>
      <c r="BJ84" s="27">
        <v>9240000</v>
      </c>
      <c r="BK84" s="27">
        <v>9240000</v>
      </c>
      <c r="BL84" s="27">
        <v>10349000</v>
      </c>
      <c r="BM84" s="27">
        <v>10692000</v>
      </c>
    </row>
    <row r="85" spans="1:65">
      <c r="A85" s="24"/>
      <c r="B85" s="94" t="s">
        <v>253</v>
      </c>
      <c r="C85" s="26">
        <v>380</v>
      </c>
      <c r="D85" s="26">
        <v>723</v>
      </c>
      <c r="E85" s="95">
        <v>600</v>
      </c>
      <c r="F85" s="42">
        <v>2</v>
      </c>
      <c r="G85" s="27">
        <v>4547000</v>
      </c>
      <c r="H85" s="27">
        <v>5402000</v>
      </c>
      <c r="I85" s="27">
        <v>4645000</v>
      </c>
      <c r="J85" s="27">
        <v>5917000</v>
      </c>
      <c r="K85" s="27">
        <v>5872000</v>
      </c>
      <c r="L85" s="27">
        <v>4842000</v>
      </c>
      <c r="M85" s="27">
        <v>5088000</v>
      </c>
      <c r="N85" s="27">
        <v>6502000</v>
      </c>
      <c r="O85" s="27">
        <v>6771000</v>
      </c>
      <c r="P85" s="27">
        <v>5250000</v>
      </c>
      <c r="Q85" s="27">
        <v>5068000</v>
      </c>
      <c r="R85" s="27">
        <v>5068000</v>
      </c>
      <c r="S85" s="27">
        <v>6546000</v>
      </c>
      <c r="T85" s="27">
        <v>7004000</v>
      </c>
      <c r="U85" s="42">
        <v>2</v>
      </c>
      <c r="V85" s="27">
        <v>4303000</v>
      </c>
      <c r="W85" s="27">
        <v>5159000</v>
      </c>
      <c r="X85" s="27">
        <v>4401000</v>
      </c>
      <c r="Y85" s="27">
        <v>5673000</v>
      </c>
      <c r="Z85" s="27">
        <v>5629000</v>
      </c>
      <c r="AA85" s="27">
        <v>4598000</v>
      </c>
      <c r="AB85" s="27">
        <v>4844000</v>
      </c>
      <c r="AC85" s="27">
        <v>6258000</v>
      </c>
      <c r="AD85" s="27">
        <v>6527000</v>
      </c>
      <c r="AE85" s="27">
        <v>5006000</v>
      </c>
      <c r="AF85" s="27">
        <v>4824000</v>
      </c>
      <c r="AG85" s="27">
        <v>4824000</v>
      </c>
      <c r="AH85" s="27">
        <v>6303000</v>
      </c>
      <c r="AI85" s="27">
        <v>6760000</v>
      </c>
      <c r="AJ85" s="27">
        <v>2</v>
      </c>
      <c r="AK85" s="27">
        <v>5418000</v>
      </c>
      <c r="AL85" s="27">
        <v>6274000</v>
      </c>
      <c r="AM85" s="27">
        <v>5516000</v>
      </c>
      <c r="AN85" s="27">
        <v>6788000</v>
      </c>
      <c r="AO85" s="27">
        <v>6744000</v>
      </c>
      <c r="AP85" s="27">
        <v>5713000</v>
      </c>
      <c r="AQ85" s="27">
        <v>5959000</v>
      </c>
      <c r="AR85" s="27">
        <v>7373000</v>
      </c>
      <c r="AS85" s="27">
        <v>7642000</v>
      </c>
      <c r="AT85" s="27">
        <v>6121000</v>
      </c>
      <c r="AU85" s="27">
        <v>5939000</v>
      </c>
      <c r="AV85" s="27">
        <v>5939000</v>
      </c>
      <c r="AW85" s="27">
        <v>7418000</v>
      </c>
      <c r="AX85" s="27">
        <v>7875000</v>
      </c>
      <c r="AY85" s="27">
        <v>2</v>
      </c>
      <c r="AZ85" s="27">
        <v>9574000</v>
      </c>
      <c r="BA85" s="27">
        <v>10429000</v>
      </c>
      <c r="BB85" s="27">
        <v>9672000</v>
      </c>
      <c r="BC85" s="27">
        <v>10944000</v>
      </c>
      <c r="BD85" s="27">
        <v>10899000</v>
      </c>
      <c r="BE85" s="27">
        <v>9869000</v>
      </c>
      <c r="BF85" s="27">
        <v>10115000</v>
      </c>
      <c r="BG85" s="27">
        <v>11529000</v>
      </c>
      <c r="BH85" s="27">
        <v>11798000</v>
      </c>
      <c r="BI85" s="27">
        <v>10277000</v>
      </c>
      <c r="BJ85" s="27">
        <v>10095000</v>
      </c>
      <c r="BK85" s="27">
        <v>10095000</v>
      </c>
      <c r="BL85" s="27">
        <v>11573000</v>
      </c>
      <c r="BM85" s="27">
        <v>12031000</v>
      </c>
    </row>
    <row r="86" spans="1:65">
      <c r="A86" s="24"/>
      <c r="B86" s="94" t="s">
        <v>254</v>
      </c>
      <c r="C86" s="26">
        <v>380</v>
      </c>
      <c r="D86" s="26">
        <v>723</v>
      </c>
      <c r="E86" s="95">
        <v>900</v>
      </c>
      <c r="F86" s="42">
        <v>2</v>
      </c>
      <c r="G86" s="27">
        <v>7241000</v>
      </c>
      <c r="H86" s="27">
        <v>8524000</v>
      </c>
      <c r="I86" s="27">
        <v>7388000</v>
      </c>
      <c r="J86" s="27">
        <v>9296000</v>
      </c>
      <c r="K86" s="27">
        <v>9229000</v>
      </c>
      <c r="L86" s="27">
        <v>7683000</v>
      </c>
      <c r="M86" s="27">
        <v>8052000</v>
      </c>
      <c r="N86" s="27">
        <v>10173000</v>
      </c>
      <c r="O86" s="27">
        <v>10577000</v>
      </c>
      <c r="P86" s="27">
        <v>8295000</v>
      </c>
      <c r="Q86" s="27">
        <v>8022000</v>
      </c>
      <c r="R86" s="27">
        <v>8022000</v>
      </c>
      <c r="S86" s="27">
        <v>10240000</v>
      </c>
      <c r="T86" s="27">
        <v>10926000</v>
      </c>
      <c r="U86" s="42">
        <v>2</v>
      </c>
      <c r="V86" s="27">
        <v>6801000</v>
      </c>
      <c r="W86" s="27">
        <v>8084000</v>
      </c>
      <c r="X86" s="27">
        <v>6948000</v>
      </c>
      <c r="Y86" s="27">
        <v>8856000</v>
      </c>
      <c r="Z86" s="27">
        <v>8789000</v>
      </c>
      <c r="AA86" s="27">
        <v>7243000</v>
      </c>
      <c r="AB86" s="27">
        <v>7612000</v>
      </c>
      <c r="AC86" s="27">
        <v>9733000</v>
      </c>
      <c r="AD86" s="27">
        <v>10137000</v>
      </c>
      <c r="AE86" s="27">
        <v>7855000</v>
      </c>
      <c r="AF86" s="27">
        <v>7583000</v>
      </c>
      <c r="AG86" s="27">
        <v>7583000</v>
      </c>
      <c r="AH86" s="27">
        <v>9800000</v>
      </c>
      <c r="AI86" s="27">
        <v>10486000</v>
      </c>
      <c r="AJ86" s="27">
        <v>2</v>
      </c>
      <c r="AK86" s="27">
        <v>9021000</v>
      </c>
      <c r="AL86" s="27">
        <v>10305000</v>
      </c>
      <c r="AM86" s="27">
        <v>9168000</v>
      </c>
      <c r="AN86" s="27">
        <v>11076000</v>
      </c>
      <c r="AO86" s="27">
        <v>11009000</v>
      </c>
      <c r="AP86" s="27">
        <v>9464000</v>
      </c>
      <c r="AQ86" s="27">
        <v>9832000</v>
      </c>
      <c r="AR86" s="27">
        <v>11953000</v>
      </c>
      <c r="AS86" s="27">
        <v>12357000</v>
      </c>
      <c r="AT86" s="27">
        <v>10076000</v>
      </c>
      <c r="AU86" s="27">
        <v>9803000</v>
      </c>
      <c r="AV86" s="27">
        <v>9803000</v>
      </c>
      <c r="AW86" s="27">
        <v>12020000</v>
      </c>
      <c r="AX86" s="27">
        <v>12706000</v>
      </c>
      <c r="AY86" s="27">
        <v>2</v>
      </c>
      <c r="AZ86" s="27">
        <v>16930000</v>
      </c>
      <c r="BA86" s="27">
        <v>18213000</v>
      </c>
      <c r="BB86" s="27">
        <v>17077000</v>
      </c>
      <c r="BC86" s="27">
        <v>18985000</v>
      </c>
      <c r="BD86" s="27">
        <v>18918000</v>
      </c>
      <c r="BE86" s="27">
        <v>17372000</v>
      </c>
      <c r="BF86" s="27">
        <v>17741000</v>
      </c>
      <c r="BG86" s="27">
        <v>19862000</v>
      </c>
      <c r="BH86" s="27">
        <v>20266000</v>
      </c>
      <c r="BI86" s="27">
        <v>17984000</v>
      </c>
      <c r="BJ86" s="27">
        <v>17711000</v>
      </c>
      <c r="BK86" s="27">
        <v>17711000</v>
      </c>
      <c r="BL86" s="27">
        <v>19929000</v>
      </c>
      <c r="BM86" s="27">
        <v>20615000</v>
      </c>
    </row>
    <row r="87" spans="1:65">
      <c r="A87" s="24"/>
      <c r="B87" s="94" t="s">
        <v>256</v>
      </c>
      <c r="C87" s="26">
        <v>380</v>
      </c>
      <c r="D87" s="26">
        <v>723</v>
      </c>
      <c r="E87" s="95">
        <v>1050</v>
      </c>
      <c r="F87" s="42">
        <v>2</v>
      </c>
      <c r="G87" s="27">
        <v>5543000</v>
      </c>
      <c r="H87" s="27">
        <v>6184000</v>
      </c>
      <c r="I87" s="27">
        <v>5616000</v>
      </c>
      <c r="J87" s="27">
        <v>6570000</v>
      </c>
      <c r="K87" s="27">
        <v>6537000</v>
      </c>
      <c r="L87" s="27">
        <v>5764000</v>
      </c>
      <c r="M87" s="27">
        <v>5948000</v>
      </c>
      <c r="N87" s="27">
        <v>7009000</v>
      </c>
      <c r="O87" s="27">
        <v>7211000</v>
      </c>
      <c r="P87" s="27">
        <v>6070000</v>
      </c>
      <c r="Q87" s="27">
        <v>5933000</v>
      </c>
      <c r="R87" s="27">
        <v>5933000</v>
      </c>
      <c r="S87" s="27">
        <v>7042000</v>
      </c>
      <c r="T87" s="27">
        <v>7385000</v>
      </c>
      <c r="U87" s="42">
        <v>2</v>
      </c>
      <c r="V87" s="27">
        <v>5323000</v>
      </c>
      <c r="W87" s="27">
        <v>5964000</v>
      </c>
      <c r="X87" s="27">
        <v>5396000</v>
      </c>
      <c r="Y87" s="27">
        <v>6350000</v>
      </c>
      <c r="Z87" s="27">
        <v>6317000</v>
      </c>
      <c r="AA87" s="27">
        <v>5544000</v>
      </c>
      <c r="AB87" s="27">
        <v>5728000</v>
      </c>
      <c r="AC87" s="27">
        <v>6789000</v>
      </c>
      <c r="AD87" s="27">
        <v>6991000</v>
      </c>
      <c r="AE87" s="27">
        <v>5850000</v>
      </c>
      <c r="AF87" s="27">
        <v>5714000</v>
      </c>
      <c r="AG87" s="27">
        <v>5714000</v>
      </c>
      <c r="AH87" s="27">
        <v>6822000</v>
      </c>
      <c r="AI87" s="27">
        <v>7165000</v>
      </c>
      <c r="AJ87" s="27">
        <v>2</v>
      </c>
      <c r="AK87" s="27">
        <v>6433000</v>
      </c>
      <c r="AL87" s="27">
        <v>7075000</v>
      </c>
      <c r="AM87" s="27">
        <v>6506000</v>
      </c>
      <c r="AN87" s="27">
        <v>7460000</v>
      </c>
      <c r="AO87" s="27">
        <v>7427000</v>
      </c>
      <c r="AP87" s="27">
        <v>6654000</v>
      </c>
      <c r="AQ87" s="27">
        <v>6838000</v>
      </c>
      <c r="AR87" s="27">
        <v>7899000</v>
      </c>
      <c r="AS87" s="27">
        <v>8101000</v>
      </c>
      <c r="AT87" s="27">
        <v>6960000</v>
      </c>
      <c r="AU87" s="27">
        <v>6824000</v>
      </c>
      <c r="AV87" s="27">
        <v>6824000</v>
      </c>
      <c r="AW87" s="27">
        <v>7932000</v>
      </c>
      <c r="AX87" s="27">
        <v>8275000</v>
      </c>
      <c r="AY87" s="27">
        <v>2</v>
      </c>
      <c r="AZ87" s="27">
        <v>10387000</v>
      </c>
      <c r="BA87" s="27">
        <v>11029000</v>
      </c>
      <c r="BB87" s="27">
        <v>10461000</v>
      </c>
      <c r="BC87" s="27">
        <v>11415000</v>
      </c>
      <c r="BD87" s="27">
        <v>11381000</v>
      </c>
      <c r="BE87" s="27">
        <v>10608000</v>
      </c>
      <c r="BF87" s="27">
        <v>10793000</v>
      </c>
      <c r="BG87" s="27">
        <v>11853000</v>
      </c>
      <c r="BH87" s="27">
        <v>12055000</v>
      </c>
      <c r="BI87" s="27">
        <v>10914000</v>
      </c>
      <c r="BJ87" s="27">
        <v>10778000</v>
      </c>
      <c r="BK87" s="27">
        <v>10778000</v>
      </c>
      <c r="BL87" s="27">
        <v>11887000</v>
      </c>
      <c r="BM87" s="27">
        <v>12230000</v>
      </c>
    </row>
    <row r="88" spans="1:65">
      <c r="A88" s="24"/>
      <c r="B88" s="94" t="s">
        <v>257</v>
      </c>
      <c r="C88" s="26">
        <v>380</v>
      </c>
      <c r="D88" s="26">
        <v>723</v>
      </c>
      <c r="E88" s="95">
        <v>300</v>
      </c>
      <c r="F88" s="42">
        <v>2</v>
      </c>
      <c r="G88" s="27">
        <v>3769000</v>
      </c>
      <c r="H88" s="27">
        <v>4197000</v>
      </c>
      <c r="I88" s="27">
        <v>3819000</v>
      </c>
      <c r="J88" s="27">
        <v>4454000</v>
      </c>
      <c r="K88" s="27">
        <v>4432000</v>
      </c>
      <c r="L88" s="27">
        <v>3917000</v>
      </c>
      <c r="M88" s="27">
        <v>4040000</v>
      </c>
      <c r="N88" s="27">
        <v>4747000</v>
      </c>
      <c r="O88" s="27">
        <v>4881000</v>
      </c>
      <c r="P88" s="27">
        <v>4121000</v>
      </c>
      <c r="Q88" s="27">
        <v>4030000</v>
      </c>
      <c r="R88" s="27">
        <v>4030000</v>
      </c>
      <c r="S88" s="27">
        <v>4769000</v>
      </c>
      <c r="T88" s="27">
        <v>4998000</v>
      </c>
      <c r="U88" s="42">
        <v>2</v>
      </c>
      <c r="V88" s="27">
        <v>3573000</v>
      </c>
      <c r="W88" s="27">
        <v>4001000</v>
      </c>
      <c r="X88" s="27">
        <v>3622000</v>
      </c>
      <c r="Y88" s="27">
        <v>4258000</v>
      </c>
      <c r="Z88" s="27">
        <v>4236000</v>
      </c>
      <c r="AA88" s="27">
        <v>3720000</v>
      </c>
      <c r="AB88" s="27">
        <v>3843000</v>
      </c>
      <c r="AC88" s="27">
        <v>4550000</v>
      </c>
      <c r="AD88" s="27">
        <v>4685000</v>
      </c>
      <c r="AE88" s="27">
        <v>3925000</v>
      </c>
      <c r="AF88" s="27">
        <v>3834000</v>
      </c>
      <c r="AG88" s="27">
        <v>3834000</v>
      </c>
      <c r="AH88" s="27">
        <v>4573000</v>
      </c>
      <c r="AI88" s="27">
        <v>4801000</v>
      </c>
      <c r="AJ88" s="27">
        <v>2</v>
      </c>
      <c r="AK88" s="27">
        <v>4678000</v>
      </c>
      <c r="AL88" s="27">
        <v>5106000</v>
      </c>
      <c r="AM88" s="27">
        <v>4727000</v>
      </c>
      <c r="AN88" s="27">
        <v>5363000</v>
      </c>
      <c r="AO88" s="27">
        <v>5341000</v>
      </c>
      <c r="AP88" s="27">
        <v>4826000</v>
      </c>
      <c r="AQ88" s="27">
        <v>4949000</v>
      </c>
      <c r="AR88" s="27">
        <v>5656000</v>
      </c>
      <c r="AS88" s="27">
        <v>5790000</v>
      </c>
      <c r="AT88" s="27">
        <v>5030000</v>
      </c>
      <c r="AU88" s="27">
        <v>4939000</v>
      </c>
      <c r="AV88" s="27">
        <v>4939000</v>
      </c>
      <c r="AW88" s="27">
        <v>5678000</v>
      </c>
      <c r="AX88" s="27">
        <v>5907000</v>
      </c>
      <c r="AY88" s="27">
        <v>2</v>
      </c>
      <c r="AZ88" s="27">
        <v>8431000</v>
      </c>
      <c r="BA88" s="27">
        <v>8859000</v>
      </c>
      <c r="BB88" s="27">
        <v>8481000</v>
      </c>
      <c r="BC88" s="27">
        <v>9116000</v>
      </c>
      <c r="BD88" s="27">
        <v>9094000</v>
      </c>
      <c r="BE88" s="27">
        <v>8579000</v>
      </c>
      <c r="BF88" s="27">
        <v>8702000</v>
      </c>
      <c r="BG88" s="27">
        <v>9409000</v>
      </c>
      <c r="BH88" s="27">
        <v>9543000</v>
      </c>
      <c r="BI88" s="27">
        <v>8783000</v>
      </c>
      <c r="BJ88" s="27">
        <v>8692000</v>
      </c>
      <c r="BK88" s="27">
        <v>8692000</v>
      </c>
      <c r="BL88" s="27">
        <v>9431000</v>
      </c>
      <c r="BM88" s="27">
        <v>9660000</v>
      </c>
    </row>
    <row r="89" spans="1:65">
      <c r="A89" s="24"/>
      <c r="B89" s="94" t="s">
        <v>258</v>
      </c>
      <c r="C89" s="26">
        <v>380</v>
      </c>
      <c r="D89" s="26">
        <v>723</v>
      </c>
      <c r="E89" s="95">
        <v>450</v>
      </c>
      <c r="F89" s="42">
        <v>2</v>
      </c>
      <c r="G89" s="27">
        <v>4440000</v>
      </c>
      <c r="H89" s="27">
        <v>5081000</v>
      </c>
      <c r="I89" s="27">
        <v>4513000</v>
      </c>
      <c r="J89" s="27">
        <v>5467000</v>
      </c>
      <c r="K89" s="27">
        <v>5434000</v>
      </c>
      <c r="L89" s="27">
        <v>4661000</v>
      </c>
      <c r="M89" s="27">
        <v>4845000</v>
      </c>
      <c r="N89" s="27">
        <v>5906000</v>
      </c>
      <c r="O89" s="27">
        <v>6108000</v>
      </c>
      <c r="P89" s="27">
        <v>4967000</v>
      </c>
      <c r="Q89" s="27">
        <v>4830000</v>
      </c>
      <c r="R89" s="27">
        <v>4830000</v>
      </c>
      <c r="S89" s="27">
        <v>5939000</v>
      </c>
      <c r="T89" s="27">
        <v>6282000</v>
      </c>
      <c r="U89" s="42">
        <v>2</v>
      </c>
      <c r="V89" s="27">
        <v>4220000</v>
      </c>
      <c r="W89" s="27">
        <v>4861000</v>
      </c>
      <c r="X89" s="27">
        <v>4293000</v>
      </c>
      <c r="Y89" s="27">
        <v>5247000</v>
      </c>
      <c r="Z89" s="27">
        <v>5214000</v>
      </c>
      <c r="AA89" s="27">
        <v>4441000</v>
      </c>
      <c r="AB89" s="27">
        <v>4625000</v>
      </c>
      <c r="AC89" s="27">
        <v>5686000</v>
      </c>
      <c r="AD89" s="27">
        <v>5888000</v>
      </c>
      <c r="AE89" s="27">
        <v>4747000</v>
      </c>
      <c r="AF89" s="27">
        <v>4611000</v>
      </c>
      <c r="AG89" s="27">
        <v>4611000</v>
      </c>
      <c r="AH89" s="27">
        <v>5719000</v>
      </c>
      <c r="AI89" s="27">
        <v>6062000</v>
      </c>
      <c r="AJ89" s="27">
        <v>2</v>
      </c>
      <c r="AK89" s="27">
        <v>5330000</v>
      </c>
      <c r="AL89" s="27">
        <v>5972000</v>
      </c>
      <c r="AM89" s="27">
        <v>5403000</v>
      </c>
      <c r="AN89" s="27">
        <v>6357000</v>
      </c>
      <c r="AO89" s="27">
        <v>6324000</v>
      </c>
      <c r="AP89" s="27">
        <v>5551000</v>
      </c>
      <c r="AQ89" s="27">
        <v>5735000</v>
      </c>
      <c r="AR89" s="27">
        <v>6796000</v>
      </c>
      <c r="AS89" s="27">
        <v>6998000</v>
      </c>
      <c r="AT89" s="27">
        <v>5857000</v>
      </c>
      <c r="AU89" s="27">
        <v>5721000</v>
      </c>
      <c r="AV89" s="27">
        <v>5721000</v>
      </c>
      <c r="AW89" s="27">
        <v>6829000</v>
      </c>
      <c r="AX89" s="27">
        <v>7172000</v>
      </c>
      <c r="AY89" s="27">
        <v>2</v>
      </c>
      <c r="AZ89" s="27">
        <v>9284000</v>
      </c>
      <c r="BA89" s="27">
        <v>9926000</v>
      </c>
      <c r="BB89" s="27">
        <v>9358000</v>
      </c>
      <c r="BC89" s="27">
        <v>10312000</v>
      </c>
      <c r="BD89" s="27">
        <v>10278000</v>
      </c>
      <c r="BE89" s="27">
        <v>9505000</v>
      </c>
      <c r="BF89" s="27">
        <v>9690000</v>
      </c>
      <c r="BG89" s="27">
        <v>10750000</v>
      </c>
      <c r="BH89" s="27">
        <v>10952000</v>
      </c>
      <c r="BI89" s="27">
        <v>9811000</v>
      </c>
      <c r="BJ89" s="27">
        <v>9675000</v>
      </c>
      <c r="BK89" s="27">
        <v>9675000</v>
      </c>
      <c r="BL89" s="27">
        <v>10784000</v>
      </c>
      <c r="BM89" s="27">
        <v>11127000</v>
      </c>
    </row>
    <row r="90" spans="1:65">
      <c r="A90" s="24"/>
      <c r="B90" s="94" t="s">
        <v>259</v>
      </c>
      <c r="C90" s="26">
        <v>380</v>
      </c>
      <c r="D90" s="26">
        <v>723</v>
      </c>
      <c r="E90" s="95">
        <v>600</v>
      </c>
      <c r="F90" s="42">
        <v>2</v>
      </c>
      <c r="G90" s="27">
        <v>5130000</v>
      </c>
      <c r="H90" s="27">
        <v>5985000</v>
      </c>
      <c r="I90" s="27">
        <v>5228000</v>
      </c>
      <c r="J90" s="27">
        <v>6500000</v>
      </c>
      <c r="K90" s="27">
        <v>6455000</v>
      </c>
      <c r="L90" s="27">
        <v>5425000</v>
      </c>
      <c r="M90" s="27">
        <v>5671000</v>
      </c>
      <c r="N90" s="27">
        <v>7085000</v>
      </c>
      <c r="O90" s="27">
        <v>7354000</v>
      </c>
      <c r="P90" s="27">
        <v>5833000</v>
      </c>
      <c r="Q90" s="27">
        <v>5651000</v>
      </c>
      <c r="R90" s="27">
        <v>5651000</v>
      </c>
      <c r="S90" s="27">
        <v>7129000</v>
      </c>
      <c r="T90" s="27">
        <v>7587000</v>
      </c>
      <c r="U90" s="42">
        <v>2</v>
      </c>
      <c r="V90" s="27">
        <v>4886000</v>
      </c>
      <c r="W90" s="27">
        <v>5742000</v>
      </c>
      <c r="X90" s="27">
        <v>4984000</v>
      </c>
      <c r="Y90" s="27">
        <v>6256000</v>
      </c>
      <c r="Z90" s="27">
        <v>6212000</v>
      </c>
      <c r="AA90" s="27">
        <v>5181000</v>
      </c>
      <c r="AB90" s="27">
        <v>5427000</v>
      </c>
      <c r="AC90" s="27">
        <v>6841000</v>
      </c>
      <c r="AD90" s="27">
        <v>7110000</v>
      </c>
      <c r="AE90" s="27">
        <v>5589000</v>
      </c>
      <c r="AF90" s="27">
        <v>5407000</v>
      </c>
      <c r="AG90" s="27">
        <v>5407000</v>
      </c>
      <c r="AH90" s="27">
        <v>6886000</v>
      </c>
      <c r="AI90" s="27">
        <v>7343000</v>
      </c>
      <c r="AJ90" s="27">
        <v>2</v>
      </c>
      <c r="AK90" s="27">
        <v>6001000</v>
      </c>
      <c r="AL90" s="27">
        <v>6857000</v>
      </c>
      <c r="AM90" s="27">
        <v>6099000</v>
      </c>
      <c r="AN90" s="27">
        <v>7371000</v>
      </c>
      <c r="AO90" s="27">
        <v>7327000</v>
      </c>
      <c r="AP90" s="27">
        <v>6296000</v>
      </c>
      <c r="AQ90" s="27">
        <v>6542000</v>
      </c>
      <c r="AR90" s="27">
        <v>7956000</v>
      </c>
      <c r="AS90" s="27">
        <v>8225000</v>
      </c>
      <c r="AT90" s="27">
        <v>6704000</v>
      </c>
      <c r="AU90" s="27">
        <v>6522000</v>
      </c>
      <c r="AV90" s="27">
        <v>6522000</v>
      </c>
      <c r="AW90" s="27">
        <v>8001000</v>
      </c>
      <c r="AX90" s="27">
        <v>8458000</v>
      </c>
      <c r="AY90" s="27">
        <v>2</v>
      </c>
      <c r="AZ90" s="27">
        <v>10157000</v>
      </c>
      <c r="BA90" s="27">
        <v>11012000</v>
      </c>
      <c r="BB90" s="27">
        <v>10255000</v>
      </c>
      <c r="BC90" s="27">
        <v>11527000</v>
      </c>
      <c r="BD90" s="27">
        <v>11482000</v>
      </c>
      <c r="BE90" s="27">
        <v>10452000</v>
      </c>
      <c r="BF90" s="27">
        <v>10698000</v>
      </c>
      <c r="BG90" s="27">
        <v>12112000</v>
      </c>
      <c r="BH90" s="27">
        <v>12381000</v>
      </c>
      <c r="BI90" s="27">
        <v>10860000</v>
      </c>
      <c r="BJ90" s="27">
        <v>10678000</v>
      </c>
      <c r="BK90" s="27">
        <v>10678000</v>
      </c>
      <c r="BL90" s="27">
        <v>12156000</v>
      </c>
      <c r="BM90" s="27">
        <v>12614000</v>
      </c>
    </row>
    <row r="91" spans="1:65">
      <c r="A91" s="24"/>
      <c r="B91" s="94" t="s">
        <v>260</v>
      </c>
      <c r="C91" s="96">
        <v>380</v>
      </c>
      <c r="D91" s="96">
        <v>723</v>
      </c>
      <c r="E91" s="97">
        <v>900</v>
      </c>
      <c r="F91" s="42">
        <v>2</v>
      </c>
      <c r="G91" s="27">
        <v>8122000</v>
      </c>
      <c r="H91" s="27">
        <v>9405000</v>
      </c>
      <c r="I91" s="27">
        <v>8269000</v>
      </c>
      <c r="J91" s="27">
        <v>10177000</v>
      </c>
      <c r="K91" s="27">
        <v>10110000</v>
      </c>
      <c r="L91" s="27">
        <v>8564000</v>
      </c>
      <c r="M91" s="27">
        <v>8933000</v>
      </c>
      <c r="N91" s="27">
        <v>11054000</v>
      </c>
      <c r="O91" s="27">
        <v>11458000</v>
      </c>
      <c r="P91" s="27">
        <v>9176000</v>
      </c>
      <c r="Q91" s="27">
        <v>8903000</v>
      </c>
      <c r="R91" s="27">
        <v>8903000</v>
      </c>
      <c r="S91" s="27">
        <v>11121000</v>
      </c>
      <c r="T91" s="27">
        <v>11807000</v>
      </c>
      <c r="U91" s="42">
        <v>2</v>
      </c>
      <c r="V91" s="27">
        <v>7682000</v>
      </c>
      <c r="W91" s="27">
        <v>8965000</v>
      </c>
      <c r="X91" s="27">
        <v>7829000</v>
      </c>
      <c r="Y91" s="27">
        <v>9737000</v>
      </c>
      <c r="Z91" s="27">
        <v>9670000</v>
      </c>
      <c r="AA91" s="27">
        <v>8124000</v>
      </c>
      <c r="AB91" s="27">
        <v>8493000</v>
      </c>
      <c r="AC91" s="27">
        <v>10614000</v>
      </c>
      <c r="AD91" s="27">
        <v>11018000</v>
      </c>
      <c r="AE91" s="27">
        <v>8736000</v>
      </c>
      <c r="AF91" s="27">
        <v>8464000</v>
      </c>
      <c r="AG91" s="27">
        <v>8464000</v>
      </c>
      <c r="AH91" s="27">
        <v>10681000</v>
      </c>
      <c r="AI91" s="27">
        <v>11367000</v>
      </c>
      <c r="AJ91" s="27">
        <v>2</v>
      </c>
      <c r="AK91" s="27">
        <v>9902000</v>
      </c>
      <c r="AL91" s="27">
        <v>11186000</v>
      </c>
      <c r="AM91" s="27">
        <v>10049000</v>
      </c>
      <c r="AN91" s="27">
        <v>11957000</v>
      </c>
      <c r="AO91" s="27">
        <v>11890000</v>
      </c>
      <c r="AP91" s="27">
        <v>10345000</v>
      </c>
      <c r="AQ91" s="27">
        <v>10713000</v>
      </c>
      <c r="AR91" s="27">
        <v>12834000</v>
      </c>
      <c r="AS91" s="27">
        <v>13238000</v>
      </c>
      <c r="AT91" s="27">
        <v>10957000</v>
      </c>
      <c r="AU91" s="27">
        <v>10684000</v>
      </c>
      <c r="AV91" s="27">
        <v>10684000</v>
      </c>
      <c r="AW91" s="27">
        <v>12901000</v>
      </c>
      <c r="AX91" s="27">
        <v>13587000</v>
      </c>
      <c r="AY91" s="27">
        <v>2</v>
      </c>
      <c r="AZ91" s="27">
        <v>17811000</v>
      </c>
      <c r="BA91" s="27">
        <v>19094000</v>
      </c>
      <c r="BB91" s="27">
        <v>17958000</v>
      </c>
      <c r="BC91" s="27">
        <v>19866000</v>
      </c>
      <c r="BD91" s="27">
        <v>19799000</v>
      </c>
      <c r="BE91" s="27">
        <v>18253000</v>
      </c>
      <c r="BF91" s="27">
        <v>18622000</v>
      </c>
      <c r="BG91" s="27">
        <v>20743000</v>
      </c>
      <c r="BH91" s="27">
        <v>21147000</v>
      </c>
      <c r="BI91" s="27">
        <v>18865000</v>
      </c>
      <c r="BJ91" s="27">
        <v>18592000</v>
      </c>
      <c r="BK91" s="27">
        <v>18592000</v>
      </c>
      <c r="BL91" s="27">
        <v>20810000</v>
      </c>
      <c r="BM91" s="27">
        <v>21496000</v>
      </c>
    </row>
    <row r="92" spans="1:65" ht="18">
      <c r="A92" s="16" t="e">
        <f ca="1">_xludf.image("https://lh3.google.com/u/0/d/15SIuX2dOtFeBigv5Egba1vQNS43oAWDh",1)</f>
        <v>#NAME?</v>
      </c>
      <c r="B92" s="92" t="s">
        <v>261</v>
      </c>
      <c r="C92" s="147"/>
      <c r="D92" s="145"/>
      <c r="E92" s="146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  <c r="AA92" s="63"/>
      <c r="AB92" s="63"/>
      <c r="AC92" s="63"/>
      <c r="AD92" s="63"/>
      <c r="AE92" s="63"/>
      <c r="AF92" s="63"/>
      <c r="AG92" s="63"/>
      <c r="AH92" s="63"/>
      <c r="AI92" s="63"/>
      <c r="AJ92" s="63"/>
      <c r="AK92" s="63"/>
      <c r="AL92" s="63"/>
      <c r="AM92" s="63"/>
      <c r="AN92" s="63"/>
      <c r="AO92" s="63"/>
      <c r="AP92" s="63"/>
      <c r="AQ92" s="63"/>
      <c r="AR92" s="63"/>
      <c r="AS92" s="63"/>
      <c r="AT92" s="63"/>
      <c r="AU92" s="63"/>
      <c r="AV92" s="63"/>
      <c r="AW92" s="63"/>
      <c r="AX92" s="63"/>
      <c r="AY92" s="63"/>
      <c r="AZ92" s="63"/>
      <c r="BA92" s="63"/>
      <c r="BB92" s="63"/>
      <c r="BC92" s="63"/>
      <c r="BD92" s="63"/>
      <c r="BE92" s="63"/>
      <c r="BF92" s="63"/>
      <c r="BG92" s="63"/>
      <c r="BH92" s="63"/>
      <c r="BI92" s="63"/>
      <c r="BJ92" s="63"/>
      <c r="BK92" s="63"/>
      <c r="BL92" s="63"/>
      <c r="BM92" s="63"/>
    </row>
    <row r="93" spans="1:65" ht="12.75">
      <c r="A93" s="20"/>
      <c r="B93" s="93" t="s">
        <v>262</v>
      </c>
      <c r="C93" s="65"/>
      <c r="D93" s="65"/>
      <c r="E93" s="66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</row>
    <row r="94" spans="1:65">
      <c r="A94" s="24"/>
      <c r="B94" s="94" t="s">
        <v>263</v>
      </c>
      <c r="C94" s="26">
        <v>380</v>
      </c>
      <c r="D94" s="26">
        <v>978</v>
      </c>
      <c r="E94" s="95">
        <v>300</v>
      </c>
      <c r="F94" s="42">
        <v>2</v>
      </c>
      <c r="G94" s="27">
        <v>4251000</v>
      </c>
      <c r="H94" s="27">
        <v>4830000</v>
      </c>
      <c r="I94" s="27">
        <v>4318000</v>
      </c>
      <c r="J94" s="27">
        <v>5178000</v>
      </c>
      <c r="K94" s="27">
        <v>5148000</v>
      </c>
      <c r="L94" s="27">
        <v>4451000</v>
      </c>
      <c r="M94" s="27">
        <v>4617000</v>
      </c>
      <c r="N94" s="27">
        <v>5573000</v>
      </c>
      <c r="O94" s="27">
        <v>5755000</v>
      </c>
      <c r="P94" s="27">
        <v>4727000</v>
      </c>
      <c r="Q94" s="27">
        <v>4604000</v>
      </c>
      <c r="R94" s="27">
        <v>4604000</v>
      </c>
      <c r="S94" s="27">
        <v>5604000</v>
      </c>
      <c r="T94" s="27">
        <v>5913000</v>
      </c>
      <c r="U94" s="42">
        <v>2</v>
      </c>
      <c r="V94" s="27">
        <v>4002000</v>
      </c>
      <c r="W94" s="27">
        <v>4581000</v>
      </c>
      <c r="X94" s="27">
        <v>4068000</v>
      </c>
      <c r="Y94" s="27">
        <v>4929000</v>
      </c>
      <c r="Z94" s="27">
        <v>4898000</v>
      </c>
      <c r="AA94" s="27">
        <v>4202000</v>
      </c>
      <c r="AB94" s="27">
        <v>4368000</v>
      </c>
      <c r="AC94" s="27">
        <v>5324000</v>
      </c>
      <c r="AD94" s="27">
        <v>5506000</v>
      </c>
      <c r="AE94" s="27">
        <v>4478000</v>
      </c>
      <c r="AF94" s="27">
        <v>4355000</v>
      </c>
      <c r="AG94" s="27">
        <v>4355000</v>
      </c>
      <c r="AH94" s="27">
        <v>5354000</v>
      </c>
      <c r="AI94" s="27">
        <v>5664000</v>
      </c>
      <c r="AJ94" s="27">
        <v>2</v>
      </c>
      <c r="AK94" s="27">
        <v>5115000</v>
      </c>
      <c r="AL94" s="27">
        <v>5694000</v>
      </c>
      <c r="AM94" s="27">
        <v>5182000</v>
      </c>
      <c r="AN94" s="27">
        <v>6042000</v>
      </c>
      <c r="AO94" s="27">
        <v>6012000</v>
      </c>
      <c r="AP94" s="27">
        <v>5315000</v>
      </c>
      <c r="AQ94" s="27">
        <v>5481000</v>
      </c>
      <c r="AR94" s="27">
        <v>6438000</v>
      </c>
      <c r="AS94" s="27">
        <v>6620000</v>
      </c>
      <c r="AT94" s="27">
        <v>5591000</v>
      </c>
      <c r="AU94" s="27">
        <v>5468000</v>
      </c>
      <c r="AV94" s="27">
        <v>5468000</v>
      </c>
      <c r="AW94" s="27">
        <v>6468000</v>
      </c>
      <c r="AX94" s="27">
        <v>6777000</v>
      </c>
      <c r="AY94" s="27">
        <v>2</v>
      </c>
      <c r="AZ94" s="27">
        <v>9254000</v>
      </c>
      <c r="BA94" s="27">
        <v>9833000</v>
      </c>
      <c r="BB94" s="27">
        <v>9320000</v>
      </c>
      <c r="BC94" s="27">
        <v>10181000</v>
      </c>
      <c r="BD94" s="27">
        <v>10150000</v>
      </c>
      <c r="BE94" s="27">
        <v>9453000</v>
      </c>
      <c r="BF94" s="27">
        <v>9620000</v>
      </c>
      <c r="BG94" s="27">
        <v>10576000</v>
      </c>
      <c r="BH94" s="27">
        <v>10758000</v>
      </c>
      <c r="BI94" s="27">
        <v>9730000</v>
      </c>
      <c r="BJ94" s="27">
        <v>9606000</v>
      </c>
      <c r="BK94" s="27">
        <v>9606000</v>
      </c>
      <c r="BL94" s="27">
        <v>10606000</v>
      </c>
      <c r="BM94" s="27">
        <v>10916000</v>
      </c>
    </row>
    <row r="95" spans="1:65">
      <c r="A95" s="24"/>
      <c r="B95" s="94" t="s">
        <v>264</v>
      </c>
      <c r="C95" s="26">
        <v>380</v>
      </c>
      <c r="D95" s="26">
        <v>978</v>
      </c>
      <c r="E95" s="95">
        <v>450</v>
      </c>
      <c r="F95" s="42">
        <v>2</v>
      </c>
      <c r="G95" s="27">
        <v>4903000</v>
      </c>
      <c r="H95" s="27">
        <v>5771000</v>
      </c>
      <c r="I95" s="27">
        <v>5003000</v>
      </c>
      <c r="J95" s="27">
        <v>6293000</v>
      </c>
      <c r="K95" s="27">
        <v>6248000</v>
      </c>
      <c r="L95" s="27">
        <v>5203000</v>
      </c>
      <c r="M95" s="27">
        <v>5452000</v>
      </c>
      <c r="N95" s="27">
        <v>6887000</v>
      </c>
      <c r="O95" s="27">
        <v>7160000</v>
      </c>
      <c r="P95" s="27">
        <v>5617000</v>
      </c>
      <c r="Q95" s="27">
        <v>5432000</v>
      </c>
      <c r="R95" s="27">
        <v>5432000</v>
      </c>
      <c r="S95" s="27">
        <v>6932000</v>
      </c>
      <c r="T95" s="27">
        <v>7396000</v>
      </c>
      <c r="U95" s="42">
        <v>2</v>
      </c>
      <c r="V95" s="27">
        <v>4631000</v>
      </c>
      <c r="W95" s="27">
        <v>5499000</v>
      </c>
      <c r="X95" s="27">
        <v>4730000</v>
      </c>
      <c r="Y95" s="27">
        <v>6021000</v>
      </c>
      <c r="Z95" s="27">
        <v>5975000</v>
      </c>
      <c r="AA95" s="27">
        <v>4930000</v>
      </c>
      <c r="AB95" s="27">
        <v>5179000</v>
      </c>
      <c r="AC95" s="27">
        <v>6614000</v>
      </c>
      <c r="AD95" s="27">
        <v>6887000</v>
      </c>
      <c r="AE95" s="27">
        <v>5344000</v>
      </c>
      <c r="AF95" s="27">
        <v>5159000</v>
      </c>
      <c r="AG95" s="27">
        <v>5159000</v>
      </c>
      <c r="AH95" s="27">
        <v>6659000</v>
      </c>
      <c r="AI95" s="27">
        <v>7123000</v>
      </c>
      <c r="AJ95" s="27">
        <v>2</v>
      </c>
      <c r="AK95" s="27">
        <v>5749000</v>
      </c>
      <c r="AL95" s="27">
        <v>6617000</v>
      </c>
      <c r="AM95" s="27">
        <v>5849000</v>
      </c>
      <c r="AN95" s="27">
        <v>7139000</v>
      </c>
      <c r="AO95" s="27">
        <v>7094000</v>
      </c>
      <c r="AP95" s="27">
        <v>6048000</v>
      </c>
      <c r="AQ95" s="27">
        <v>6298000</v>
      </c>
      <c r="AR95" s="27">
        <v>7732000</v>
      </c>
      <c r="AS95" s="27">
        <v>8005000</v>
      </c>
      <c r="AT95" s="27">
        <v>6462000</v>
      </c>
      <c r="AU95" s="27">
        <v>6278000</v>
      </c>
      <c r="AV95" s="27">
        <v>6278000</v>
      </c>
      <c r="AW95" s="27">
        <v>7778000</v>
      </c>
      <c r="AX95" s="27">
        <v>8242000</v>
      </c>
      <c r="AY95" s="27">
        <v>2</v>
      </c>
      <c r="AZ95" s="27">
        <v>10089000</v>
      </c>
      <c r="BA95" s="27">
        <v>10957000</v>
      </c>
      <c r="BB95" s="27">
        <v>10188000</v>
      </c>
      <c r="BC95" s="27">
        <v>11478000</v>
      </c>
      <c r="BD95" s="27">
        <v>11433000</v>
      </c>
      <c r="BE95" s="27">
        <v>10388000</v>
      </c>
      <c r="BF95" s="27">
        <v>10637000</v>
      </c>
      <c r="BG95" s="27">
        <v>12072000</v>
      </c>
      <c r="BH95" s="27">
        <v>12345000</v>
      </c>
      <c r="BI95" s="27">
        <v>10802000</v>
      </c>
      <c r="BJ95" s="27">
        <v>10617000</v>
      </c>
      <c r="BK95" s="27">
        <v>10617000</v>
      </c>
      <c r="BL95" s="27">
        <v>12117000</v>
      </c>
      <c r="BM95" s="27">
        <v>12581000</v>
      </c>
    </row>
    <row r="96" spans="1:65">
      <c r="A96" s="24"/>
      <c r="B96" s="94" t="s">
        <v>265</v>
      </c>
      <c r="C96" s="26">
        <v>380</v>
      </c>
      <c r="D96" s="26">
        <v>978</v>
      </c>
      <c r="E96" s="95">
        <v>600</v>
      </c>
      <c r="F96" s="42">
        <v>2</v>
      </c>
      <c r="G96" s="27">
        <v>5577000</v>
      </c>
      <c r="H96" s="27">
        <v>6734000</v>
      </c>
      <c r="I96" s="27">
        <v>5710000</v>
      </c>
      <c r="J96" s="27">
        <v>7430000</v>
      </c>
      <c r="K96" s="27">
        <v>7369000</v>
      </c>
      <c r="L96" s="27">
        <v>5976000</v>
      </c>
      <c r="M96" s="27">
        <v>6308000</v>
      </c>
      <c r="N96" s="27">
        <v>8221000</v>
      </c>
      <c r="O96" s="27">
        <v>8585000</v>
      </c>
      <c r="P96" s="27">
        <v>6528000</v>
      </c>
      <c r="Q96" s="27">
        <v>6282000</v>
      </c>
      <c r="R96" s="27">
        <v>6282000</v>
      </c>
      <c r="S96" s="27">
        <v>8281000</v>
      </c>
      <c r="T96" s="27">
        <v>8900000</v>
      </c>
      <c r="U96" s="42">
        <v>2</v>
      </c>
      <c r="V96" s="27">
        <v>5280000</v>
      </c>
      <c r="W96" s="27">
        <v>6438000</v>
      </c>
      <c r="X96" s="27">
        <v>5413000</v>
      </c>
      <c r="Y96" s="27">
        <v>7134000</v>
      </c>
      <c r="Z96" s="27">
        <v>7073000</v>
      </c>
      <c r="AA96" s="27">
        <v>5679000</v>
      </c>
      <c r="AB96" s="27">
        <v>6012000</v>
      </c>
      <c r="AC96" s="27">
        <v>7925000</v>
      </c>
      <c r="AD96" s="27">
        <v>8289000</v>
      </c>
      <c r="AE96" s="27">
        <v>6232000</v>
      </c>
      <c r="AF96" s="27">
        <v>5985000</v>
      </c>
      <c r="AG96" s="27">
        <v>5985000</v>
      </c>
      <c r="AH96" s="27">
        <v>7985000</v>
      </c>
      <c r="AI96" s="27">
        <v>8604000</v>
      </c>
      <c r="AJ96" s="27">
        <v>2</v>
      </c>
      <c r="AK96" s="27">
        <v>6403000</v>
      </c>
      <c r="AL96" s="27">
        <v>7561000</v>
      </c>
      <c r="AM96" s="27">
        <v>6537000</v>
      </c>
      <c r="AN96" s="27">
        <v>8257000</v>
      </c>
      <c r="AO96" s="27">
        <v>8196000</v>
      </c>
      <c r="AP96" s="27">
        <v>6803000</v>
      </c>
      <c r="AQ96" s="27">
        <v>7135000</v>
      </c>
      <c r="AR96" s="27">
        <v>9048000</v>
      </c>
      <c r="AS96" s="27">
        <v>9412000</v>
      </c>
      <c r="AT96" s="27">
        <v>7355000</v>
      </c>
      <c r="AU96" s="27">
        <v>7109000</v>
      </c>
      <c r="AV96" s="27">
        <v>7109000</v>
      </c>
      <c r="AW96" s="27">
        <v>9108000</v>
      </c>
      <c r="AX96" s="27">
        <v>9727000</v>
      </c>
      <c r="AY96" s="27">
        <v>2</v>
      </c>
      <c r="AZ96" s="27">
        <v>10944000</v>
      </c>
      <c r="BA96" s="27">
        <v>12102000</v>
      </c>
      <c r="BB96" s="27">
        <v>11077000</v>
      </c>
      <c r="BC96" s="27">
        <v>12797000</v>
      </c>
      <c r="BD96" s="27">
        <v>12737000</v>
      </c>
      <c r="BE96" s="27">
        <v>11343000</v>
      </c>
      <c r="BF96" s="27">
        <v>11676000</v>
      </c>
      <c r="BG96" s="27">
        <v>13589000</v>
      </c>
      <c r="BH96" s="27">
        <v>13953000</v>
      </c>
      <c r="BI96" s="27">
        <v>11895000</v>
      </c>
      <c r="BJ96" s="27">
        <v>11649000</v>
      </c>
      <c r="BK96" s="27">
        <v>11649000</v>
      </c>
      <c r="BL96" s="27">
        <v>13649000</v>
      </c>
      <c r="BM96" s="27">
        <v>14268000</v>
      </c>
    </row>
    <row r="97" spans="1:65">
      <c r="A97" s="24"/>
      <c r="B97" s="94" t="s">
        <v>266</v>
      </c>
      <c r="C97" s="26">
        <v>380</v>
      </c>
      <c r="D97" s="26">
        <v>978</v>
      </c>
      <c r="E97" s="95">
        <v>900</v>
      </c>
      <c r="F97" s="42">
        <v>2</v>
      </c>
      <c r="G97" s="27">
        <v>8779000</v>
      </c>
      <c r="H97" s="27">
        <v>10515000</v>
      </c>
      <c r="I97" s="27">
        <v>8979000</v>
      </c>
      <c r="J97" s="27">
        <v>11559000</v>
      </c>
      <c r="K97" s="27">
        <v>11468000</v>
      </c>
      <c r="L97" s="27">
        <v>9378000</v>
      </c>
      <c r="M97" s="27">
        <v>9877000</v>
      </c>
      <c r="N97" s="27">
        <v>12746000</v>
      </c>
      <c r="O97" s="27">
        <v>13292000</v>
      </c>
      <c r="P97" s="27">
        <v>10206000</v>
      </c>
      <c r="Q97" s="27">
        <v>9837000</v>
      </c>
      <c r="R97" s="27">
        <v>9837000</v>
      </c>
      <c r="S97" s="27">
        <v>12837000</v>
      </c>
      <c r="T97" s="27">
        <v>13765000</v>
      </c>
      <c r="U97" s="42">
        <v>2</v>
      </c>
      <c r="V97" s="27">
        <v>8234000</v>
      </c>
      <c r="W97" s="27">
        <v>9970000</v>
      </c>
      <c r="X97" s="27">
        <v>8433000</v>
      </c>
      <c r="Y97" s="27">
        <v>11014000</v>
      </c>
      <c r="Z97" s="27">
        <v>10923000</v>
      </c>
      <c r="AA97" s="27">
        <v>8832000</v>
      </c>
      <c r="AB97" s="27">
        <v>9331000</v>
      </c>
      <c r="AC97" s="27">
        <v>12201000</v>
      </c>
      <c r="AD97" s="27">
        <v>12746000</v>
      </c>
      <c r="AE97" s="27">
        <v>9661000</v>
      </c>
      <c r="AF97" s="27">
        <v>9291000</v>
      </c>
      <c r="AG97" s="27">
        <v>9291000</v>
      </c>
      <c r="AH97" s="27">
        <v>12291000</v>
      </c>
      <c r="AI97" s="27">
        <v>13219000</v>
      </c>
      <c r="AJ97" s="27">
        <v>2</v>
      </c>
      <c r="AK97" s="27">
        <v>10470000</v>
      </c>
      <c r="AL97" s="27">
        <v>12207000</v>
      </c>
      <c r="AM97" s="27">
        <v>10670000</v>
      </c>
      <c r="AN97" s="27">
        <v>13250000</v>
      </c>
      <c r="AO97" s="27">
        <v>13160000</v>
      </c>
      <c r="AP97" s="27">
        <v>11069000</v>
      </c>
      <c r="AQ97" s="27">
        <v>11568000</v>
      </c>
      <c r="AR97" s="27">
        <v>14437000</v>
      </c>
      <c r="AS97" s="27">
        <v>14983000</v>
      </c>
      <c r="AT97" s="27">
        <v>11897000</v>
      </c>
      <c r="AU97" s="27">
        <v>11528000</v>
      </c>
      <c r="AV97" s="27">
        <v>11528000</v>
      </c>
      <c r="AW97" s="27">
        <v>14528000</v>
      </c>
      <c r="AX97" s="27">
        <v>15456000</v>
      </c>
      <c r="AY97" s="27">
        <v>2</v>
      </c>
      <c r="AZ97" s="27">
        <v>19150000</v>
      </c>
      <c r="BA97" s="27">
        <v>20886000</v>
      </c>
      <c r="BB97" s="27">
        <v>19349000</v>
      </c>
      <c r="BC97" s="27">
        <v>21929000</v>
      </c>
      <c r="BD97" s="27">
        <v>21839000</v>
      </c>
      <c r="BE97" s="27">
        <v>19748000</v>
      </c>
      <c r="BF97" s="27">
        <v>20247000</v>
      </c>
      <c r="BG97" s="27">
        <v>23116000</v>
      </c>
      <c r="BH97" s="27">
        <v>23662000</v>
      </c>
      <c r="BI97" s="27">
        <v>20576000</v>
      </c>
      <c r="BJ97" s="27">
        <v>20207000</v>
      </c>
      <c r="BK97" s="27">
        <v>20207000</v>
      </c>
      <c r="BL97" s="27">
        <v>23207000</v>
      </c>
      <c r="BM97" s="27">
        <v>24135000</v>
      </c>
    </row>
    <row r="98" spans="1:65">
      <c r="A98" s="24"/>
      <c r="B98" s="94" t="s">
        <v>268</v>
      </c>
      <c r="C98" s="26">
        <v>380</v>
      </c>
      <c r="D98" s="26">
        <v>978</v>
      </c>
      <c r="E98" s="95">
        <v>1050</v>
      </c>
      <c r="F98" s="42">
        <v>2</v>
      </c>
      <c r="G98" s="27">
        <v>6937000</v>
      </c>
      <c r="H98" s="27">
        <v>7805000</v>
      </c>
      <c r="I98" s="27">
        <v>7037000</v>
      </c>
      <c r="J98" s="27">
        <v>8327000</v>
      </c>
      <c r="K98" s="27">
        <v>8282000</v>
      </c>
      <c r="L98" s="27">
        <v>7237000</v>
      </c>
      <c r="M98" s="27">
        <v>7486000</v>
      </c>
      <c r="N98" s="27">
        <v>8921000</v>
      </c>
      <c r="O98" s="27">
        <v>9194000</v>
      </c>
      <c r="P98" s="27">
        <v>7651000</v>
      </c>
      <c r="Q98" s="27">
        <v>7466000</v>
      </c>
      <c r="R98" s="27">
        <v>7466000</v>
      </c>
      <c r="S98" s="27">
        <v>8966000</v>
      </c>
      <c r="T98" s="27">
        <v>9430000</v>
      </c>
      <c r="U98" s="42">
        <v>2</v>
      </c>
      <c r="V98" s="27">
        <v>6665000</v>
      </c>
      <c r="W98" s="27">
        <v>7533000</v>
      </c>
      <c r="X98" s="27">
        <v>6764000</v>
      </c>
      <c r="Y98" s="27">
        <v>8055000</v>
      </c>
      <c r="Z98" s="27">
        <v>8009000</v>
      </c>
      <c r="AA98" s="27">
        <v>6964000</v>
      </c>
      <c r="AB98" s="27">
        <v>7213000</v>
      </c>
      <c r="AC98" s="27">
        <v>8648000</v>
      </c>
      <c r="AD98" s="27">
        <v>8921000</v>
      </c>
      <c r="AE98" s="27">
        <v>7378000</v>
      </c>
      <c r="AF98" s="27">
        <v>7193000</v>
      </c>
      <c r="AG98" s="27">
        <v>7193000</v>
      </c>
      <c r="AH98" s="27">
        <v>8693000</v>
      </c>
      <c r="AI98" s="27">
        <v>9157000</v>
      </c>
      <c r="AJ98" s="27">
        <v>2</v>
      </c>
      <c r="AK98" s="27">
        <v>7783000</v>
      </c>
      <c r="AL98" s="27">
        <v>8651000</v>
      </c>
      <c r="AM98" s="27">
        <v>7883000</v>
      </c>
      <c r="AN98" s="27">
        <v>9173000</v>
      </c>
      <c r="AO98" s="27">
        <v>9128000</v>
      </c>
      <c r="AP98" s="27">
        <v>8082000</v>
      </c>
      <c r="AQ98" s="27">
        <v>8332000</v>
      </c>
      <c r="AR98" s="27">
        <v>9766000</v>
      </c>
      <c r="AS98" s="27">
        <v>10039000</v>
      </c>
      <c r="AT98" s="27">
        <v>8496000</v>
      </c>
      <c r="AU98" s="27">
        <v>8312000</v>
      </c>
      <c r="AV98" s="27">
        <v>8312000</v>
      </c>
      <c r="AW98" s="27">
        <v>9812000</v>
      </c>
      <c r="AX98" s="27">
        <v>10276000</v>
      </c>
      <c r="AY98" s="27">
        <v>2</v>
      </c>
      <c r="AZ98" s="27">
        <v>12123000</v>
      </c>
      <c r="BA98" s="27">
        <v>12991000</v>
      </c>
      <c r="BB98" s="27">
        <v>12222000</v>
      </c>
      <c r="BC98" s="27">
        <v>13512000</v>
      </c>
      <c r="BD98" s="27">
        <v>13467000</v>
      </c>
      <c r="BE98" s="27">
        <v>12422000</v>
      </c>
      <c r="BF98" s="27">
        <v>12671000</v>
      </c>
      <c r="BG98" s="27">
        <v>14106000</v>
      </c>
      <c r="BH98" s="27">
        <v>14379000</v>
      </c>
      <c r="BI98" s="27">
        <v>12836000</v>
      </c>
      <c r="BJ98" s="27">
        <v>12651000</v>
      </c>
      <c r="BK98" s="27">
        <v>12651000</v>
      </c>
      <c r="BL98" s="27">
        <v>14151000</v>
      </c>
      <c r="BM98" s="27">
        <v>14615000</v>
      </c>
    </row>
    <row r="99" spans="1:65">
      <c r="A99" s="24"/>
      <c r="B99" s="94" t="s">
        <v>269</v>
      </c>
      <c r="C99" s="26">
        <v>380</v>
      </c>
      <c r="D99" s="26">
        <v>978</v>
      </c>
      <c r="E99" s="95">
        <v>300</v>
      </c>
      <c r="F99" s="42">
        <v>2</v>
      </c>
      <c r="G99" s="27">
        <v>4825000</v>
      </c>
      <c r="H99" s="27">
        <v>5404000</v>
      </c>
      <c r="I99" s="27">
        <v>4892000</v>
      </c>
      <c r="J99" s="27">
        <v>5752000</v>
      </c>
      <c r="K99" s="27">
        <v>5722000</v>
      </c>
      <c r="L99" s="27">
        <v>5025000</v>
      </c>
      <c r="M99" s="27">
        <v>5191000</v>
      </c>
      <c r="N99" s="27">
        <v>6147000</v>
      </c>
      <c r="O99" s="27">
        <v>6329000</v>
      </c>
      <c r="P99" s="27">
        <v>5301000</v>
      </c>
      <c r="Q99" s="27">
        <v>5178000</v>
      </c>
      <c r="R99" s="27">
        <v>5178000</v>
      </c>
      <c r="S99" s="27">
        <v>6178000</v>
      </c>
      <c r="T99" s="27">
        <v>6487000</v>
      </c>
      <c r="U99" s="42">
        <v>2</v>
      </c>
      <c r="V99" s="27">
        <v>4576000</v>
      </c>
      <c r="W99" s="27">
        <v>5155000</v>
      </c>
      <c r="X99" s="27">
        <v>4642000</v>
      </c>
      <c r="Y99" s="27">
        <v>5503000</v>
      </c>
      <c r="Z99" s="27">
        <v>5472000</v>
      </c>
      <c r="AA99" s="27">
        <v>4776000</v>
      </c>
      <c r="AB99" s="27">
        <v>4942000</v>
      </c>
      <c r="AC99" s="27">
        <v>5898000</v>
      </c>
      <c r="AD99" s="27">
        <v>6080000</v>
      </c>
      <c r="AE99" s="27">
        <v>5052000</v>
      </c>
      <c r="AF99" s="27">
        <v>4929000</v>
      </c>
      <c r="AG99" s="27">
        <v>4929000</v>
      </c>
      <c r="AH99" s="27">
        <v>5928000</v>
      </c>
      <c r="AI99" s="27">
        <v>6238000</v>
      </c>
      <c r="AJ99" s="27">
        <v>2</v>
      </c>
      <c r="AK99" s="27">
        <v>5689000</v>
      </c>
      <c r="AL99" s="27">
        <v>6268000</v>
      </c>
      <c r="AM99" s="27">
        <v>5756000</v>
      </c>
      <c r="AN99" s="27">
        <v>6616000</v>
      </c>
      <c r="AO99" s="27">
        <v>6586000</v>
      </c>
      <c r="AP99" s="27">
        <v>5889000</v>
      </c>
      <c r="AQ99" s="27">
        <v>6055000</v>
      </c>
      <c r="AR99" s="27">
        <v>7012000</v>
      </c>
      <c r="AS99" s="27">
        <v>7194000</v>
      </c>
      <c r="AT99" s="27">
        <v>6165000</v>
      </c>
      <c r="AU99" s="27">
        <v>6042000</v>
      </c>
      <c r="AV99" s="27">
        <v>6042000</v>
      </c>
      <c r="AW99" s="27">
        <v>7042000</v>
      </c>
      <c r="AX99" s="27">
        <v>7351000</v>
      </c>
      <c r="AY99" s="27">
        <v>2</v>
      </c>
      <c r="AZ99" s="27">
        <v>9828000</v>
      </c>
      <c r="BA99" s="27">
        <v>10407000</v>
      </c>
      <c r="BB99" s="27">
        <v>9894000</v>
      </c>
      <c r="BC99" s="27">
        <v>10755000</v>
      </c>
      <c r="BD99" s="27">
        <v>10724000</v>
      </c>
      <c r="BE99" s="27">
        <v>10027000</v>
      </c>
      <c r="BF99" s="27">
        <v>10194000</v>
      </c>
      <c r="BG99" s="27">
        <v>11150000</v>
      </c>
      <c r="BH99" s="27">
        <v>11332000</v>
      </c>
      <c r="BI99" s="27">
        <v>10304000</v>
      </c>
      <c r="BJ99" s="27">
        <v>10180000</v>
      </c>
      <c r="BK99" s="27">
        <v>10180000</v>
      </c>
      <c r="BL99" s="27">
        <v>11180000</v>
      </c>
      <c r="BM99" s="27">
        <v>11490000</v>
      </c>
    </row>
    <row r="100" spans="1:65">
      <c r="A100" s="24"/>
      <c r="B100" s="94" t="s">
        <v>270</v>
      </c>
      <c r="C100" s="26">
        <v>380</v>
      </c>
      <c r="D100" s="26">
        <v>978</v>
      </c>
      <c r="E100" s="95">
        <v>450</v>
      </c>
      <c r="F100" s="42">
        <v>2</v>
      </c>
      <c r="G100" s="27">
        <v>5774000</v>
      </c>
      <c r="H100" s="27">
        <v>6642000</v>
      </c>
      <c r="I100" s="27">
        <v>5874000</v>
      </c>
      <c r="J100" s="27">
        <v>7164000</v>
      </c>
      <c r="K100" s="27">
        <v>7119000</v>
      </c>
      <c r="L100" s="27">
        <v>6074000</v>
      </c>
      <c r="M100" s="27">
        <v>6323000</v>
      </c>
      <c r="N100" s="27">
        <v>7758000</v>
      </c>
      <c r="O100" s="27">
        <v>8031000</v>
      </c>
      <c r="P100" s="27">
        <v>6488000</v>
      </c>
      <c r="Q100" s="27">
        <v>6303000</v>
      </c>
      <c r="R100" s="27">
        <v>6303000</v>
      </c>
      <c r="S100" s="27">
        <v>7803000</v>
      </c>
      <c r="T100" s="27">
        <v>8267000</v>
      </c>
      <c r="U100" s="42">
        <v>2</v>
      </c>
      <c r="V100" s="27">
        <v>5502000</v>
      </c>
      <c r="W100" s="27">
        <v>6370000</v>
      </c>
      <c r="X100" s="27">
        <v>5601000</v>
      </c>
      <c r="Y100" s="27">
        <v>6892000</v>
      </c>
      <c r="Z100" s="27">
        <v>6846000</v>
      </c>
      <c r="AA100" s="27">
        <v>5801000</v>
      </c>
      <c r="AB100" s="27">
        <v>6050000</v>
      </c>
      <c r="AC100" s="27">
        <v>7485000</v>
      </c>
      <c r="AD100" s="27">
        <v>7758000</v>
      </c>
      <c r="AE100" s="27">
        <v>6215000</v>
      </c>
      <c r="AF100" s="27">
        <v>6030000</v>
      </c>
      <c r="AG100" s="27">
        <v>6030000</v>
      </c>
      <c r="AH100" s="27">
        <v>7530000</v>
      </c>
      <c r="AI100" s="27">
        <v>7994000</v>
      </c>
      <c r="AJ100" s="27">
        <v>2</v>
      </c>
      <c r="AK100" s="27">
        <v>6620000</v>
      </c>
      <c r="AL100" s="27">
        <v>7488000</v>
      </c>
      <c r="AM100" s="27">
        <v>6720000</v>
      </c>
      <c r="AN100" s="27">
        <v>8010000</v>
      </c>
      <c r="AO100" s="27">
        <v>7965000</v>
      </c>
      <c r="AP100" s="27">
        <v>6919000</v>
      </c>
      <c r="AQ100" s="27">
        <v>7169000</v>
      </c>
      <c r="AR100" s="27">
        <v>8603000</v>
      </c>
      <c r="AS100" s="27">
        <v>8876000</v>
      </c>
      <c r="AT100" s="27">
        <v>7333000</v>
      </c>
      <c r="AU100" s="27">
        <v>7149000</v>
      </c>
      <c r="AV100" s="27">
        <v>7149000</v>
      </c>
      <c r="AW100" s="27">
        <v>8649000</v>
      </c>
      <c r="AX100" s="27">
        <v>9113000</v>
      </c>
      <c r="AY100" s="27">
        <v>2</v>
      </c>
      <c r="AZ100" s="27">
        <v>10960000</v>
      </c>
      <c r="BA100" s="27">
        <v>11828000</v>
      </c>
      <c r="BB100" s="27">
        <v>11059000</v>
      </c>
      <c r="BC100" s="27">
        <v>12349000</v>
      </c>
      <c r="BD100" s="27">
        <v>12304000</v>
      </c>
      <c r="BE100" s="27">
        <v>11259000</v>
      </c>
      <c r="BF100" s="27">
        <v>11508000</v>
      </c>
      <c r="BG100" s="27">
        <v>12943000</v>
      </c>
      <c r="BH100" s="27">
        <v>13216000</v>
      </c>
      <c r="BI100" s="27">
        <v>11673000</v>
      </c>
      <c r="BJ100" s="27">
        <v>11488000</v>
      </c>
      <c r="BK100" s="27">
        <v>11488000</v>
      </c>
      <c r="BL100" s="27">
        <v>12988000</v>
      </c>
      <c r="BM100" s="27">
        <v>13452000</v>
      </c>
    </row>
    <row r="101" spans="1:65">
      <c r="A101" s="24"/>
      <c r="B101" s="94" t="s">
        <v>271</v>
      </c>
      <c r="C101" s="26">
        <v>380</v>
      </c>
      <c r="D101" s="26">
        <v>978</v>
      </c>
      <c r="E101" s="95">
        <v>600</v>
      </c>
      <c r="F101" s="42">
        <v>2</v>
      </c>
      <c r="G101" s="27">
        <v>6744000</v>
      </c>
      <c r="H101" s="27">
        <v>7901000</v>
      </c>
      <c r="I101" s="27">
        <v>6877000</v>
      </c>
      <c r="J101" s="27">
        <v>8597000</v>
      </c>
      <c r="K101" s="27">
        <v>8536000</v>
      </c>
      <c r="L101" s="27">
        <v>7143000</v>
      </c>
      <c r="M101" s="27">
        <v>7475000</v>
      </c>
      <c r="N101" s="27">
        <v>9388000</v>
      </c>
      <c r="O101" s="27">
        <v>9752000</v>
      </c>
      <c r="P101" s="27">
        <v>7695000</v>
      </c>
      <c r="Q101" s="27">
        <v>7449000</v>
      </c>
      <c r="R101" s="27">
        <v>7449000</v>
      </c>
      <c r="S101" s="27">
        <v>9448000</v>
      </c>
      <c r="T101" s="27">
        <v>10067000</v>
      </c>
      <c r="U101" s="42">
        <v>2</v>
      </c>
      <c r="V101" s="27">
        <v>6447000</v>
      </c>
      <c r="W101" s="27">
        <v>7605000</v>
      </c>
      <c r="X101" s="27">
        <v>6580000</v>
      </c>
      <c r="Y101" s="27">
        <v>8301000</v>
      </c>
      <c r="Z101" s="27">
        <v>8240000</v>
      </c>
      <c r="AA101" s="27">
        <v>6846000</v>
      </c>
      <c r="AB101" s="27">
        <v>7179000</v>
      </c>
      <c r="AC101" s="27">
        <v>9092000</v>
      </c>
      <c r="AD101" s="27">
        <v>9456000</v>
      </c>
      <c r="AE101" s="27">
        <v>7399000</v>
      </c>
      <c r="AF101" s="27">
        <v>7152000</v>
      </c>
      <c r="AG101" s="27">
        <v>7152000</v>
      </c>
      <c r="AH101" s="27">
        <v>9152000</v>
      </c>
      <c r="AI101" s="27">
        <v>9771000</v>
      </c>
      <c r="AJ101" s="27">
        <v>2</v>
      </c>
      <c r="AK101" s="27">
        <v>7570000</v>
      </c>
      <c r="AL101" s="27">
        <v>8728000</v>
      </c>
      <c r="AM101" s="27">
        <v>7704000</v>
      </c>
      <c r="AN101" s="27">
        <v>9424000</v>
      </c>
      <c r="AO101" s="27">
        <v>9363000</v>
      </c>
      <c r="AP101" s="27">
        <v>7970000</v>
      </c>
      <c r="AQ101" s="27">
        <v>8302000</v>
      </c>
      <c r="AR101" s="27">
        <v>10215000</v>
      </c>
      <c r="AS101" s="27">
        <v>10579000</v>
      </c>
      <c r="AT101" s="27">
        <v>8522000</v>
      </c>
      <c r="AU101" s="27">
        <v>8276000</v>
      </c>
      <c r="AV101" s="27">
        <v>8276000</v>
      </c>
      <c r="AW101" s="27">
        <v>10275000</v>
      </c>
      <c r="AX101" s="27">
        <v>10894000</v>
      </c>
      <c r="AY101" s="27">
        <v>2</v>
      </c>
      <c r="AZ101" s="27">
        <v>12111000</v>
      </c>
      <c r="BA101" s="27">
        <v>13269000</v>
      </c>
      <c r="BB101" s="27">
        <v>12244000</v>
      </c>
      <c r="BC101" s="27">
        <v>13964000</v>
      </c>
      <c r="BD101" s="27">
        <v>13904000</v>
      </c>
      <c r="BE101" s="27">
        <v>12510000</v>
      </c>
      <c r="BF101" s="27">
        <v>12843000</v>
      </c>
      <c r="BG101" s="27">
        <v>14756000</v>
      </c>
      <c r="BH101" s="27">
        <v>15120000</v>
      </c>
      <c r="BI101" s="27">
        <v>13062000</v>
      </c>
      <c r="BJ101" s="27">
        <v>12816000</v>
      </c>
      <c r="BK101" s="27">
        <v>12816000</v>
      </c>
      <c r="BL101" s="27">
        <v>14816000</v>
      </c>
      <c r="BM101" s="27">
        <v>15435000</v>
      </c>
    </row>
    <row r="102" spans="1:65">
      <c r="A102" s="24"/>
      <c r="B102" s="94" t="s">
        <v>272</v>
      </c>
      <c r="C102" s="96">
        <v>380</v>
      </c>
      <c r="D102" s="96">
        <v>978</v>
      </c>
      <c r="E102" s="97">
        <v>900</v>
      </c>
      <c r="F102" s="42">
        <v>2</v>
      </c>
      <c r="G102" s="27">
        <v>10540000</v>
      </c>
      <c r="H102" s="27">
        <v>12276000</v>
      </c>
      <c r="I102" s="27">
        <v>10740000</v>
      </c>
      <c r="J102" s="27">
        <v>13320000</v>
      </c>
      <c r="K102" s="27">
        <v>13229000</v>
      </c>
      <c r="L102" s="27">
        <v>11139000</v>
      </c>
      <c r="M102" s="27">
        <v>11638000</v>
      </c>
      <c r="N102" s="27">
        <v>14507000</v>
      </c>
      <c r="O102" s="27">
        <v>15053000</v>
      </c>
      <c r="P102" s="27">
        <v>11967000</v>
      </c>
      <c r="Q102" s="27">
        <v>11598000</v>
      </c>
      <c r="R102" s="27">
        <v>11598000</v>
      </c>
      <c r="S102" s="27">
        <v>14598000</v>
      </c>
      <c r="T102" s="27">
        <v>15526000</v>
      </c>
      <c r="U102" s="42">
        <v>2</v>
      </c>
      <c r="V102" s="27">
        <v>9995000</v>
      </c>
      <c r="W102" s="27">
        <v>11731000</v>
      </c>
      <c r="X102" s="27">
        <v>10194000</v>
      </c>
      <c r="Y102" s="27">
        <v>12775000</v>
      </c>
      <c r="Z102" s="27">
        <v>12684000</v>
      </c>
      <c r="AA102" s="27">
        <v>10593000</v>
      </c>
      <c r="AB102" s="27">
        <v>11092000</v>
      </c>
      <c r="AC102" s="27">
        <v>13962000</v>
      </c>
      <c r="AD102" s="27">
        <v>14507000</v>
      </c>
      <c r="AE102" s="27">
        <v>11422000</v>
      </c>
      <c r="AF102" s="27">
        <v>11052000</v>
      </c>
      <c r="AG102" s="27">
        <v>11052000</v>
      </c>
      <c r="AH102" s="27">
        <v>14052000</v>
      </c>
      <c r="AI102" s="27">
        <v>14980000</v>
      </c>
      <c r="AJ102" s="27">
        <v>2</v>
      </c>
      <c r="AK102" s="27">
        <v>12231000</v>
      </c>
      <c r="AL102" s="27">
        <v>13968000</v>
      </c>
      <c r="AM102" s="27">
        <v>12431000</v>
      </c>
      <c r="AN102" s="27">
        <v>15011000</v>
      </c>
      <c r="AO102" s="27">
        <v>14921000</v>
      </c>
      <c r="AP102" s="27">
        <v>12830000</v>
      </c>
      <c r="AQ102" s="27">
        <v>13329000</v>
      </c>
      <c r="AR102" s="27">
        <v>16198000</v>
      </c>
      <c r="AS102" s="27">
        <v>16744000</v>
      </c>
      <c r="AT102" s="27">
        <v>13658000</v>
      </c>
      <c r="AU102" s="27">
        <v>13289000</v>
      </c>
      <c r="AV102" s="27">
        <v>13289000</v>
      </c>
      <c r="AW102" s="27">
        <v>16289000</v>
      </c>
      <c r="AX102" s="27">
        <v>17217000</v>
      </c>
      <c r="AY102" s="27">
        <v>2</v>
      </c>
      <c r="AZ102" s="27">
        <v>20911000</v>
      </c>
      <c r="BA102" s="27">
        <v>22647000</v>
      </c>
      <c r="BB102" s="27">
        <v>21110000</v>
      </c>
      <c r="BC102" s="27">
        <v>23690000</v>
      </c>
      <c r="BD102" s="27">
        <v>23600000</v>
      </c>
      <c r="BE102" s="27">
        <v>21509000</v>
      </c>
      <c r="BF102" s="27">
        <v>22008000</v>
      </c>
      <c r="BG102" s="27">
        <v>24877000</v>
      </c>
      <c r="BH102" s="27">
        <v>25423000</v>
      </c>
      <c r="BI102" s="27">
        <v>22337000</v>
      </c>
      <c r="BJ102" s="27">
        <v>21968000</v>
      </c>
      <c r="BK102" s="27">
        <v>21968000</v>
      </c>
      <c r="BL102" s="27">
        <v>24968000</v>
      </c>
      <c r="BM102" s="27">
        <v>25896000</v>
      </c>
    </row>
    <row r="103" spans="1:65" ht="18">
      <c r="A103" s="16" t="e">
        <f ca="1">_xludf.image("https://lh3.google.com/u/0/d/15SIuX2dOtFeBigv5Egba1vQNS43oAWDh",1)</f>
        <v>#NAME?</v>
      </c>
      <c r="B103" s="92" t="s">
        <v>273</v>
      </c>
      <c r="C103" s="147"/>
      <c r="D103" s="145"/>
      <c r="E103" s="146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  <c r="AA103" s="63"/>
      <c r="AB103" s="63"/>
      <c r="AC103" s="63"/>
      <c r="AD103" s="63"/>
      <c r="AE103" s="63"/>
      <c r="AF103" s="63"/>
      <c r="AG103" s="63"/>
      <c r="AH103" s="63"/>
      <c r="AI103" s="63"/>
      <c r="AJ103" s="63"/>
      <c r="AK103" s="63"/>
      <c r="AL103" s="63"/>
      <c r="AM103" s="63"/>
      <c r="AN103" s="63"/>
      <c r="AO103" s="63"/>
      <c r="AP103" s="63"/>
      <c r="AQ103" s="63"/>
      <c r="AR103" s="63"/>
      <c r="AS103" s="63"/>
      <c r="AT103" s="63"/>
      <c r="AU103" s="63"/>
      <c r="AV103" s="63"/>
      <c r="AW103" s="63"/>
      <c r="AX103" s="63"/>
      <c r="AY103" s="63"/>
      <c r="AZ103" s="63"/>
      <c r="BA103" s="63"/>
      <c r="BB103" s="63"/>
      <c r="BC103" s="63"/>
      <c r="BD103" s="63"/>
      <c r="BE103" s="63"/>
      <c r="BF103" s="63"/>
      <c r="BG103" s="63"/>
      <c r="BH103" s="63"/>
      <c r="BI103" s="63"/>
      <c r="BJ103" s="63"/>
      <c r="BK103" s="63"/>
      <c r="BL103" s="63"/>
      <c r="BM103" s="63"/>
    </row>
    <row r="104" spans="1:65" ht="12.75">
      <c r="A104" s="20"/>
      <c r="B104" s="93" t="s">
        <v>274</v>
      </c>
      <c r="C104" s="65"/>
      <c r="D104" s="65"/>
      <c r="E104" s="66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</row>
    <row r="105" spans="1:65">
      <c r="A105" s="24"/>
      <c r="B105" s="94" t="s">
        <v>275</v>
      </c>
      <c r="C105" s="26">
        <v>380</v>
      </c>
      <c r="D105" s="26">
        <v>1200</v>
      </c>
      <c r="E105" s="95">
        <v>300</v>
      </c>
      <c r="F105" s="42">
        <v>3</v>
      </c>
      <c r="G105" s="27">
        <v>5176000</v>
      </c>
      <c r="H105" s="27">
        <v>5886000</v>
      </c>
      <c r="I105" s="27">
        <v>5258000</v>
      </c>
      <c r="J105" s="27">
        <v>6313000</v>
      </c>
      <c r="K105" s="27">
        <v>6276000</v>
      </c>
      <c r="L105" s="27">
        <v>5421000</v>
      </c>
      <c r="M105" s="27">
        <v>5625000</v>
      </c>
      <c r="N105" s="27">
        <v>6799000</v>
      </c>
      <c r="O105" s="27">
        <v>7022000</v>
      </c>
      <c r="P105" s="27">
        <v>5760000</v>
      </c>
      <c r="Q105" s="27">
        <v>5609000</v>
      </c>
      <c r="R105" s="27">
        <v>5609000</v>
      </c>
      <c r="S105" s="27">
        <v>6836000</v>
      </c>
      <c r="T105" s="27">
        <v>7215000</v>
      </c>
      <c r="U105" s="42">
        <v>3</v>
      </c>
      <c r="V105" s="27">
        <v>4881000</v>
      </c>
      <c r="W105" s="27">
        <v>5591000</v>
      </c>
      <c r="X105" s="27">
        <v>4963000</v>
      </c>
      <c r="Y105" s="27">
        <v>6018000</v>
      </c>
      <c r="Z105" s="27">
        <v>5981000</v>
      </c>
      <c r="AA105" s="27">
        <v>5126000</v>
      </c>
      <c r="AB105" s="27">
        <v>5330000</v>
      </c>
      <c r="AC105" s="27">
        <v>6503000</v>
      </c>
      <c r="AD105" s="27">
        <v>6727000</v>
      </c>
      <c r="AE105" s="27">
        <v>5465000</v>
      </c>
      <c r="AF105" s="27">
        <v>5314000</v>
      </c>
      <c r="AG105" s="27">
        <v>5314000</v>
      </c>
      <c r="AH105" s="27">
        <v>6540000</v>
      </c>
      <c r="AI105" s="27">
        <v>6920000</v>
      </c>
      <c r="AJ105" s="27">
        <v>2</v>
      </c>
      <c r="AK105" s="27">
        <v>5765000</v>
      </c>
      <c r="AL105" s="27">
        <v>6475000</v>
      </c>
      <c r="AM105" s="27">
        <v>5847000</v>
      </c>
      <c r="AN105" s="27">
        <v>6902000</v>
      </c>
      <c r="AO105" s="27">
        <v>6865000</v>
      </c>
      <c r="AP105" s="27">
        <v>6010000</v>
      </c>
      <c r="AQ105" s="27">
        <v>6214000</v>
      </c>
      <c r="AR105" s="27">
        <v>7388000</v>
      </c>
      <c r="AS105" s="27">
        <v>7611000</v>
      </c>
      <c r="AT105" s="27">
        <v>6349000</v>
      </c>
      <c r="AU105" s="27">
        <v>6198000</v>
      </c>
      <c r="AV105" s="27">
        <v>6198000</v>
      </c>
      <c r="AW105" s="27">
        <v>7425000</v>
      </c>
      <c r="AX105" s="27">
        <v>7804000</v>
      </c>
      <c r="AY105" s="27">
        <v>2</v>
      </c>
      <c r="AZ105" s="27">
        <v>10239000</v>
      </c>
      <c r="BA105" s="27">
        <v>10949000</v>
      </c>
      <c r="BB105" s="27">
        <v>10321000</v>
      </c>
      <c r="BC105" s="27">
        <v>11376000</v>
      </c>
      <c r="BD105" s="27">
        <v>11339000</v>
      </c>
      <c r="BE105" s="27">
        <v>10484000</v>
      </c>
      <c r="BF105" s="27">
        <v>10688000</v>
      </c>
      <c r="BG105" s="27">
        <v>11861000</v>
      </c>
      <c r="BH105" s="27">
        <v>12085000</v>
      </c>
      <c r="BI105" s="27">
        <v>10822000</v>
      </c>
      <c r="BJ105" s="27">
        <v>10672000</v>
      </c>
      <c r="BK105" s="27">
        <v>10672000</v>
      </c>
      <c r="BL105" s="27">
        <v>11898000</v>
      </c>
      <c r="BM105" s="27">
        <v>12278000</v>
      </c>
    </row>
    <row r="106" spans="1:65">
      <c r="A106" s="24"/>
      <c r="B106" s="94" t="s">
        <v>276</v>
      </c>
      <c r="C106" s="26">
        <v>380</v>
      </c>
      <c r="D106" s="26">
        <v>1200</v>
      </c>
      <c r="E106" s="95">
        <v>450</v>
      </c>
      <c r="F106" s="42">
        <v>3</v>
      </c>
      <c r="G106" s="27">
        <v>5953000</v>
      </c>
      <c r="H106" s="27">
        <v>7018000</v>
      </c>
      <c r="I106" s="27">
        <v>6076000</v>
      </c>
      <c r="J106" s="27">
        <v>7659000</v>
      </c>
      <c r="K106" s="27">
        <v>7603000</v>
      </c>
      <c r="L106" s="27">
        <v>6321000</v>
      </c>
      <c r="M106" s="27">
        <v>6627000</v>
      </c>
      <c r="N106" s="27">
        <v>8387000</v>
      </c>
      <c r="O106" s="27">
        <v>8722000</v>
      </c>
      <c r="P106" s="27">
        <v>6829000</v>
      </c>
      <c r="Q106" s="27">
        <v>6602000</v>
      </c>
      <c r="R106" s="27">
        <v>6602000</v>
      </c>
      <c r="S106" s="27">
        <v>8442000</v>
      </c>
      <c r="T106" s="27">
        <v>9012000</v>
      </c>
      <c r="U106" s="42">
        <v>3</v>
      </c>
      <c r="V106" s="27">
        <v>5635000</v>
      </c>
      <c r="W106" s="27">
        <v>6700000</v>
      </c>
      <c r="X106" s="27">
        <v>5757000</v>
      </c>
      <c r="Y106" s="27">
        <v>7340000</v>
      </c>
      <c r="Z106" s="27">
        <v>7285000</v>
      </c>
      <c r="AA106" s="27">
        <v>6002000</v>
      </c>
      <c r="AB106" s="27">
        <v>6308000</v>
      </c>
      <c r="AC106" s="27">
        <v>8068000</v>
      </c>
      <c r="AD106" s="27">
        <v>8403000</v>
      </c>
      <c r="AE106" s="27">
        <v>6510000</v>
      </c>
      <c r="AF106" s="27">
        <v>6284000</v>
      </c>
      <c r="AG106" s="27">
        <v>6284000</v>
      </c>
      <c r="AH106" s="27">
        <v>8124000</v>
      </c>
      <c r="AI106" s="27">
        <v>8693000</v>
      </c>
      <c r="AJ106" s="27">
        <v>2</v>
      </c>
      <c r="AK106" s="27">
        <v>6524000</v>
      </c>
      <c r="AL106" s="27">
        <v>7589000</v>
      </c>
      <c r="AM106" s="27">
        <v>6646000</v>
      </c>
      <c r="AN106" s="27">
        <v>8229000</v>
      </c>
      <c r="AO106" s="27">
        <v>8173000</v>
      </c>
      <c r="AP106" s="27">
        <v>6891000</v>
      </c>
      <c r="AQ106" s="27">
        <v>7197000</v>
      </c>
      <c r="AR106" s="27">
        <v>8957000</v>
      </c>
      <c r="AS106" s="27">
        <v>9292000</v>
      </c>
      <c r="AT106" s="27">
        <v>7399000</v>
      </c>
      <c r="AU106" s="27">
        <v>7172000</v>
      </c>
      <c r="AV106" s="27">
        <v>7172000</v>
      </c>
      <c r="AW106" s="27">
        <v>9013000</v>
      </c>
      <c r="AX106" s="27">
        <v>9582000</v>
      </c>
      <c r="AY106" s="27">
        <v>2</v>
      </c>
      <c r="AZ106" s="27">
        <v>11198000</v>
      </c>
      <c r="BA106" s="27">
        <v>12264000</v>
      </c>
      <c r="BB106" s="27">
        <v>11321000</v>
      </c>
      <c r="BC106" s="27">
        <v>12904000</v>
      </c>
      <c r="BD106" s="27">
        <v>12848000</v>
      </c>
      <c r="BE106" s="27">
        <v>11566000</v>
      </c>
      <c r="BF106" s="27">
        <v>11872000</v>
      </c>
      <c r="BG106" s="27">
        <v>13632000</v>
      </c>
      <c r="BH106" s="27">
        <v>13967000</v>
      </c>
      <c r="BI106" s="27">
        <v>12074000</v>
      </c>
      <c r="BJ106" s="27">
        <v>11847000</v>
      </c>
      <c r="BK106" s="27">
        <v>11847000</v>
      </c>
      <c r="BL106" s="27">
        <v>13688000</v>
      </c>
      <c r="BM106" s="27">
        <v>14257000</v>
      </c>
    </row>
    <row r="107" spans="1:65">
      <c r="A107" s="24"/>
      <c r="B107" s="94" t="s">
        <v>277</v>
      </c>
      <c r="C107" s="26">
        <v>380</v>
      </c>
      <c r="D107" s="26">
        <v>1200</v>
      </c>
      <c r="E107" s="95">
        <v>600</v>
      </c>
      <c r="F107" s="42">
        <v>3</v>
      </c>
      <c r="G107" s="27">
        <v>6749000</v>
      </c>
      <c r="H107" s="27">
        <v>8170000</v>
      </c>
      <c r="I107" s="27">
        <v>6913000</v>
      </c>
      <c r="J107" s="27">
        <v>9023000</v>
      </c>
      <c r="K107" s="27">
        <v>8949000</v>
      </c>
      <c r="L107" s="27">
        <v>7239000</v>
      </c>
      <c r="M107" s="27">
        <v>7647000</v>
      </c>
      <c r="N107" s="27">
        <v>9994000</v>
      </c>
      <c r="O107" s="27">
        <v>10441000</v>
      </c>
      <c r="P107" s="27">
        <v>7917000</v>
      </c>
      <c r="Q107" s="27">
        <v>7615000</v>
      </c>
      <c r="R107" s="27">
        <v>7615000</v>
      </c>
      <c r="S107" s="27">
        <v>10068000</v>
      </c>
      <c r="T107" s="27">
        <v>10827000</v>
      </c>
      <c r="U107" s="42">
        <v>3</v>
      </c>
      <c r="V107" s="27">
        <v>6407000</v>
      </c>
      <c r="W107" s="27">
        <v>7828000</v>
      </c>
      <c r="X107" s="27">
        <v>6570000</v>
      </c>
      <c r="Y107" s="27">
        <v>8681000</v>
      </c>
      <c r="Z107" s="27">
        <v>8607000</v>
      </c>
      <c r="AA107" s="27">
        <v>6897000</v>
      </c>
      <c r="AB107" s="27">
        <v>7305000</v>
      </c>
      <c r="AC107" s="27">
        <v>9652000</v>
      </c>
      <c r="AD107" s="27">
        <v>10099000</v>
      </c>
      <c r="AE107" s="27">
        <v>7574000</v>
      </c>
      <c r="AF107" s="27">
        <v>7272000</v>
      </c>
      <c r="AG107" s="27">
        <v>7272000</v>
      </c>
      <c r="AH107" s="27">
        <v>9726000</v>
      </c>
      <c r="AI107" s="27">
        <v>10485000</v>
      </c>
      <c r="AJ107" s="27">
        <v>2</v>
      </c>
      <c r="AK107" s="27">
        <v>7301000</v>
      </c>
      <c r="AL107" s="27">
        <v>8721000</v>
      </c>
      <c r="AM107" s="27">
        <v>7464000</v>
      </c>
      <c r="AN107" s="27">
        <v>9575000</v>
      </c>
      <c r="AO107" s="27">
        <v>9501000</v>
      </c>
      <c r="AP107" s="27">
        <v>7791000</v>
      </c>
      <c r="AQ107" s="27">
        <v>8199000</v>
      </c>
      <c r="AR107" s="27">
        <v>10546000</v>
      </c>
      <c r="AS107" s="27">
        <v>10992000</v>
      </c>
      <c r="AT107" s="27">
        <v>8468000</v>
      </c>
      <c r="AU107" s="27">
        <v>8166000</v>
      </c>
      <c r="AV107" s="27">
        <v>8166000</v>
      </c>
      <c r="AW107" s="27">
        <v>10620000</v>
      </c>
      <c r="AX107" s="27">
        <v>11379000</v>
      </c>
      <c r="AY107" s="27">
        <v>2</v>
      </c>
      <c r="AZ107" s="27">
        <v>12177000</v>
      </c>
      <c r="BA107" s="27">
        <v>13597000</v>
      </c>
      <c r="BB107" s="27">
        <v>12340000</v>
      </c>
      <c r="BC107" s="27">
        <v>14451000</v>
      </c>
      <c r="BD107" s="27">
        <v>14377000</v>
      </c>
      <c r="BE107" s="27">
        <v>12667000</v>
      </c>
      <c r="BF107" s="27">
        <v>13075000</v>
      </c>
      <c r="BG107" s="27">
        <v>15422000</v>
      </c>
      <c r="BH107" s="27">
        <v>15868000</v>
      </c>
      <c r="BI107" s="27">
        <v>13344000</v>
      </c>
      <c r="BJ107" s="27">
        <v>13042000</v>
      </c>
      <c r="BK107" s="27">
        <v>13042000</v>
      </c>
      <c r="BL107" s="27">
        <v>15496000</v>
      </c>
      <c r="BM107" s="27">
        <v>16255000</v>
      </c>
    </row>
    <row r="108" spans="1:65">
      <c r="A108" s="24"/>
      <c r="B108" s="94" t="s">
        <v>278</v>
      </c>
      <c r="C108" s="26">
        <v>380</v>
      </c>
      <c r="D108" s="26">
        <v>1200</v>
      </c>
      <c r="E108" s="95">
        <v>900</v>
      </c>
      <c r="F108" s="42">
        <v>3</v>
      </c>
      <c r="G108" s="27">
        <v>10654000</v>
      </c>
      <c r="H108" s="27">
        <v>12784000</v>
      </c>
      <c r="I108" s="27">
        <v>10899000</v>
      </c>
      <c r="J108" s="27">
        <v>14065000</v>
      </c>
      <c r="K108" s="27">
        <v>13954000</v>
      </c>
      <c r="L108" s="27">
        <v>11389000</v>
      </c>
      <c r="M108" s="27">
        <v>12001000</v>
      </c>
      <c r="N108" s="27">
        <v>15521000</v>
      </c>
      <c r="O108" s="27">
        <v>16191000</v>
      </c>
      <c r="P108" s="27">
        <v>12405000</v>
      </c>
      <c r="Q108" s="27">
        <v>11952000</v>
      </c>
      <c r="R108" s="27">
        <v>11952000</v>
      </c>
      <c r="S108" s="27">
        <v>15632000</v>
      </c>
      <c r="T108" s="27">
        <v>16771000</v>
      </c>
      <c r="U108" s="42">
        <v>3</v>
      </c>
      <c r="V108" s="27">
        <v>10017000</v>
      </c>
      <c r="W108" s="27">
        <v>12147000</v>
      </c>
      <c r="X108" s="27">
        <v>10262000</v>
      </c>
      <c r="Y108" s="27">
        <v>13428000</v>
      </c>
      <c r="Z108" s="27">
        <v>13317000</v>
      </c>
      <c r="AA108" s="27">
        <v>10751000</v>
      </c>
      <c r="AB108" s="27">
        <v>11364000</v>
      </c>
      <c r="AC108" s="27">
        <v>14884000</v>
      </c>
      <c r="AD108" s="27">
        <v>15554000</v>
      </c>
      <c r="AE108" s="27">
        <v>11767000</v>
      </c>
      <c r="AF108" s="27">
        <v>11315000</v>
      </c>
      <c r="AG108" s="27">
        <v>11315000</v>
      </c>
      <c r="AH108" s="27">
        <v>14995000</v>
      </c>
      <c r="AI108" s="27">
        <v>16134000</v>
      </c>
      <c r="AJ108" s="27">
        <v>2</v>
      </c>
      <c r="AK108" s="27">
        <v>11795000</v>
      </c>
      <c r="AL108" s="27">
        <v>13925000</v>
      </c>
      <c r="AM108" s="27">
        <v>12039000</v>
      </c>
      <c r="AN108" s="27">
        <v>15205000</v>
      </c>
      <c r="AO108" s="27">
        <v>15094000</v>
      </c>
      <c r="AP108" s="27">
        <v>12529000</v>
      </c>
      <c r="AQ108" s="27">
        <v>13141000</v>
      </c>
      <c r="AR108" s="27">
        <v>16662000</v>
      </c>
      <c r="AS108" s="27">
        <v>17331000</v>
      </c>
      <c r="AT108" s="27">
        <v>13545000</v>
      </c>
      <c r="AU108" s="27">
        <v>13092000</v>
      </c>
      <c r="AV108" s="27">
        <v>13092000</v>
      </c>
      <c r="AW108" s="27">
        <v>16773000</v>
      </c>
      <c r="AX108" s="27">
        <v>17912000</v>
      </c>
      <c r="AY108" s="27">
        <v>2</v>
      </c>
      <c r="AZ108" s="27">
        <v>21144000</v>
      </c>
      <c r="BA108" s="27">
        <v>23275000</v>
      </c>
      <c r="BB108" s="27">
        <v>21389000</v>
      </c>
      <c r="BC108" s="27">
        <v>24555000</v>
      </c>
      <c r="BD108" s="27">
        <v>24444000</v>
      </c>
      <c r="BE108" s="27">
        <v>21879000</v>
      </c>
      <c r="BF108" s="27">
        <v>22491000</v>
      </c>
      <c r="BG108" s="27">
        <v>26012000</v>
      </c>
      <c r="BH108" s="27">
        <v>26681000</v>
      </c>
      <c r="BI108" s="27">
        <v>22895000</v>
      </c>
      <c r="BJ108" s="27">
        <v>22442000</v>
      </c>
      <c r="BK108" s="27">
        <v>22442000</v>
      </c>
      <c r="BL108" s="27">
        <v>26123000</v>
      </c>
      <c r="BM108" s="27">
        <v>27261000</v>
      </c>
    </row>
    <row r="109" spans="1:65">
      <c r="A109" s="24"/>
      <c r="B109" s="94" t="s">
        <v>280</v>
      </c>
      <c r="C109" s="26">
        <v>380</v>
      </c>
      <c r="D109" s="26">
        <v>1200</v>
      </c>
      <c r="E109" s="95">
        <v>1050</v>
      </c>
      <c r="F109" s="42">
        <v>3</v>
      </c>
      <c r="G109" s="27">
        <v>8462000</v>
      </c>
      <c r="H109" s="27">
        <v>9527000</v>
      </c>
      <c r="I109" s="27">
        <v>8585000</v>
      </c>
      <c r="J109" s="27">
        <v>10168000</v>
      </c>
      <c r="K109" s="27">
        <v>10112000</v>
      </c>
      <c r="L109" s="27">
        <v>8830000</v>
      </c>
      <c r="M109" s="27">
        <v>9136000</v>
      </c>
      <c r="N109" s="27">
        <v>10896000</v>
      </c>
      <c r="O109" s="27">
        <v>11231000</v>
      </c>
      <c r="P109" s="27">
        <v>9338000</v>
      </c>
      <c r="Q109" s="27">
        <v>9111000</v>
      </c>
      <c r="R109" s="27">
        <v>9111000</v>
      </c>
      <c r="S109" s="27">
        <v>10951000</v>
      </c>
      <c r="T109" s="27">
        <v>11521000</v>
      </c>
      <c r="U109" s="42">
        <v>3</v>
      </c>
      <c r="V109" s="27">
        <v>8144000</v>
      </c>
      <c r="W109" s="27">
        <v>9209000</v>
      </c>
      <c r="X109" s="27">
        <v>8266000</v>
      </c>
      <c r="Y109" s="27">
        <v>9849000</v>
      </c>
      <c r="Z109" s="27">
        <v>9794000</v>
      </c>
      <c r="AA109" s="27">
        <v>8511000</v>
      </c>
      <c r="AB109" s="27">
        <v>8817000</v>
      </c>
      <c r="AC109" s="27">
        <v>10577000</v>
      </c>
      <c r="AD109" s="27">
        <v>10912000</v>
      </c>
      <c r="AE109" s="27">
        <v>9019000</v>
      </c>
      <c r="AF109" s="27">
        <v>8793000</v>
      </c>
      <c r="AG109" s="27">
        <v>8793000</v>
      </c>
      <c r="AH109" s="27">
        <v>10633000</v>
      </c>
      <c r="AI109" s="27">
        <v>11202000</v>
      </c>
      <c r="AJ109" s="27">
        <v>2</v>
      </c>
      <c r="AK109" s="27">
        <v>9033000</v>
      </c>
      <c r="AL109" s="27">
        <v>10098000</v>
      </c>
      <c r="AM109" s="27">
        <v>9155000</v>
      </c>
      <c r="AN109" s="27">
        <v>10738000</v>
      </c>
      <c r="AO109" s="27">
        <v>10682000</v>
      </c>
      <c r="AP109" s="27">
        <v>9400000</v>
      </c>
      <c r="AQ109" s="27">
        <v>9706000</v>
      </c>
      <c r="AR109" s="27">
        <v>11466000</v>
      </c>
      <c r="AS109" s="27">
        <v>11801000</v>
      </c>
      <c r="AT109" s="27">
        <v>9908000</v>
      </c>
      <c r="AU109" s="27">
        <v>9681000</v>
      </c>
      <c r="AV109" s="27">
        <v>9681000</v>
      </c>
      <c r="AW109" s="27">
        <v>11522000</v>
      </c>
      <c r="AX109" s="27">
        <v>12091000</v>
      </c>
      <c r="AY109" s="27">
        <v>2</v>
      </c>
      <c r="AZ109" s="27">
        <v>13707000</v>
      </c>
      <c r="BA109" s="27">
        <v>14773000</v>
      </c>
      <c r="BB109" s="27">
        <v>13830000</v>
      </c>
      <c r="BC109" s="27">
        <v>15413000</v>
      </c>
      <c r="BD109" s="27">
        <v>15357000</v>
      </c>
      <c r="BE109" s="27">
        <v>14075000</v>
      </c>
      <c r="BF109" s="27">
        <v>14381000</v>
      </c>
      <c r="BG109" s="27">
        <v>16141000</v>
      </c>
      <c r="BH109" s="27">
        <v>16476000</v>
      </c>
      <c r="BI109" s="27">
        <v>14583000</v>
      </c>
      <c r="BJ109" s="27">
        <v>14356000</v>
      </c>
      <c r="BK109" s="27">
        <v>14356000</v>
      </c>
      <c r="BL109" s="27">
        <v>16197000</v>
      </c>
      <c r="BM109" s="27">
        <v>16766000</v>
      </c>
    </row>
    <row r="110" spans="1:65">
      <c r="A110" s="24"/>
      <c r="B110" s="94" t="s">
        <v>281</v>
      </c>
      <c r="C110" s="26">
        <v>380</v>
      </c>
      <c r="D110" s="26">
        <v>1200</v>
      </c>
      <c r="E110" s="95">
        <v>300</v>
      </c>
      <c r="F110" s="42">
        <v>3</v>
      </c>
      <c r="G110" s="27">
        <v>6036000</v>
      </c>
      <c r="H110" s="27">
        <v>6746000</v>
      </c>
      <c r="I110" s="27">
        <v>6118000</v>
      </c>
      <c r="J110" s="27">
        <v>7173000</v>
      </c>
      <c r="K110" s="27">
        <v>7136000</v>
      </c>
      <c r="L110" s="27">
        <v>6281000</v>
      </c>
      <c r="M110" s="27">
        <v>6485000</v>
      </c>
      <c r="N110" s="27">
        <v>7659000</v>
      </c>
      <c r="O110" s="27">
        <v>7882000</v>
      </c>
      <c r="P110" s="27">
        <v>6620000</v>
      </c>
      <c r="Q110" s="27">
        <v>6469000</v>
      </c>
      <c r="R110" s="27">
        <v>6469000</v>
      </c>
      <c r="S110" s="27">
        <v>7696000</v>
      </c>
      <c r="T110" s="27">
        <v>8075000</v>
      </c>
      <c r="U110" s="42">
        <v>3</v>
      </c>
      <c r="V110" s="27">
        <v>5741000</v>
      </c>
      <c r="W110" s="27">
        <v>6451000</v>
      </c>
      <c r="X110" s="27">
        <v>5823000</v>
      </c>
      <c r="Y110" s="27">
        <v>6878000</v>
      </c>
      <c r="Z110" s="27">
        <v>6841000</v>
      </c>
      <c r="AA110" s="27">
        <v>5986000</v>
      </c>
      <c r="AB110" s="27">
        <v>6190000</v>
      </c>
      <c r="AC110" s="27">
        <v>7363000</v>
      </c>
      <c r="AD110" s="27">
        <v>7587000</v>
      </c>
      <c r="AE110" s="27">
        <v>6325000</v>
      </c>
      <c r="AF110" s="27">
        <v>6174000</v>
      </c>
      <c r="AG110" s="27">
        <v>6174000</v>
      </c>
      <c r="AH110" s="27">
        <v>7400000</v>
      </c>
      <c r="AI110" s="27">
        <v>7780000</v>
      </c>
      <c r="AJ110" s="27">
        <v>2</v>
      </c>
      <c r="AK110" s="27">
        <v>6625000</v>
      </c>
      <c r="AL110" s="27">
        <v>7335000</v>
      </c>
      <c r="AM110" s="27">
        <v>6707000</v>
      </c>
      <c r="AN110" s="27">
        <v>7762000</v>
      </c>
      <c r="AO110" s="27">
        <v>7725000</v>
      </c>
      <c r="AP110" s="27">
        <v>6870000</v>
      </c>
      <c r="AQ110" s="27">
        <v>7074000</v>
      </c>
      <c r="AR110" s="27">
        <v>8248000</v>
      </c>
      <c r="AS110" s="27">
        <v>8471000</v>
      </c>
      <c r="AT110" s="27">
        <v>7209000</v>
      </c>
      <c r="AU110" s="27">
        <v>7058000</v>
      </c>
      <c r="AV110" s="27">
        <v>7058000</v>
      </c>
      <c r="AW110" s="27">
        <v>8285000</v>
      </c>
      <c r="AX110" s="27">
        <v>8664000</v>
      </c>
      <c r="AY110" s="27">
        <v>2</v>
      </c>
      <c r="AZ110" s="27">
        <v>11099000</v>
      </c>
      <c r="BA110" s="27">
        <v>11809000</v>
      </c>
      <c r="BB110" s="27">
        <v>11181000</v>
      </c>
      <c r="BC110" s="27">
        <v>12236000</v>
      </c>
      <c r="BD110" s="27">
        <v>12199000</v>
      </c>
      <c r="BE110" s="27">
        <v>11344000</v>
      </c>
      <c r="BF110" s="27">
        <v>11548000</v>
      </c>
      <c r="BG110" s="27">
        <v>12721000</v>
      </c>
      <c r="BH110" s="27">
        <v>12945000</v>
      </c>
      <c r="BI110" s="27">
        <v>11682000</v>
      </c>
      <c r="BJ110" s="27">
        <v>11532000</v>
      </c>
      <c r="BK110" s="27">
        <v>11532000</v>
      </c>
      <c r="BL110" s="27">
        <v>12758000</v>
      </c>
      <c r="BM110" s="27">
        <v>13138000</v>
      </c>
    </row>
    <row r="111" spans="1:65">
      <c r="A111" s="24"/>
      <c r="B111" s="94" t="s">
        <v>282</v>
      </c>
      <c r="C111" s="26">
        <v>380</v>
      </c>
      <c r="D111" s="26">
        <v>1200</v>
      </c>
      <c r="E111" s="95">
        <v>450</v>
      </c>
      <c r="F111" s="42">
        <v>3</v>
      </c>
      <c r="G111" s="27">
        <v>7258000</v>
      </c>
      <c r="H111" s="27">
        <v>8323000</v>
      </c>
      <c r="I111" s="27">
        <v>7381000</v>
      </c>
      <c r="J111" s="27">
        <v>8964000</v>
      </c>
      <c r="K111" s="27">
        <v>8908000</v>
      </c>
      <c r="L111" s="27">
        <v>7626000</v>
      </c>
      <c r="M111" s="27">
        <v>7932000</v>
      </c>
      <c r="N111" s="27">
        <v>9692000</v>
      </c>
      <c r="O111" s="27">
        <v>10027000</v>
      </c>
      <c r="P111" s="27">
        <v>8134000</v>
      </c>
      <c r="Q111" s="27">
        <v>7907000</v>
      </c>
      <c r="R111" s="27">
        <v>7907000</v>
      </c>
      <c r="S111" s="27">
        <v>9747000</v>
      </c>
      <c r="T111" s="27">
        <v>10317000</v>
      </c>
      <c r="U111" s="42">
        <v>3</v>
      </c>
      <c r="V111" s="27">
        <v>6940000</v>
      </c>
      <c r="W111" s="27">
        <v>8005000</v>
      </c>
      <c r="X111" s="27">
        <v>7062000</v>
      </c>
      <c r="Y111" s="27">
        <v>8645000</v>
      </c>
      <c r="Z111" s="27">
        <v>8590000</v>
      </c>
      <c r="AA111" s="27">
        <v>7307000</v>
      </c>
      <c r="AB111" s="27">
        <v>7613000</v>
      </c>
      <c r="AC111" s="27">
        <v>9373000</v>
      </c>
      <c r="AD111" s="27">
        <v>9708000</v>
      </c>
      <c r="AE111" s="27">
        <v>7815000</v>
      </c>
      <c r="AF111" s="27">
        <v>7589000</v>
      </c>
      <c r="AG111" s="27">
        <v>7589000</v>
      </c>
      <c r="AH111" s="27">
        <v>9429000</v>
      </c>
      <c r="AI111" s="27">
        <v>9998000</v>
      </c>
      <c r="AJ111" s="27">
        <v>2</v>
      </c>
      <c r="AK111" s="27">
        <v>7829000</v>
      </c>
      <c r="AL111" s="27">
        <v>8894000</v>
      </c>
      <c r="AM111" s="27">
        <v>7951000</v>
      </c>
      <c r="AN111" s="27">
        <v>9534000</v>
      </c>
      <c r="AO111" s="27">
        <v>9478000</v>
      </c>
      <c r="AP111" s="27">
        <v>8196000</v>
      </c>
      <c r="AQ111" s="27">
        <v>8502000</v>
      </c>
      <c r="AR111" s="27">
        <v>10262000</v>
      </c>
      <c r="AS111" s="27">
        <v>10597000</v>
      </c>
      <c r="AT111" s="27">
        <v>8704000</v>
      </c>
      <c r="AU111" s="27">
        <v>8477000</v>
      </c>
      <c r="AV111" s="27">
        <v>8477000</v>
      </c>
      <c r="AW111" s="27">
        <v>10318000</v>
      </c>
      <c r="AX111" s="27">
        <v>10887000</v>
      </c>
      <c r="AY111" s="27">
        <v>2</v>
      </c>
      <c r="AZ111" s="27">
        <v>12503000</v>
      </c>
      <c r="BA111" s="27">
        <v>13569000</v>
      </c>
      <c r="BB111" s="27">
        <v>12626000</v>
      </c>
      <c r="BC111" s="27">
        <v>14209000</v>
      </c>
      <c r="BD111" s="27">
        <v>14153000</v>
      </c>
      <c r="BE111" s="27">
        <v>12871000</v>
      </c>
      <c r="BF111" s="27">
        <v>13177000</v>
      </c>
      <c r="BG111" s="27">
        <v>14937000</v>
      </c>
      <c r="BH111" s="27">
        <v>15272000</v>
      </c>
      <c r="BI111" s="27">
        <v>13379000</v>
      </c>
      <c r="BJ111" s="27">
        <v>13152000</v>
      </c>
      <c r="BK111" s="27">
        <v>13152000</v>
      </c>
      <c r="BL111" s="27">
        <v>14993000</v>
      </c>
      <c r="BM111" s="27">
        <v>15562000</v>
      </c>
    </row>
    <row r="112" spans="1:65">
      <c r="A112" s="24"/>
      <c r="B112" s="94" t="s">
        <v>283</v>
      </c>
      <c r="C112" s="26">
        <v>380</v>
      </c>
      <c r="D112" s="26">
        <v>1200</v>
      </c>
      <c r="E112" s="95">
        <v>600</v>
      </c>
      <c r="F112" s="42">
        <v>3</v>
      </c>
      <c r="G112" s="27">
        <v>8500000</v>
      </c>
      <c r="H112" s="27">
        <v>9921000</v>
      </c>
      <c r="I112" s="27">
        <v>8664000</v>
      </c>
      <c r="J112" s="27">
        <v>10774000</v>
      </c>
      <c r="K112" s="27">
        <v>10700000</v>
      </c>
      <c r="L112" s="27">
        <v>8990000</v>
      </c>
      <c r="M112" s="27">
        <v>9398000</v>
      </c>
      <c r="N112" s="27">
        <v>11745000</v>
      </c>
      <c r="O112" s="27">
        <v>12192000</v>
      </c>
      <c r="P112" s="27">
        <v>9668000</v>
      </c>
      <c r="Q112" s="27">
        <v>9366000</v>
      </c>
      <c r="R112" s="27">
        <v>9366000</v>
      </c>
      <c r="S112" s="27">
        <v>11819000</v>
      </c>
      <c r="T112" s="27">
        <v>12578000</v>
      </c>
      <c r="U112" s="42">
        <v>3</v>
      </c>
      <c r="V112" s="27">
        <v>8158000</v>
      </c>
      <c r="W112" s="27">
        <v>9579000</v>
      </c>
      <c r="X112" s="27">
        <v>8321000</v>
      </c>
      <c r="Y112" s="27">
        <v>10432000</v>
      </c>
      <c r="Z112" s="27">
        <v>10358000</v>
      </c>
      <c r="AA112" s="27">
        <v>8648000</v>
      </c>
      <c r="AB112" s="27">
        <v>9056000</v>
      </c>
      <c r="AC112" s="27">
        <v>11403000</v>
      </c>
      <c r="AD112" s="27">
        <v>11850000</v>
      </c>
      <c r="AE112" s="27">
        <v>9325000</v>
      </c>
      <c r="AF112" s="27">
        <v>9023000</v>
      </c>
      <c r="AG112" s="27">
        <v>9023000</v>
      </c>
      <c r="AH112" s="27">
        <v>11477000</v>
      </c>
      <c r="AI112" s="27">
        <v>12236000</v>
      </c>
      <c r="AJ112" s="27">
        <v>2</v>
      </c>
      <c r="AK112" s="27">
        <v>9052000</v>
      </c>
      <c r="AL112" s="27">
        <v>10472000</v>
      </c>
      <c r="AM112" s="27">
        <v>9215000</v>
      </c>
      <c r="AN112" s="27">
        <v>11326000</v>
      </c>
      <c r="AO112" s="27">
        <v>11252000</v>
      </c>
      <c r="AP112" s="27">
        <v>9542000</v>
      </c>
      <c r="AQ112" s="27">
        <v>9950000</v>
      </c>
      <c r="AR112" s="27">
        <v>12297000</v>
      </c>
      <c r="AS112" s="27">
        <v>12743000</v>
      </c>
      <c r="AT112" s="27">
        <v>10219000</v>
      </c>
      <c r="AU112" s="27">
        <v>9917000</v>
      </c>
      <c r="AV112" s="27">
        <v>9917000</v>
      </c>
      <c r="AW112" s="27">
        <v>12371000</v>
      </c>
      <c r="AX112" s="27">
        <v>13130000</v>
      </c>
      <c r="AY112" s="27">
        <v>2</v>
      </c>
      <c r="AZ112" s="27">
        <v>13928000</v>
      </c>
      <c r="BA112" s="27">
        <v>15348000</v>
      </c>
      <c r="BB112" s="27">
        <v>14091000</v>
      </c>
      <c r="BC112" s="27">
        <v>16202000</v>
      </c>
      <c r="BD112" s="27">
        <v>16128000</v>
      </c>
      <c r="BE112" s="27">
        <v>14418000</v>
      </c>
      <c r="BF112" s="27">
        <v>14826000</v>
      </c>
      <c r="BG112" s="27">
        <v>17173000</v>
      </c>
      <c r="BH112" s="27">
        <v>17619000</v>
      </c>
      <c r="BI112" s="27">
        <v>15095000</v>
      </c>
      <c r="BJ112" s="27">
        <v>14793000</v>
      </c>
      <c r="BK112" s="27">
        <v>14793000</v>
      </c>
      <c r="BL112" s="27">
        <v>17247000</v>
      </c>
      <c r="BM112" s="27">
        <v>18006000</v>
      </c>
    </row>
    <row r="113" spans="1:65">
      <c r="A113" s="24"/>
      <c r="B113" s="94" t="s">
        <v>284</v>
      </c>
      <c r="C113" s="96">
        <v>380</v>
      </c>
      <c r="D113" s="96">
        <v>1200</v>
      </c>
      <c r="E113" s="97">
        <v>900</v>
      </c>
      <c r="F113" s="42">
        <v>3</v>
      </c>
      <c r="G113" s="27">
        <v>13295000</v>
      </c>
      <c r="H113" s="27">
        <v>15425000</v>
      </c>
      <c r="I113" s="27">
        <v>13540000</v>
      </c>
      <c r="J113" s="27">
        <v>16706000</v>
      </c>
      <c r="K113" s="27">
        <v>16595000</v>
      </c>
      <c r="L113" s="27">
        <v>14030000</v>
      </c>
      <c r="M113" s="27">
        <v>14642000</v>
      </c>
      <c r="N113" s="27">
        <v>18162000</v>
      </c>
      <c r="O113" s="27">
        <v>18832000</v>
      </c>
      <c r="P113" s="27">
        <v>15046000</v>
      </c>
      <c r="Q113" s="27">
        <v>14593000</v>
      </c>
      <c r="R113" s="27">
        <v>14593000</v>
      </c>
      <c r="S113" s="27">
        <v>18273000</v>
      </c>
      <c r="T113" s="27">
        <v>19412000</v>
      </c>
      <c r="U113" s="42">
        <v>3</v>
      </c>
      <c r="V113" s="27">
        <v>12658000</v>
      </c>
      <c r="W113" s="27">
        <v>14788000</v>
      </c>
      <c r="X113" s="27">
        <v>12903000</v>
      </c>
      <c r="Y113" s="27">
        <v>16069000</v>
      </c>
      <c r="Z113" s="27">
        <v>15958000</v>
      </c>
      <c r="AA113" s="27">
        <v>13392000</v>
      </c>
      <c r="AB113" s="27">
        <v>14005000</v>
      </c>
      <c r="AC113" s="27">
        <v>17525000</v>
      </c>
      <c r="AD113" s="27">
        <v>18195000</v>
      </c>
      <c r="AE113" s="27">
        <v>14408000</v>
      </c>
      <c r="AF113" s="27">
        <v>13956000</v>
      </c>
      <c r="AG113" s="27">
        <v>13956000</v>
      </c>
      <c r="AH113" s="27">
        <v>17636000</v>
      </c>
      <c r="AI113" s="27">
        <v>18775000</v>
      </c>
      <c r="AJ113" s="27">
        <v>2</v>
      </c>
      <c r="AK113" s="27">
        <v>14436000</v>
      </c>
      <c r="AL113" s="27">
        <v>16566000</v>
      </c>
      <c r="AM113" s="27">
        <v>14680000</v>
      </c>
      <c r="AN113" s="27">
        <v>17846000</v>
      </c>
      <c r="AO113" s="27">
        <v>17735000</v>
      </c>
      <c r="AP113" s="27">
        <v>15170000</v>
      </c>
      <c r="AQ113" s="27">
        <v>15782000</v>
      </c>
      <c r="AR113" s="27">
        <v>19303000</v>
      </c>
      <c r="AS113" s="27">
        <v>19972000</v>
      </c>
      <c r="AT113" s="27">
        <v>16186000</v>
      </c>
      <c r="AU113" s="27">
        <v>15733000</v>
      </c>
      <c r="AV113" s="27">
        <v>15733000</v>
      </c>
      <c r="AW113" s="27">
        <v>19414000</v>
      </c>
      <c r="AX113" s="27">
        <v>20553000</v>
      </c>
      <c r="AY113" s="27">
        <v>2</v>
      </c>
      <c r="AZ113" s="27">
        <v>23785000</v>
      </c>
      <c r="BA113" s="27">
        <v>25916000</v>
      </c>
      <c r="BB113" s="27">
        <v>24030000</v>
      </c>
      <c r="BC113" s="27">
        <v>27196000</v>
      </c>
      <c r="BD113" s="27">
        <v>27085000</v>
      </c>
      <c r="BE113" s="27">
        <v>24520000</v>
      </c>
      <c r="BF113" s="27">
        <v>25132000</v>
      </c>
      <c r="BG113" s="27">
        <v>28653000</v>
      </c>
      <c r="BH113" s="27">
        <v>29322000</v>
      </c>
      <c r="BI113" s="27">
        <v>25536000</v>
      </c>
      <c r="BJ113" s="27">
        <v>25083000</v>
      </c>
      <c r="BK113" s="27">
        <v>25083000</v>
      </c>
      <c r="BL113" s="27">
        <v>28764000</v>
      </c>
      <c r="BM113" s="27">
        <v>29902000</v>
      </c>
    </row>
    <row r="114" spans="1:65" ht="12.75">
      <c r="A114" s="98"/>
      <c r="B114" s="156" t="s">
        <v>424</v>
      </c>
      <c r="C114" s="99"/>
      <c r="D114" s="99"/>
      <c r="E114" s="99"/>
      <c r="F114" s="99"/>
      <c r="G114" s="99"/>
      <c r="H114" s="99"/>
      <c r="I114" s="100"/>
      <c r="J114" s="100"/>
      <c r="K114" s="100"/>
      <c r="L114" s="100"/>
      <c r="M114" s="100"/>
      <c r="N114" s="100"/>
      <c r="O114" s="100"/>
      <c r="P114" s="100"/>
      <c r="Q114" s="100"/>
      <c r="R114" s="100"/>
      <c r="S114" s="100"/>
      <c r="T114" s="100"/>
      <c r="U114" s="99"/>
      <c r="V114" s="100"/>
      <c r="W114" s="100"/>
      <c r="X114" s="100"/>
      <c r="Y114" s="100"/>
      <c r="Z114" s="100"/>
      <c r="AA114" s="100"/>
      <c r="AB114" s="100"/>
      <c r="AC114" s="100"/>
      <c r="AD114" s="100"/>
      <c r="AE114" s="100"/>
      <c r="AF114" s="100"/>
      <c r="AG114" s="100"/>
      <c r="AH114" s="100"/>
      <c r="AI114" s="100"/>
      <c r="AJ114" s="100"/>
      <c r="AK114" s="100"/>
      <c r="AL114" s="100"/>
      <c r="AM114" s="100"/>
      <c r="AN114" s="100"/>
      <c r="AO114" s="100"/>
      <c r="AP114" s="100"/>
      <c r="AQ114" s="100"/>
      <c r="AR114" s="100"/>
      <c r="AS114" s="100"/>
      <c r="AT114" s="100"/>
      <c r="AU114" s="100"/>
      <c r="AV114" s="100"/>
      <c r="AW114" s="100"/>
      <c r="AX114" s="100"/>
      <c r="AY114" s="100"/>
      <c r="AZ114" s="100"/>
      <c r="BA114" s="100"/>
      <c r="BB114" s="100"/>
      <c r="BC114" s="100"/>
      <c r="BD114" s="100"/>
      <c r="BE114" s="100"/>
      <c r="BF114" s="100"/>
      <c r="BG114" s="100"/>
      <c r="BH114" s="100"/>
      <c r="BI114" s="100"/>
      <c r="BJ114" s="100"/>
      <c r="BK114" s="100"/>
      <c r="BL114" s="100"/>
      <c r="BM114" s="100"/>
    </row>
    <row r="115" spans="1:65" ht="12.75">
      <c r="A115" s="101"/>
      <c r="B115" s="128"/>
      <c r="C115" s="102"/>
      <c r="D115" s="102"/>
      <c r="E115" s="102"/>
      <c r="F115" s="102"/>
      <c r="G115" s="102"/>
      <c r="H115" s="102"/>
      <c r="I115" s="103"/>
      <c r="J115" s="103"/>
      <c r="K115" s="103"/>
      <c r="L115" s="103"/>
      <c r="M115" s="103"/>
      <c r="N115" s="103"/>
      <c r="O115" s="103"/>
      <c r="P115" s="103"/>
      <c r="Q115" s="103"/>
      <c r="R115" s="103"/>
      <c r="S115" s="103"/>
      <c r="T115" s="103"/>
      <c r="U115" s="102"/>
      <c r="V115" s="103"/>
      <c r="W115" s="103"/>
      <c r="X115" s="103"/>
      <c r="Y115" s="103"/>
      <c r="Z115" s="103"/>
      <c r="AA115" s="103"/>
      <c r="AB115" s="103"/>
      <c r="AC115" s="103"/>
      <c r="AD115" s="103"/>
      <c r="AE115" s="103"/>
      <c r="AF115" s="103"/>
      <c r="AG115" s="103"/>
      <c r="AH115" s="103"/>
      <c r="AI115" s="103"/>
      <c r="AJ115" s="103"/>
      <c r="AK115" s="103"/>
      <c r="AL115" s="103"/>
      <c r="AM115" s="103"/>
      <c r="AN115" s="103"/>
      <c r="AO115" s="103"/>
      <c r="AP115" s="103"/>
      <c r="AQ115" s="103"/>
      <c r="AR115" s="103"/>
      <c r="AS115" s="103"/>
      <c r="AT115" s="103"/>
      <c r="AU115" s="103"/>
      <c r="AV115" s="103"/>
      <c r="AW115" s="103"/>
      <c r="AX115" s="103"/>
      <c r="AY115" s="103"/>
      <c r="AZ115" s="103"/>
      <c r="BA115" s="103"/>
      <c r="BB115" s="103"/>
      <c r="BC115" s="103"/>
      <c r="BD115" s="103"/>
      <c r="BE115" s="103"/>
      <c r="BF115" s="103"/>
      <c r="BG115" s="103"/>
      <c r="BH115" s="103"/>
      <c r="BI115" s="103"/>
      <c r="BJ115" s="103"/>
      <c r="BK115" s="103"/>
      <c r="BL115" s="103"/>
      <c r="BM115" s="103"/>
    </row>
    <row r="116" spans="1:65" ht="12.75">
      <c r="A116" s="104"/>
      <c r="B116" s="157"/>
      <c r="C116" s="105"/>
      <c r="D116" s="105"/>
      <c r="E116" s="105"/>
      <c r="F116" s="105"/>
      <c r="G116" s="105"/>
      <c r="H116" s="105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5"/>
      <c r="V116" s="106"/>
      <c r="W116" s="106"/>
      <c r="X116" s="106"/>
      <c r="Y116" s="106"/>
      <c r="Z116" s="106"/>
      <c r="AA116" s="106"/>
      <c r="AB116" s="106"/>
      <c r="AC116" s="106"/>
      <c r="AD116" s="106"/>
      <c r="AE116" s="106"/>
      <c r="AF116" s="106"/>
      <c r="AG116" s="106"/>
      <c r="AH116" s="106"/>
      <c r="AI116" s="106"/>
      <c r="AJ116" s="106"/>
      <c r="AK116" s="106"/>
      <c r="AL116" s="106"/>
      <c r="AM116" s="106"/>
      <c r="AN116" s="106"/>
      <c r="AO116" s="106"/>
      <c r="AP116" s="106"/>
      <c r="AQ116" s="106"/>
      <c r="AR116" s="106"/>
      <c r="AS116" s="106"/>
      <c r="AT116" s="106"/>
      <c r="AU116" s="106"/>
      <c r="AV116" s="106"/>
      <c r="AW116" s="106"/>
      <c r="AX116" s="106"/>
      <c r="AY116" s="106"/>
      <c r="AZ116" s="106"/>
      <c r="BA116" s="106"/>
      <c r="BB116" s="106"/>
      <c r="BC116" s="106"/>
      <c r="BD116" s="106"/>
      <c r="BE116" s="106"/>
      <c r="BF116" s="106"/>
      <c r="BG116" s="106"/>
      <c r="BH116" s="106"/>
      <c r="BI116" s="106"/>
      <c r="BJ116" s="106"/>
      <c r="BK116" s="106"/>
      <c r="BL116" s="106"/>
      <c r="BM116" s="106"/>
    </row>
    <row r="117" spans="1:65" ht="18">
      <c r="A117" s="16" t="e">
        <f ca="1">_xludf.image("https://lh3.google.com/u/0/d/1CpkzWBYR9_iA8kTMyw-DEy72_yFptv8J",1)</f>
        <v>#NAME?</v>
      </c>
      <c r="B117" s="92" t="s">
        <v>346</v>
      </c>
      <c r="C117" s="147"/>
      <c r="D117" s="145"/>
      <c r="E117" s="146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  <c r="AA117" s="63"/>
      <c r="AB117" s="63"/>
      <c r="AC117" s="63"/>
      <c r="AD117" s="63"/>
      <c r="AE117" s="63"/>
      <c r="AF117" s="63"/>
      <c r="AG117" s="63"/>
      <c r="AH117" s="63"/>
      <c r="AI117" s="63"/>
      <c r="AJ117" s="63"/>
      <c r="AK117" s="63"/>
      <c r="AL117" s="63"/>
      <c r="AM117" s="63"/>
      <c r="AN117" s="63"/>
      <c r="AO117" s="63"/>
      <c r="AP117" s="63"/>
      <c r="AQ117" s="63"/>
      <c r="AR117" s="63"/>
      <c r="AS117" s="63"/>
      <c r="AT117" s="63"/>
      <c r="AU117" s="63"/>
      <c r="AV117" s="63"/>
      <c r="AW117" s="63"/>
      <c r="AX117" s="63"/>
      <c r="AY117" s="63"/>
      <c r="AZ117" s="63"/>
      <c r="BA117" s="63"/>
      <c r="BB117" s="63"/>
      <c r="BC117" s="63"/>
      <c r="BD117" s="63"/>
      <c r="BE117" s="63"/>
      <c r="BF117" s="63"/>
      <c r="BG117" s="63"/>
      <c r="BH117" s="63"/>
      <c r="BI117" s="63"/>
      <c r="BJ117" s="63"/>
      <c r="BK117" s="63"/>
      <c r="BL117" s="63"/>
      <c r="BM117" s="63"/>
    </row>
    <row r="118" spans="1:65" ht="12.75">
      <c r="A118" s="20"/>
      <c r="B118" s="107"/>
      <c r="C118" s="65"/>
      <c r="D118" s="65"/>
      <c r="E118" s="66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</row>
    <row r="119" spans="1:65">
      <c r="A119" s="43"/>
      <c r="B119" s="94" t="s">
        <v>425</v>
      </c>
      <c r="C119" s="26">
        <v>600</v>
      </c>
      <c r="D119" s="26">
        <v>2400</v>
      </c>
      <c r="E119" s="26">
        <v>300</v>
      </c>
      <c r="F119" s="42">
        <v>5</v>
      </c>
      <c r="G119" s="27">
        <v>9750000</v>
      </c>
      <c r="H119" s="27">
        <v>11170000</v>
      </c>
      <c r="I119" s="27">
        <v>9913000</v>
      </c>
      <c r="J119" s="27">
        <v>12023000</v>
      </c>
      <c r="K119" s="27">
        <v>11949000</v>
      </c>
      <c r="L119" s="27">
        <v>10239000</v>
      </c>
      <c r="M119" s="27">
        <v>10647000</v>
      </c>
      <c r="N119" s="27">
        <v>12994000</v>
      </c>
      <c r="O119" s="27">
        <v>13441000</v>
      </c>
      <c r="P119" s="27">
        <v>10917000</v>
      </c>
      <c r="Q119" s="27">
        <v>10615000</v>
      </c>
      <c r="R119" s="27">
        <v>10615000</v>
      </c>
      <c r="S119" s="27">
        <v>13069000</v>
      </c>
      <c r="T119" s="27">
        <v>13828000</v>
      </c>
      <c r="U119" s="42">
        <v>5</v>
      </c>
      <c r="V119" s="27">
        <v>9207000</v>
      </c>
      <c r="W119" s="27">
        <v>10627000</v>
      </c>
      <c r="X119" s="27">
        <v>9370000</v>
      </c>
      <c r="Y119" s="27">
        <v>11480000</v>
      </c>
      <c r="Z119" s="27">
        <v>11406000</v>
      </c>
      <c r="AA119" s="27">
        <v>9696000</v>
      </c>
      <c r="AB119" s="27">
        <v>10104000</v>
      </c>
      <c r="AC119" s="27">
        <v>12451000</v>
      </c>
      <c r="AD119" s="27">
        <v>12898000</v>
      </c>
      <c r="AE119" s="27">
        <v>10374000</v>
      </c>
      <c r="AF119" s="27">
        <v>10072000</v>
      </c>
      <c r="AG119" s="27">
        <v>10072000</v>
      </c>
      <c r="AH119" s="27">
        <v>12525000</v>
      </c>
      <c r="AI119" s="27">
        <v>13285000</v>
      </c>
      <c r="AJ119" s="27">
        <v>2</v>
      </c>
      <c r="AK119" s="27">
        <v>9656000</v>
      </c>
      <c r="AL119" s="27">
        <v>11076000</v>
      </c>
      <c r="AM119" s="27">
        <v>9819000</v>
      </c>
      <c r="AN119" s="27">
        <v>11930000</v>
      </c>
      <c r="AO119" s="27">
        <v>11856000</v>
      </c>
      <c r="AP119" s="27">
        <v>10146000</v>
      </c>
      <c r="AQ119" s="27">
        <v>10554000</v>
      </c>
      <c r="AR119" s="27">
        <v>12901000</v>
      </c>
      <c r="AS119" s="27">
        <v>13347000</v>
      </c>
      <c r="AT119" s="27">
        <v>10823000</v>
      </c>
      <c r="AU119" s="27">
        <v>10521000</v>
      </c>
      <c r="AV119" s="27">
        <v>10521000</v>
      </c>
      <c r="AW119" s="27">
        <v>12975000</v>
      </c>
      <c r="AX119" s="27">
        <v>13734000</v>
      </c>
      <c r="AY119" s="27">
        <v>2</v>
      </c>
      <c r="AZ119" s="27">
        <v>15943000</v>
      </c>
      <c r="BA119" s="27">
        <v>17363000</v>
      </c>
      <c r="BB119" s="27">
        <v>16106000</v>
      </c>
      <c r="BC119" s="27">
        <v>18217000</v>
      </c>
      <c r="BD119" s="27">
        <v>18142000</v>
      </c>
      <c r="BE119" s="27">
        <v>16432000</v>
      </c>
      <c r="BF119" s="27">
        <v>16841000</v>
      </c>
      <c r="BG119" s="27">
        <v>19188000</v>
      </c>
      <c r="BH119" s="27">
        <v>19634000</v>
      </c>
      <c r="BI119" s="27">
        <v>17110000</v>
      </c>
      <c r="BJ119" s="27">
        <v>16808000</v>
      </c>
      <c r="BK119" s="27">
        <v>16808000</v>
      </c>
      <c r="BL119" s="27">
        <v>19262000</v>
      </c>
      <c r="BM119" s="27">
        <v>20021000</v>
      </c>
    </row>
    <row r="120" spans="1:65">
      <c r="A120" s="43"/>
      <c r="B120" s="94" t="s">
        <v>426</v>
      </c>
      <c r="C120" s="26">
        <v>600</v>
      </c>
      <c r="D120" s="26">
        <v>2700</v>
      </c>
      <c r="E120" s="26">
        <v>300</v>
      </c>
      <c r="F120" s="42">
        <v>6</v>
      </c>
      <c r="G120" s="27">
        <v>11009000</v>
      </c>
      <c r="H120" s="27">
        <v>12607000</v>
      </c>
      <c r="I120" s="27">
        <v>11193000</v>
      </c>
      <c r="J120" s="27">
        <v>13567000</v>
      </c>
      <c r="K120" s="27">
        <v>13484000</v>
      </c>
      <c r="L120" s="27">
        <v>11560000</v>
      </c>
      <c r="M120" s="27">
        <v>12019000</v>
      </c>
      <c r="N120" s="27">
        <v>14659000</v>
      </c>
      <c r="O120" s="27">
        <v>15162000</v>
      </c>
      <c r="P120" s="27">
        <v>12322000</v>
      </c>
      <c r="Q120" s="27">
        <v>11982000</v>
      </c>
      <c r="R120" s="27">
        <v>11982000</v>
      </c>
      <c r="S120" s="27">
        <v>14743000</v>
      </c>
      <c r="T120" s="27">
        <v>15597000</v>
      </c>
      <c r="U120" s="42">
        <v>6</v>
      </c>
      <c r="V120" s="27">
        <v>10404000</v>
      </c>
      <c r="W120" s="27">
        <v>12002000</v>
      </c>
      <c r="X120" s="27">
        <v>10587000</v>
      </c>
      <c r="Y120" s="27">
        <v>12962000</v>
      </c>
      <c r="Z120" s="27">
        <v>12879000</v>
      </c>
      <c r="AA120" s="27">
        <v>10955000</v>
      </c>
      <c r="AB120" s="27">
        <v>11414000</v>
      </c>
      <c r="AC120" s="27">
        <v>14054000</v>
      </c>
      <c r="AD120" s="27">
        <v>14556000</v>
      </c>
      <c r="AE120" s="27">
        <v>11717000</v>
      </c>
      <c r="AF120" s="27">
        <v>11377000</v>
      </c>
      <c r="AG120" s="27">
        <v>11377000</v>
      </c>
      <c r="AH120" s="27">
        <v>14138000</v>
      </c>
      <c r="AI120" s="27">
        <v>14992000</v>
      </c>
      <c r="AJ120" s="29"/>
      <c r="AK120" s="29"/>
      <c r="AL120" s="29"/>
      <c r="AM120" s="29"/>
      <c r="AN120" s="29"/>
      <c r="AO120" s="29"/>
      <c r="AP120" s="29"/>
      <c r="AQ120" s="29"/>
      <c r="AR120" s="29"/>
      <c r="AS120" s="29"/>
      <c r="AT120" s="29"/>
      <c r="AU120" s="29"/>
      <c r="AV120" s="29"/>
      <c r="AW120" s="29"/>
      <c r="AX120" s="29"/>
      <c r="AY120" s="42">
        <v>2</v>
      </c>
      <c r="AZ120" s="27">
        <v>17366000</v>
      </c>
      <c r="BA120" s="27">
        <v>18964000</v>
      </c>
      <c r="BB120" s="27">
        <v>17550000</v>
      </c>
      <c r="BC120" s="27">
        <v>19924000</v>
      </c>
      <c r="BD120" s="27">
        <v>19841000</v>
      </c>
      <c r="BE120" s="27">
        <v>17917000</v>
      </c>
      <c r="BF120" s="27">
        <v>18376000</v>
      </c>
      <c r="BG120" s="27">
        <v>21017000</v>
      </c>
      <c r="BH120" s="27">
        <v>21519000</v>
      </c>
      <c r="BI120" s="27">
        <v>18679000</v>
      </c>
      <c r="BJ120" s="27">
        <v>18340000</v>
      </c>
      <c r="BK120" s="27">
        <v>18340000</v>
      </c>
      <c r="BL120" s="27">
        <v>21100000</v>
      </c>
      <c r="BM120" s="27">
        <v>21954000</v>
      </c>
    </row>
    <row r="121" spans="1:65">
      <c r="A121" s="43"/>
      <c r="B121" s="94" t="s">
        <v>427</v>
      </c>
      <c r="C121" s="26">
        <v>600</v>
      </c>
      <c r="D121" s="26">
        <v>2400</v>
      </c>
      <c r="E121" s="26">
        <v>450</v>
      </c>
      <c r="F121" s="42">
        <v>5</v>
      </c>
      <c r="G121" s="27">
        <v>10930000</v>
      </c>
      <c r="H121" s="27">
        <v>13060000</v>
      </c>
      <c r="I121" s="27">
        <v>11175000</v>
      </c>
      <c r="J121" s="27">
        <v>14341000</v>
      </c>
      <c r="K121" s="27">
        <v>14230000</v>
      </c>
      <c r="L121" s="27">
        <v>11664000</v>
      </c>
      <c r="M121" s="27">
        <v>12277000</v>
      </c>
      <c r="N121" s="27">
        <v>15797000</v>
      </c>
      <c r="O121" s="27">
        <v>16467000</v>
      </c>
      <c r="P121" s="27">
        <v>12681000</v>
      </c>
      <c r="Q121" s="27">
        <v>12228000</v>
      </c>
      <c r="R121" s="27">
        <v>12228000</v>
      </c>
      <c r="S121" s="27">
        <v>15908000</v>
      </c>
      <c r="T121" s="27">
        <v>17047000</v>
      </c>
      <c r="U121" s="42">
        <v>5</v>
      </c>
      <c r="V121" s="27">
        <v>10363000</v>
      </c>
      <c r="W121" s="27">
        <v>12494000</v>
      </c>
      <c r="X121" s="27">
        <v>10608000</v>
      </c>
      <c r="Y121" s="27">
        <v>13774000</v>
      </c>
      <c r="Z121" s="27">
        <v>13663000</v>
      </c>
      <c r="AA121" s="27">
        <v>11098000</v>
      </c>
      <c r="AB121" s="27">
        <v>11710000</v>
      </c>
      <c r="AC121" s="27">
        <v>15231000</v>
      </c>
      <c r="AD121" s="27">
        <v>15900000</v>
      </c>
      <c r="AE121" s="27">
        <v>12114000</v>
      </c>
      <c r="AF121" s="27">
        <v>11661000</v>
      </c>
      <c r="AG121" s="27">
        <v>11661000</v>
      </c>
      <c r="AH121" s="27">
        <v>15342000</v>
      </c>
      <c r="AI121" s="27">
        <v>16480000</v>
      </c>
      <c r="AJ121" s="27">
        <v>2</v>
      </c>
      <c r="AK121" s="27">
        <v>10817000</v>
      </c>
      <c r="AL121" s="27">
        <v>12948000</v>
      </c>
      <c r="AM121" s="27">
        <v>11062000</v>
      </c>
      <c r="AN121" s="27">
        <v>14228000</v>
      </c>
      <c r="AO121" s="27">
        <v>14117000</v>
      </c>
      <c r="AP121" s="27">
        <v>11552000</v>
      </c>
      <c r="AQ121" s="27">
        <v>12164000</v>
      </c>
      <c r="AR121" s="27">
        <v>15685000</v>
      </c>
      <c r="AS121" s="27">
        <v>16354000</v>
      </c>
      <c r="AT121" s="27">
        <v>12568000</v>
      </c>
      <c r="AU121" s="27">
        <v>12115000</v>
      </c>
      <c r="AV121" s="27">
        <v>12115000</v>
      </c>
      <c r="AW121" s="27">
        <v>15796000</v>
      </c>
      <c r="AX121" s="27">
        <v>16934000</v>
      </c>
      <c r="AY121" s="27">
        <v>2</v>
      </c>
      <c r="AZ121" s="27">
        <v>17305000</v>
      </c>
      <c r="BA121" s="27">
        <v>19436000</v>
      </c>
      <c r="BB121" s="27">
        <v>17550000</v>
      </c>
      <c r="BC121" s="27">
        <v>20716000</v>
      </c>
      <c r="BD121" s="27">
        <v>20605000</v>
      </c>
      <c r="BE121" s="27">
        <v>18040000</v>
      </c>
      <c r="BF121" s="27">
        <v>18652000</v>
      </c>
      <c r="BG121" s="27">
        <v>22173000</v>
      </c>
      <c r="BH121" s="27">
        <v>22842000</v>
      </c>
      <c r="BI121" s="27">
        <v>19056000</v>
      </c>
      <c r="BJ121" s="27">
        <v>18603000</v>
      </c>
      <c r="BK121" s="27">
        <v>18603000</v>
      </c>
      <c r="BL121" s="27">
        <v>22284000</v>
      </c>
      <c r="BM121" s="27">
        <v>23422000</v>
      </c>
    </row>
    <row r="122" spans="1:65">
      <c r="A122" s="43"/>
      <c r="B122" s="94" t="s">
        <v>428</v>
      </c>
      <c r="C122" s="26">
        <v>600</v>
      </c>
      <c r="D122" s="26">
        <v>2700</v>
      </c>
      <c r="E122" s="26">
        <v>450</v>
      </c>
      <c r="F122" s="42">
        <v>6</v>
      </c>
      <c r="G122" s="27">
        <v>12330000</v>
      </c>
      <c r="H122" s="27">
        <v>14726000</v>
      </c>
      <c r="I122" s="27">
        <v>12605000</v>
      </c>
      <c r="J122" s="27">
        <v>16167000</v>
      </c>
      <c r="K122" s="27">
        <v>16042000</v>
      </c>
      <c r="L122" s="27">
        <v>13156000</v>
      </c>
      <c r="M122" s="27">
        <v>13845000</v>
      </c>
      <c r="N122" s="27">
        <v>17805000</v>
      </c>
      <c r="O122" s="27">
        <v>18559000</v>
      </c>
      <c r="P122" s="27">
        <v>14299000</v>
      </c>
      <c r="Q122" s="27">
        <v>13790000</v>
      </c>
      <c r="R122" s="27">
        <v>13790000</v>
      </c>
      <c r="S122" s="27">
        <v>17930000</v>
      </c>
      <c r="T122" s="27">
        <v>19211000</v>
      </c>
      <c r="U122" s="42">
        <v>6</v>
      </c>
      <c r="V122" s="27">
        <v>11701000</v>
      </c>
      <c r="W122" s="27">
        <v>14098000</v>
      </c>
      <c r="X122" s="27">
        <v>11977000</v>
      </c>
      <c r="Y122" s="27">
        <v>15538000</v>
      </c>
      <c r="Z122" s="27">
        <v>15413000</v>
      </c>
      <c r="AA122" s="27">
        <v>12528000</v>
      </c>
      <c r="AB122" s="27">
        <v>13216000</v>
      </c>
      <c r="AC122" s="27">
        <v>17177000</v>
      </c>
      <c r="AD122" s="27">
        <v>17930000</v>
      </c>
      <c r="AE122" s="27">
        <v>13671000</v>
      </c>
      <c r="AF122" s="27">
        <v>13161000</v>
      </c>
      <c r="AG122" s="27">
        <v>13161000</v>
      </c>
      <c r="AH122" s="27">
        <v>17302000</v>
      </c>
      <c r="AI122" s="27">
        <v>18583000</v>
      </c>
      <c r="AJ122" s="29"/>
      <c r="AK122" s="29"/>
      <c r="AL122" s="29"/>
      <c r="AM122" s="29"/>
      <c r="AN122" s="29"/>
      <c r="AO122" s="29"/>
      <c r="AP122" s="29"/>
      <c r="AQ122" s="29"/>
      <c r="AR122" s="29"/>
      <c r="AS122" s="29"/>
      <c r="AT122" s="29"/>
      <c r="AU122" s="29"/>
      <c r="AV122" s="29"/>
      <c r="AW122" s="29"/>
      <c r="AX122" s="29"/>
      <c r="AY122" s="42">
        <v>2</v>
      </c>
      <c r="AZ122" s="27">
        <v>18869000</v>
      </c>
      <c r="BA122" s="27">
        <v>21266000</v>
      </c>
      <c r="BB122" s="27">
        <v>19145000</v>
      </c>
      <c r="BC122" s="27">
        <v>22707000</v>
      </c>
      <c r="BD122" s="27">
        <v>22582000</v>
      </c>
      <c r="BE122" s="27">
        <v>19696000</v>
      </c>
      <c r="BF122" s="27">
        <v>20385000</v>
      </c>
      <c r="BG122" s="27">
        <v>24345000</v>
      </c>
      <c r="BH122" s="27">
        <v>25098000</v>
      </c>
      <c r="BI122" s="27">
        <v>20839000</v>
      </c>
      <c r="BJ122" s="27">
        <v>20329000</v>
      </c>
      <c r="BK122" s="27">
        <v>20329000</v>
      </c>
      <c r="BL122" s="27">
        <v>24470000</v>
      </c>
      <c r="BM122" s="27">
        <v>25751000</v>
      </c>
    </row>
    <row r="123" spans="1:65">
      <c r="A123" s="43"/>
      <c r="B123" s="94" t="s">
        <v>429</v>
      </c>
      <c r="C123" s="26">
        <v>600</v>
      </c>
      <c r="D123" s="26">
        <v>2400</v>
      </c>
      <c r="E123" s="26">
        <v>600</v>
      </c>
      <c r="F123" s="42">
        <v>5</v>
      </c>
      <c r="G123" s="27">
        <v>12110000</v>
      </c>
      <c r="H123" s="27">
        <v>14951000</v>
      </c>
      <c r="I123" s="27">
        <v>12436000</v>
      </c>
      <c r="J123" s="27">
        <v>16658000</v>
      </c>
      <c r="K123" s="27">
        <v>16510000</v>
      </c>
      <c r="L123" s="27">
        <v>13090000</v>
      </c>
      <c r="M123" s="27">
        <v>13906000</v>
      </c>
      <c r="N123" s="27">
        <v>18600000</v>
      </c>
      <c r="O123" s="27">
        <v>19493000</v>
      </c>
      <c r="P123" s="27">
        <v>14444000</v>
      </c>
      <c r="Q123" s="27">
        <v>13840000</v>
      </c>
      <c r="R123" s="27">
        <v>13840000</v>
      </c>
      <c r="S123" s="27">
        <v>18748000</v>
      </c>
      <c r="T123" s="27">
        <v>20266000</v>
      </c>
      <c r="U123" s="42">
        <v>5</v>
      </c>
      <c r="V123" s="27">
        <v>11520000</v>
      </c>
      <c r="W123" s="27">
        <v>14360000</v>
      </c>
      <c r="X123" s="27">
        <v>11846000</v>
      </c>
      <c r="Y123" s="27">
        <v>16068000</v>
      </c>
      <c r="Z123" s="27">
        <v>15920000</v>
      </c>
      <c r="AA123" s="27">
        <v>12499000</v>
      </c>
      <c r="AB123" s="27">
        <v>13316000</v>
      </c>
      <c r="AC123" s="27">
        <v>18010000</v>
      </c>
      <c r="AD123" s="27">
        <v>18902000</v>
      </c>
      <c r="AE123" s="27">
        <v>13854000</v>
      </c>
      <c r="AF123" s="27">
        <v>13250000</v>
      </c>
      <c r="AG123" s="27">
        <v>13250000</v>
      </c>
      <c r="AH123" s="27">
        <v>18158000</v>
      </c>
      <c r="AI123" s="27">
        <v>19676000</v>
      </c>
      <c r="AJ123" s="27">
        <v>2</v>
      </c>
      <c r="AK123" s="27">
        <v>11979000</v>
      </c>
      <c r="AL123" s="27">
        <v>14820000</v>
      </c>
      <c r="AM123" s="27">
        <v>12305000</v>
      </c>
      <c r="AN123" s="27">
        <v>16527000</v>
      </c>
      <c r="AO123" s="27">
        <v>16379000</v>
      </c>
      <c r="AP123" s="27">
        <v>12958000</v>
      </c>
      <c r="AQ123" s="27">
        <v>13775000</v>
      </c>
      <c r="AR123" s="27">
        <v>18469000</v>
      </c>
      <c r="AS123" s="27">
        <v>19361000</v>
      </c>
      <c r="AT123" s="27">
        <v>14313000</v>
      </c>
      <c r="AU123" s="27">
        <v>13709000</v>
      </c>
      <c r="AV123" s="27">
        <v>13709000</v>
      </c>
      <c r="AW123" s="27">
        <v>18617000</v>
      </c>
      <c r="AX123" s="27">
        <v>20135000</v>
      </c>
      <c r="AY123" s="27">
        <v>2</v>
      </c>
      <c r="AZ123" s="27">
        <v>18668000</v>
      </c>
      <c r="BA123" s="27">
        <v>21509000</v>
      </c>
      <c r="BB123" s="27">
        <v>18994000</v>
      </c>
      <c r="BC123" s="27">
        <v>23216000</v>
      </c>
      <c r="BD123" s="27">
        <v>23068000</v>
      </c>
      <c r="BE123" s="27">
        <v>19647000</v>
      </c>
      <c r="BF123" s="27">
        <v>20464000</v>
      </c>
      <c r="BG123" s="27">
        <v>25158000</v>
      </c>
      <c r="BH123" s="27">
        <v>26050000</v>
      </c>
      <c r="BI123" s="27">
        <v>21002000</v>
      </c>
      <c r="BJ123" s="27">
        <v>20398000</v>
      </c>
      <c r="BK123" s="27">
        <v>20398000</v>
      </c>
      <c r="BL123" s="27">
        <v>25306000</v>
      </c>
      <c r="BM123" s="27">
        <v>26824000</v>
      </c>
    </row>
    <row r="124" spans="1:65">
      <c r="A124" s="43"/>
      <c r="B124" s="94" t="s">
        <v>430</v>
      </c>
      <c r="C124" s="96">
        <v>600</v>
      </c>
      <c r="D124" s="96">
        <v>2700</v>
      </c>
      <c r="E124" s="96">
        <v>600</v>
      </c>
      <c r="F124" s="42">
        <v>6</v>
      </c>
      <c r="G124" s="27">
        <v>13650000</v>
      </c>
      <c r="H124" s="27">
        <v>16846000</v>
      </c>
      <c r="I124" s="27">
        <v>14018000</v>
      </c>
      <c r="J124" s="27">
        <v>18767000</v>
      </c>
      <c r="K124" s="27">
        <v>18600000</v>
      </c>
      <c r="L124" s="27">
        <v>14752000</v>
      </c>
      <c r="M124" s="27">
        <v>15671000</v>
      </c>
      <c r="N124" s="27">
        <v>20951000</v>
      </c>
      <c r="O124" s="27">
        <v>21956000</v>
      </c>
      <c r="P124" s="27">
        <v>16277000</v>
      </c>
      <c r="Q124" s="27">
        <v>15597000</v>
      </c>
      <c r="R124" s="27">
        <v>15597000</v>
      </c>
      <c r="S124" s="27">
        <v>21118000</v>
      </c>
      <c r="T124" s="27">
        <v>22826000</v>
      </c>
      <c r="U124" s="42">
        <v>6</v>
      </c>
      <c r="V124" s="27">
        <v>12998000</v>
      </c>
      <c r="W124" s="27">
        <v>16194000</v>
      </c>
      <c r="X124" s="27">
        <v>13366000</v>
      </c>
      <c r="Y124" s="27">
        <v>18115000</v>
      </c>
      <c r="Z124" s="27">
        <v>17948000</v>
      </c>
      <c r="AA124" s="27">
        <v>14100000</v>
      </c>
      <c r="AB124" s="27">
        <v>15019000</v>
      </c>
      <c r="AC124" s="27">
        <v>20299000</v>
      </c>
      <c r="AD124" s="27">
        <v>21304000</v>
      </c>
      <c r="AE124" s="27">
        <v>15624000</v>
      </c>
      <c r="AF124" s="27">
        <v>14945000</v>
      </c>
      <c r="AG124" s="27">
        <v>14945000</v>
      </c>
      <c r="AH124" s="27">
        <v>20466000</v>
      </c>
      <c r="AI124" s="27">
        <v>22174000</v>
      </c>
      <c r="AJ124" s="29"/>
      <c r="AK124" s="29"/>
      <c r="AL124" s="29"/>
      <c r="AM124" s="29"/>
      <c r="AN124" s="29"/>
      <c r="AO124" s="29"/>
      <c r="AP124" s="29"/>
      <c r="AQ124" s="29"/>
      <c r="AR124" s="29"/>
      <c r="AS124" s="29"/>
      <c r="AT124" s="29"/>
      <c r="AU124" s="29"/>
      <c r="AV124" s="29"/>
      <c r="AW124" s="29"/>
      <c r="AX124" s="29"/>
      <c r="AY124" s="42">
        <v>2</v>
      </c>
      <c r="AZ124" s="27">
        <v>20373000</v>
      </c>
      <c r="BA124" s="27">
        <v>23568000</v>
      </c>
      <c r="BB124" s="27">
        <v>20740000</v>
      </c>
      <c r="BC124" s="27">
        <v>25489000</v>
      </c>
      <c r="BD124" s="27">
        <v>25322000</v>
      </c>
      <c r="BE124" s="27">
        <v>21475000</v>
      </c>
      <c r="BF124" s="27">
        <v>22393000</v>
      </c>
      <c r="BG124" s="27">
        <v>27674000</v>
      </c>
      <c r="BH124" s="27">
        <v>28678000</v>
      </c>
      <c r="BI124" s="27">
        <v>22999000</v>
      </c>
      <c r="BJ124" s="27">
        <v>22319000</v>
      </c>
      <c r="BK124" s="27">
        <v>22319000</v>
      </c>
      <c r="BL124" s="27">
        <v>27840000</v>
      </c>
      <c r="BM124" s="27">
        <v>29548000</v>
      </c>
    </row>
    <row r="125" spans="1:65" ht="18">
      <c r="A125" s="16" t="e">
        <f ca="1">_xludf.image("https://lh3.google.com/u/0/d/1-XwB0PhX9Zh4uiMcCIduGlGeWgy5y8ZE",1)</f>
        <v>#NAME?</v>
      </c>
      <c r="B125" s="92" t="s">
        <v>374</v>
      </c>
      <c r="C125" s="147"/>
      <c r="D125" s="145"/>
      <c r="E125" s="146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  <c r="AA125" s="63"/>
      <c r="AB125" s="63"/>
      <c r="AC125" s="63"/>
      <c r="AD125" s="63"/>
      <c r="AE125" s="63"/>
      <c r="AF125" s="63"/>
      <c r="AG125" s="63"/>
      <c r="AH125" s="63"/>
      <c r="AI125" s="63"/>
      <c r="AJ125" s="63"/>
      <c r="AK125" s="63"/>
      <c r="AL125" s="63"/>
      <c r="AM125" s="63"/>
      <c r="AN125" s="63"/>
      <c r="AO125" s="63"/>
      <c r="AP125" s="63"/>
      <c r="AQ125" s="63"/>
      <c r="AR125" s="63"/>
      <c r="AS125" s="63"/>
      <c r="AT125" s="63"/>
      <c r="AU125" s="63"/>
      <c r="AV125" s="63"/>
      <c r="AW125" s="63"/>
      <c r="AX125" s="63"/>
      <c r="AY125" s="63"/>
      <c r="AZ125" s="63"/>
      <c r="BA125" s="63"/>
      <c r="BB125" s="63"/>
      <c r="BC125" s="63"/>
      <c r="BD125" s="63"/>
      <c r="BE125" s="63"/>
      <c r="BF125" s="63"/>
      <c r="BG125" s="63"/>
      <c r="BH125" s="63"/>
      <c r="BI125" s="63"/>
      <c r="BJ125" s="63"/>
      <c r="BK125" s="63"/>
      <c r="BL125" s="63"/>
      <c r="BM125" s="63"/>
    </row>
    <row r="126" spans="1:65" ht="12.75">
      <c r="A126" s="20"/>
      <c r="B126" s="107"/>
      <c r="C126" s="65"/>
      <c r="D126" s="65"/>
      <c r="E126" s="66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</row>
    <row r="127" spans="1:65">
      <c r="A127" s="43"/>
      <c r="B127" s="94" t="s">
        <v>375</v>
      </c>
      <c r="C127" s="26">
        <v>600</v>
      </c>
      <c r="D127" s="26">
        <v>2400</v>
      </c>
      <c r="E127" s="26">
        <v>1200</v>
      </c>
      <c r="F127" s="42">
        <v>5</v>
      </c>
      <c r="G127" s="27">
        <v>15070000</v>
      </c>
      <c r="H127" s="27">
        <v>17911000</v>
      </c>
      <c r="I127" s="27">
        <v>15397000</v>
      </c>
      <c r="J127" s="27">
        <v>19618000</v>
      </c>
      <c r="K127" s="27">
        <v>19470000</v>
      </c>
      <c r="L127" s="27">
        <v>16050000</v>
      </c>
      <c r="M127" s="27">
        <v>16866000</v>
      </c>
      <c r="N127" s="27">
        <v>21560000</v>
      </c>
      <c r="O127" s="27">
        <v>22453000</v>
      </c>
      <c r="P127" s="27">
        <v>17405000</v>
      </c>
      <c r="Q127" s="27">
        <v>16801000</v>
      </c>
      <c r="R127" s="27">
        <v>16801000</v>
      </c>
      <c r="S127" s="27">
        <v>21708000</v>
      </c>
      <c r="T127" s="27">
        <v>23226000</v>
      </c>
      <c r="U127" s="42">
        <v>5</v>
      </c>
      <c r="V127" s="27">
        <v>14480000</v>
      </c>
      <c r="W127" s="27">
        <v>17321000</v>
      </c>
      <c r="X127" s="27">
        <v>14807000</v>
      </c>
      <c r="Y127" s="27">
        <v>19028000</v>
      </c>
      <c r="Z127" s="27">
        <v>18880000</v>
      </c>
      <c r="AA127" s="27">
        <v>15460000</v>
      </c>
      <c r="AB127" s="27">
        <v>16276000</v>
      </c>
      <c r="AC127" s="27">
        <v>20970000</v>
      </c>
      <c r="AD127" s="27">
        <v>21863000</v>
      </c>
      <c r="AE127" s="27">
        <v>16814000</v>
      </c>
      <c r="AF127" s="27">
        <v>16211000</v>
      </c>
      <c r="AG127" s="27">
        <v>16211000</v>
      </c>
      <c r="AH127" s="27">
        <v>21118000</v>
      </c>
      <c r="AI127" s="27">
        <v>22636000</v>
      </c>
      <c r="AJ127" s="27">
        <v>2</v>
      </c>
      <c r="AK127" s="27">
        <v>16625000</v>
      </c>
      <c r="AL127" s="27">
        <v>22306000</v>
      </c>
      <c r="AM127" s="27">
        <v>17278000</v>
      </c>
      <c r="AN127" s="27">
        <v>25721000</v>
      </c>
      <c r="AO127" s="27">
        <v>25424000</v>
      </c>
      <c r="AP127" s="27">
        <v>18584000</v>
      </c>
      <c r="AQ127" s="27">
        <v>20216000</v>
      </c>
      <c r="AR127" s="27">
        <v>29604000</v>
      </c>
      <c r="AS127" s="27">
        <v>31390000</v>
      </c>
      <c r="AT127" s="27">
        <v>21294000</v>
      </c>
      <c r="AU127" s="27">
        <v>20086000</v>
      </c>
      <c r="AV127" s="27">
        <v>20086000</v>
      </c>
      <c r="AW127" s="27">
        <v>29901000</v>
      </c>
      <c r="AX127" s="27">
        <v>32937000</v>
      </c>
      <c r="AY127" s="27">
        <v>2</v>
      </c>
      <c r="AZ127" s="27">
        <v>24118000</v>
      </c>
      <c r="BA127" s="27">
        <v>29800000</v>
      </c>
      <c r="BB127" s="27">
        <v>24772000</v>
      </c>
      <c r="BC127" s="27">
        <v>33214000</v>
      </c>
      <c r="BD127" s="27">
        <v>32918000</v>
      </c>
      <c r="BE127" s="27">
        <v>26078000</v>
      </c>
      <c r="BF127" s="27">
        <v>27710000</v>
      </c>
      <c r="BG127" s="27">
        <v>37098000</v>
      </c>
      <c r="BH127" s="27">
        <v>38884000</v>
      </c>
      <c r="BI127" s="27">
        <v>28787000</v>
      </c>
      <c r="BJ127" s="27">
        <v>27579000</v>
      </c>
      <c r="BK127" s="27">
        <v>27579000</v>
      </c>
      <c r="BL127" s="27">
        <v>37394000</v>
      </c>
      <c r="BM127" s="27">
        <v>40431000</v>
      </c>
    </row>
    <row r="128" spans="1:65">
      <c r="A128" s="43"/>
      <c r="B128" s="94" t="s">
        <v>376</v>
      </c>
      <c r="C128" s="26">
        <v>600</v>
      </c>
      <c r="D128" s="26">
        <v>2700</v>
      </c>
      <c r="E128" s="26">
        <v>1200</v>
      </c>
      <c r="F128" s="42">
        <v>6</v>
      </c>
      <c r="G128" s="27">
        <v>17022000</v>
      </c>
      <c r="H128" s="27">
        <v>20218000</v>
      </c>
      <c r="I128" s="27">
        <v>17389000</v>
      </c>
      <c r="J128" s="27">
        <v>22138000</v>
      </c>
      <c r="K128" s="27">
        <v>21972000</v>
      </c>
      <c r="L128" s="27">
        <v>18124000</v>
      </c>
      <c r="M128" s="27">
        <v>19042000</v>
      </c>
      <c r="N128" s="27">
        <v>24323000</v>
      </c>
      <c r="O128" s="27">
        <v>25327000</v>
      </c>
      <c r="P128" s="27">
        <v>19648000</v>
      </c>
      <c r="Q128" s="27">
        <v>18969000</v>
      </c>
      <c r="R128" s="27">
        <v>18969000</v>
      </c>
      <c r="S128" s="27">
        <v>24490000</v>
      </c>
      <c r="T128" s="27">
        <v>26198000</v>
      </c>
      <c r="U128" s="42">
        <v>6</v>
      </c>
      <c r="V128" s="27">
        <v>16370000</v>
      </c>
      <c r="W128" s="27">
        <v>19566000</v>
      </c>
      <c r="X128" s="27">
        <v>16737000</v>
      </c>
      <c r="Y128" s="27">
        <v>21486000</v>
      </c>
      <c r="Z128" s="27">
        <v>21320000</v>
      </c>
      <c r="AA128" s="27">
        <v>17472000</v>
      </c>
      <c r="AB128" s="27">
        <v>18390000</v>
      </c>
      <c r="AC128" s="27">
        <v>23671000</v>
      </c>
      <c r="AD128" s="27">
        <v>24675000</v>
      </c>
      <c r="AE128" s="27">
        <v>18996000</v>
      </c>
      <c r="AF128" s="27">
        <v>18317000</v>
      </c>
      <c r="AG128" s="27">
        <v>18317000</v>
      </c>
      <c r="AH128" s="27">
        <v>23838000</v>
      </c>
      <c r="AI128" s="27">
        <v>25545000</v>
      </c>
      <c r="AJ128" s="29"/>
      <c r="AK128" s="29"/>
      <c r="AL128" s="29"/>
      <c r="AM128" s="29"/>
      <c r="AN128" s="29"/>
      <c r="AO128" s="29"/>
      <c r="AP128" s="29"/>
      <c r="AQ128" s="29"/>
      <c r="AR128" s="29"/>
      <c r="AS128" s="29"/>
      <c r="AT128" s="29"/>
      <c r="AU128" s="29"/>
      <c r="AV128" s="29"/>
      <c r="AW128" s="29"/>
      <c r="AX128" s="29"/>
      <c r="AY128" s="27">
        <v>2</v>
      </c>
      <c r="AZ128" s="27">
        <v>26386000</v>
      </c>
      <c r="BA128" s="27">
        <v>32777000</v>
      </c>
      <c r="BB128" s="27">
        <v>27120000</v>
      </c>
      <c r="BC128" s="27">
        <v>36618000</v>
      </c>
      <c r="BD128" s="27">
        <v>36285000</v>
      </c>
      <c r="BE128" s="27">
        <v>28590000</v>
      </c>
      <c r="BF128" s="27">
        <v>30426000</v>
      </c>
      <c r="BG128" s="27">
        <v>40988000</v>
      </c>
      <c r="BH128" s="27">
        <v>42996000</v>
      </c>
      <c r="BI128" s="27">
        <v>31638000</v>
      </c>
      <c r="BJ128" s="27">
        <v>30279000</v>
      </c>
      <c r="BK128" s="27">
        <v>30279000</v>
      </c>
      <c r="BL128" s="27">
        <v>41321000</v>
      </c>
      <c r="BM128" s="27">
        <v>44737000</v>
      </c>
    </row>
  </sheetData>
  <mergeCells count="22">
    <mergeCell ref="A1:B1"/>
    <mergeCell ref="C6:E6"/>
    <mergeCell ref="F6:T6"/>
    <mergeCell ref="U6:AI6"/>
    <mergeCell ref="AJ6:AX6"/>
    <mergeCell ref="AY6:BM6"/>
    <mergeCell ref="B9:E9"/>
    <mergeCell ref="C64:E64"/>
    <mergeCell ref="C70:E70"/>
    <mergeCell ref="C81:E81"/>
    <mergeCell ref="C8:E8"/>
    <mergeCell ref="C22:E22"/>
    <mergeCell ref="B23:E23"/>
    <mergeCell ref="C36:E36"/>
    <mergeCell ref="B37:E37"/>
    <mergeCell ref="C50:E50"/>
    <mergeCell ref="B51:E51"/>
    <mergeCell ref="C92:E92"/>
    <mergeCell ref="C103:E103"/>
    <mergeCell ref="B114:B116"/>
    <mergeCell ref="C117:E117"/>
    <mergeCell ref="C125:E12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I972"/>
  <sheetViews>
    <sheetView workbookViewId="0">
      <pane ySplit="6" topLeftCell="A334" activePane="bottomLeft" state="frozen"/>
      <selection pane="bottomLeft" activeCell="C31" sqref="C31:E31"/>
    </sheetView>
  </sheetViews>
  <sheetFormatPr defaultColWidth="12.5703125" defaultRowHeight="15.75" customHeight="1"/>
  <cols>
    <col min="2" max="2" width="40.140625" customWidth="1"/>
    <col min="3" max="5" width="6.42578125" customWidth="1"/>
    <col min="6" max="9" width="16.42578125" customWidth="1"/>
  </cols>
  <sheetData>
    <row r="1" spans="1:9" ht="30">
      <c r="A1" s="1" t="s">
        <v>0</v>
      </c>
      <c r="B1" s="58"/>
      <c r="C1" s="2"/>
      <c r="D1" s="2"/>
      <c r="E1" s="2"/>
    </row>
    <row r="2" spans="1:9" ht="31.5">
      <c r="A2" s="108" t="s">
        <v>431</v>
      </c>
      <c r="B2" s="83"/>
      <c r="C2" s="4"/>
      <c r="D2" s="4"/>
      <c r="E2" s="4"/>
    </row>
    <row r="3" spans="1:9" ht="18">
      <c r="A3" s="5" t="s">
        <v>2</v>
      </c>
      <c r="B3" s="4"/>
      <c r="C3" s="4"/>
      <c r="D3" s="4"/>
      <c r="E3" s="4"/>
    </row>
    <row r="4" spans="1:9" ht="18.75">
      <c r="A4" s="5" t="s">
        <v>3</v>
      </c>
      <c r="B4" s="4"/>
      <c r="C4" s="4"/>
      <c r="D4" s="4"/>
      <c r="E4" s="4"/>
      <c r="F4" s="131" t="s">
        <v>432</v>
      </c>
      <c r="G4" s="128"/>
      <c r="H4" s="128"/>
      <c r="I4" s="128"/>
    </row>
    <row r="5" spans="1:9" ht="35.25" customHeight="1">
      <c r="A5" s="9"/>
      <c r="B5" s="61"/>
      <c r="C5" s="132" t="s">
        <v>7</v>
      </c>
      <c r="D5" s="133"/>
      <c r="E5" s="134"/>
      <c r="F5" s="11" t="s">
        <v>9</v>
      </c>
      <c r="G5" s="11" t="s">
        <v>10</v>
      </c>
      <c r="H5" s="11" t="s">
        <v>11</v>
      </c>
      <c r="I5" s="68" t="s">
        <v>12</v>
      </c>
    </row>
    <row r="6" spans="1:9">
      <c r="A6" s="12"/>
      <c r="B6" s="14" t="s">
        <v>49</v>
      </c>
      <c r="C6" s="14" t="s">
        <v>50</v>
      </c>
      <c r="D6" s="14" t="s">
        <v>51</v>
      </c>
      <c r="E6" s="14" t="s">
        <v>52</v>
      </c>
      <c r="F6" s="72"/>
      <c r="G6" s="72"/>
      <c r="H6" s="72"/>
      <c r="I6" s="72"/>
    </row>
    <row r="7" spans="1:9" ht="18">
      <c r="A7" s="16" t="e">
        <f ca="1">_xludf.image("https://lh3.google.com/u/0/d/1d3VjBgMhweLSAM_DoKiuIOIvGkLyqjLy",1)</f>
        <v>#NAME?</v>
      </c>
      <c r="B7" s="92" t="s">
        <v>55</v>
      </c>
      <c r="C7" s="147"/>
      <c r="D7" s="145"/>
      <c r="E7" s="146"/>
      <c r="F7" s="63"/>
      <c r="G7" s="63"/>
      <c r="H7" s="63"/>
      <c r="I7" s="63"/>
    </row>
    <row r="8" spans="1:9" ht="12.75">
      <c r="A8" s="20" t="e">
        <f ca="1">_xludf.image("https://lh3.google.com/u/0/d/1WRHe4YvjzdHw6JYGIv4mptJC1daEep3u",1)</f>
        <v>#NAME?</v>
      </c>
      <c r="B8" s="159" t="s">
        <v>56</v>
      </c>
      <c r="C8" s="136"/>
      <c r="D8" s="136"/>
      <c r="E8" s="137"/>
      <c r="F8" s="22"/>
      <c r="G8" s="22"/>
      <c r="H8" s="22"/>
      <c r="I8" s="22"/>
    </row>
    <row r="9" spans="1:9">
      <c r="A9" s="24"/>
      <c r="B9" s="94" t="s">
        <v>57</v>
      </c>
      <c r="C9" s="26">
        <v>620</v>
      </c>
      <c r="D9" s="26">
        <v>740</v>
      </c>
      <c r="E9" s="26">
        <v>380</v>
      </c>
      <c r="F9" s="27">
        <v>3764000</v>
      </c>
      <c r="G9" s="27">
        <v>4809000</v>
      </c>
      <c r="H9" s="27">
        <v>4866000</v>
      </c>
      <c r="I9" s="27">
        <v>5896000</v>
      </c>
    </row>
    <row r="10" spans="1:9">
      <c r="A10" s="24"/>
      <c r="B10" s="94" t="s">
        <v>58</v>
      </c>
      <c r="C10" s="26">
        <v>620</v>
      </c>
      <c r="D10" s="26">
        <v>740</v>
      </c>
      <c r="E10" s="26">
        <v>530</v>
      </c>
      <c r="F10" s="27">
        <v>4761000</v>
      </c>
      <c r="G10" s="27">
        <v>6329000</v>
      </c>
      <c r="H10" s="27">
        <v>6346000</v>
      </c>
      <c r="I10" s="27">
        <v>7892000</v>
      </c>
    </row>
    <row r="11" spans="1:9">
      <c r="A11" s="24"/>
      <c r="B11" s="94" t="s">
        <v>59</v>
      </c>
      <c r="C11" s="26">
        <v>620</v>
      </c>
      <c r="D11" s="26">
        <v>740</v>
      </c>
      <c r="E11" s="26">
        <v>680</v>
      </c>
      <c r="F11" s="27">
        <v>5784000</v>
      </c>
      <c r="G11" s="27">
        <v>7874000</v>
      </c>
      <c r="H11" s="27">
        <v>7852000</v>
      </c>
      <c r="I11" s="27">
        <v>9913000</v>
      </c>
    </row>
    <row r="12" spans="1:9">
      <c r="A12" s="24"/>
      <c r="B12" s="94" t="s">
        <v>60</v>
      </c>
      <c r="C12" s="26">
        <v>620</v>
      </c>
      <c r="D12" s="26">
        <v>740</v>
      </c>
      <c r="E12" s="26">
        <v>980</v>
      </c>
      <c r="F12" s="27">
        <v>8153000</v>
      </c>
      <c r="G12" s="27">
        <v>11288000</v>
      </c>
      <c r="H12" s="27">
        <v>11187000</v>
      </c>
      <c r="I12" s="27">
        <v>14278000</v>
      </c>
    </row>
    <row r="13" spans="1:9">
      <c r="A13" s="24"/>
      <c r="B13" s="94" t="s">
        <v>61</v>
      </c>
      <c r="C13" s="26">
        <v>620</v>
      </c>
      <c r="D13" s="26">
        <v>740</v>
      </c>
      <c r="E13" s="26">
        <v>1130</v>
      </c>
      <c r="F13" s="27">
        <v>9308000</v>
      </c>
      <c r="G13" s="27">
        <v>12965000</v>
      </c>
      <c r="H13" s="27">
        <v>12825000</v>
      </c>
      <c r="I13" s="27">
        <v>16431000</v>
      </c>
    </row>
    <row r="14" spans="1:9">
      <c r="A14" s="31"/>
      <c r="B14" s="109" t="s">
        <v>62</v>
      </c>
      <c r="C14" s="33">
        <v>320</v>
      </c>
      <c r="D14" s="33">
        <v>740</v>
      </c>
      <c r="E14" s="33">
        <v>380</v>
      </c>
      <c r="F14" s="34">
        <v>3080000</v>
      </c>
      <c r="G14" s="34">
        <v>4125000</v>
      </c>
      <c r="H14" s="34">
        <v>4182000</v>
      </c>
      <c r="I14" s="34">
        <v>5212000</v>
      </c>
    </row>
    <row r="15" spans="1:9">
      <c r="A15" s="31"/>
      <c r="B15" s="109" t="s">
        <v>63</v>
      </c>
      <c r="C15" s="33">
        <v>320</v>
      </c>
      <c r="D15" s="33">
        <v>740</v>
      </c>
      <c r="E15" s="33">
        <v>530</v>
      </c>
      <c r="F15" s="38">
        <v>3957000</v>
      </c>
      <c r="G15" s="38">
        <v>5525000</v>
      </c>
      <c r="H15" s="38">
        <v>5542000</v>
      </c>
      <c r="I15" s="38">
        <v>7088000</v>
      </c>
    </row>
    <row r="16" spans="1:9">
      <c r="A16" s="31"/>
      <c r="B16" s="109" t="s">
        <v>64</v>
      </c>
      <c r="C16" s="33">
        <v>320</v>
      </c>
      <c r="D16" s="33">
        <v>740</v>
      </c>
      <c r="E16" s="33">
        <v>680</v>
      </c>
      <c r="F16" s="34">
        <v>4860000</v>
      </c>
      <c r="G16" s="34">
        <v>6950000</v>
      </c>
      <c r="H16" s="34">
        <v>6928000</v>
      </c>
      <c r="I16" s="34">
        <v>8989000</v>
      </c>
    </row>
    <row r="17" spans="1:9">
      <c r="A17" s="31"/>
      <c r="B17" s="109" t="s">
        <v>65</v>
      </c>
      <c r="C17" s="33">
        <v>320</v>
      </c>
      <c r="D17" s="33">
        <v>740</v>
      </c>
      <c r="E17" s="33">
        <v>980</v>
      </c>
      <c r="F17" s="34">
        <v>6988000</v>
      </c>
      <c r="G17" s="34">
        <v>10123000</v>
      </c>
      <c r="H17" s="34">
        <v>10022000</v>
      </c>
      <c r="I17" s="34">
        <v>13113000</v>
      </c>
    </row>
    <row r="18" spans="1:9">
      <c r="A18" s="24"/>
      <c r="B18" s="94" t="s">
        <v>66</v>
      </c>
      <c r="C18" s="26">
        <v>620</v>
      </c>
      <c r="D18" s="26">
        <v>1095</v>
      </c>
      <c r="E18" s="26">
        <v>380</v>
      </c>
      <c r="F18" s="42">
        <v>5143000</v>
      </c>
      <c r="G18" s="42">
        <v>6751000</v>
      </c>
      <c r="H18" s="42">
        <v>6801000</v>
      </c>
      <c r="I18" s="42">
        <v>8385000</v>
      </c>
    </row>
    <row r="19" spans="1:9">
      <c r="A19" s="43"/>
      <c r="B19" s="94" t="s">
        <v>67</v>
      </c>
      <c r="C19" s="26">
        <v>620</v>
      </c>
      <c r="D19" s="26">
        <v>1095</v>
      </c>
      <c r="E19" s="26">
        <v>530</v>
      </c>
      <c r="F19" s="42">
        <v>6481000</v>
      </c>
      <c r="G19" s="42">
        <v>8892000</v>
      </c>
      <c r="H19" s="42">
        <v>8866000</v>
      </c>
      <c r="I19" s="42">
        <v>11243000</v>
      </c>
    </row>
    <row r="20" spans="1:9">
      <c r="A20" s="43"/>
      <c r="B20" s="94" t="s">
        <v>68</v>
      </c>
      <c r="C20" s="26">
        <v>620</v>
      </c>
      <c r="D20" s="26">
        <v>1095</v>
      </c>
      <c r="E20" s="26">
        <v>680</v>
      </c>
      <c r="F20" s="42">
        <v>7843000</v>
      </c>
      <c r="G20" s="42">
        <v>11058000</v>
      </c>
      <c r="H20" s="42">
        <v>10957000</v>
      </c>
      <c r="I20" s="42">
        <v>14126000</v>
      </c>
    </row>
    <row r="21" spans="1:9">
      <c r="A21" s="43"/>
      <c r="B21" s="94" t="s">
        <v>69</v>
      </c>
      <c r="C21" s="26">
        <v>620</v>
      </c>
      <c r="D21" s="26">
        <v>1095</v>
      </c>
      <c r="E21" s="26">
        <v>980</v>
      </c>
      <c r="F21" s="42">
        <v>11070000</v>
      </c>
      <c r="G21" s="42">
        <v>15892000</v>
      </c>
      <c r="H21" s="42">
        <v>15639000</v>
      </c>
      <c r="I21" s="42">
        <v>20393000</v>
      </c>
    </row>
    <row r="22" spans="1:9">
      <c r="A22" s="31"/>
      <c r="B22" s="109" t="s">
        <v>70</v>
      </c>
      <c r="C22" s="33">
        <v>320</v>
      </c>
      <c r="D22" s="33">
        <v>1095</v>
      </c>
      <c r="E22" s="33">
        <v>380</v>
      </c>
      <c r="F22" s="34">
        <v>4270000</v>
      </c>
      <c r="G22" s="34">
        <v>5878000</v>
      </c>
      <c r="H22" s="34">
        <v>5928000</v>
      </c>
      <c r="I22" s="34">
        <v>7512000</v>
      </c>
    </row>
    <row r="23" spans="1:9">
      <c r="A23" s="31"/>
      <c r="B23" s="109" t="s">
        <v>71</v>
      </c>
      <c r="C23" s="33">
        <v>320</v>
      </c>
      <c r="D23" s="33">
        <v>1095</v>
      </c>
      <c r="E23" s="33">
        <v>530</v>
      </c>
      <c r="F23" s="34">
        <v>5488000</v>
      </c>
      <c r="G23" s="34">
        <v>7899000</v>
      </c>
      <c r="H23" s="34">
        <v>7873000</v>
      </c>
      <c r="I23" s="34">
        <v>10250000</v>
      </c>
    </row>
    <row r="24" spans="1:9">
      <c r="A24" s="31"/>
      <c r="B24" s="109" t="s">
        <v>72</v>
      </c>
      <c r="C24" s="33">
        <v>320</v>
      </c>
      <c r="D24" s="33">
        <v>1095</v>
      </c>
      <c r="E24" s="33">
        <v>680</v>
      </c>
      <c r="F24" s="34">
        <v>6730000</v>
      </c>
      <c r="G24" s="34">
        <v>9945000</v>
      </c>
      <c r="H24" s="34">
        <v>9844000</v>
      </c>
      <c r="I24" s="34">
        <v>13013000</v>
      </c>
    </row>
    <row r="25" spans="1:9">
      <c r="A25" s="31"/>
      <c r="B25" s="109" t="s">
        <v>73</v>
      </c>
      <c r="C25" s="33">
        <v>320</v>
      </c>
      <c r="D25" s="33">
        <v>1095</v>
      </c>
      <c r="E25" s="33">
        <v>980</v>
      </c>
      <c r="F25" s="34">
        <v>9716000</v>
      </c>
      <c r="G25" s="34">
        <v>14538000</v>
      </c>
      <c r="H25" s="34">
        <v>14285000</v>
      </c>
      <c r="I25" s="34">
        <v>19039000</v>
      </c>
    </row>
    <row r="26" spans="1:9">
      <c r="A26" s="43"/>
      <c r="B26" s="94" t="s">
        <v>74</v>
      </c>
      <c r="C26" s="26">
        <v>620</v>
      </c>
      <c r="D26" s="26">
        <v>600</v>
      </c>
      <c r="E26" s="26">
        <v>380</v>
      </c>
      <c r="F26" s="42">
        <v>3290000</v>
      </c>
      <c r="G26" s="42">
        <v>4113000</v>
      </c>
      <c r="H26" s="42">
        <v>4173000</v>
      </c>
      <c r="I26" s="42">
        <v>4985000</v>
      </c>
    </row>
    <row r="27" spans="1:9">
      <c r="A27" s="43"/>
      <c r="B27" s="94" t="s">
        <v>75</v>
      </c>
      <c r="C27" s="26">
        <v>620</v>
      </c>
      <c r="D27" s="26">
        <v>600</v>
      </c>
      <c r="E27" s="26">
        <v>530</v>
      </c>
      <c r="F27" s="42">
        <v>4153000</v>
      </c>
      <c r="G27" s="42">
        <v>5388000</v>
      </c>
      <c r="H27" s="42">
        <v>5423000</v>
      </c>
      <c r="I27" s="42">
        <v>6640000</v>
      </c>
    </row>
    <row r="28" spans="1:9">
      <c r="A28" s="43"/>
      <c r="B28" s="94" t="s">
        <v>76</v>
      </c>
      <c r="C28" s="26">
        <v>620</v>
      </c>
      <c r="D28" s="26">
        <v>600</v>
      </c>
      <c r="E28" s="26">
        <v>680</v>
      </c>
      <c r="F28" s="42">
        <v>5043000</v>
      </c>
      <c r="G28" s="42">
        <v>6689000</v>
      </c>
      <c r="H28" s="42">
        <v>6699000</v>
      </c>
      <c r="I28" s="42">
        <v>8322000</v>
      </c>
    </row>
    <row r="29" spans="1:9">
      <c r="A29" s="43"/>
      <c r="B29" s="94" t="s">
        <v>77</v>
      </c>
      <c r="C29" s="26">
        <v>620</v>
      </c>
      <c r="D29" s="26">
        <v>600</v>
      </c>
      <c r="E29" s="26">
        <v>980</v>
      </c>
      <c r="F29" s="42">
        <v>7144000</v>
      </c>
      <c r="G29" s="42">
        <v>9614000</v>
      </c>
      <c r="H29" s="42">
        <v>9572000</v>
      </c>
      <c r="I29" s="42">
        <v>12008000</v>
      </c>
    </row>
    <row r="30" spans="1:9">
      <c r="A30" s="43"/>
      <c r="B30" s="94" t="s">
        <v>78</v>
      </c>
      <c r="C30" s="26">
        <v>620</v>
      </c>
      <c r="D30" s="26">
        <v>600</v>
      </c>
      <c r="E30" s="26">
        <v>1130</v>
      </c>
      <c r="F30" s="42">
        <v>6060000</v>
      </c>
      <c r="G30" s="42">
        <v>8974000</v>
      </c>
      <c r="H30" s="42">
        <v>7330000</v>
      </c>
      <c r="I30" s="42">
        <v>10202000</v>
      </c>
    </row>
    <row r="31" spans="1:9" ht="18">
      <c r="A31" s="20" t="e">
        <f ca="1">_xludf.image("https://lh3.google.com/u/0/d/1A5WC7S6r4bLIuHZfNwp9nSlP95agY6so",1)</f>
        <v>#NAME?</v>
      </c>
      <c r="B31" s="110" t="s">
        <v>79</v>
      </c>
      <c r="C31" s="142" t="s">
        <v>433</v>
      </c>
      <c r="D31" s="136"/>
      <c r="E31" s="137"/>
      <c r="F31" s="78"/>
      <c r="G31" s="78"/>
      <c r="H31" s="78"/>
      <c r="I31" s="78"/>
    </row>
    <row r="32" spans="1:9" ht="12.75">
      <c r="A32" s="20"/>
      <c r="B32" s="159" t="s">
        <v>81</v>
      </c>
      <c r="C32" s="136"/>
      <c r="D32" s="136"/>
      <c r="E32" s="137"/>
      <c r="F32" s="22"/>
      <c r="G32" s="22"/>
      <c r="H32" s="22"/>
      <c r="I32" s="22"/>
    </row>
    <row r="33" spans="1:9">
      <c r="A33" s="43"/>
      <c r="B33" s="94" t="s">
        <v>82</v>
      </c>
      <c r="C33" s="26">
        <v>620</v>
      </c>
      <c r="D33" s="26">
        <v>740</v>
      </c>
      <c r="E33" s="26">
        <v>380</v>
      </c>
      <c r="F33" s="42">
        <v>11563000</v>
      </c>
      <c r="G33" s="29"/>
      <c r="H33" s="42">
        <v>12665000</v>
      </c>
      <c r="I33" s="29"/>
    </row>
    <row r="34" spans="1:9">
      <c r="A34" s="43"/>
      <c r="B34" s="94" t="s">
        <v>83</v>
      </c>
      <c r="C34" s="26">
        <v>620</v>
      </c>
      <c r="D34" s="26">
        <v>740</v>
      </c>
      <c r="E34" s="26">
        <v>530</v>
      </c>
      <c r="F34" s="42">
        <v>12665000</v>
      </c>
      <c r="G34" s="29"/>
      <c r="H34" s="42">
        <v>14250000</v>
      </c>
      <c r="I34" s="29"/>
    </row>
    <row r="35" spans="1:9">
      <c r="A35" s="43"/>
      <c r="B35" s="94" t="s">
        <v>84</v>
      </c>
      <c r="C35" s="26">
        <v>620</v>
      </c>
      <c r="D35" s="26">
        <v>740</v>
      </c>
      <c r="E35" s="26">
        <v>680</v>
      </c>
      <c r="F35" s="42">
        <v>13794000</v>
      </c>
      <c r="G35" s="29"/>
      <c r="H35" s="42">
        <v>15862000</v>
      </c>
      <c r="I35" s="29"/>
    </row>
    <row r="36" spans="1:9">
      <c r="A36" s="43"/>
      <c r="B36" s="94" t="s">
        <v>85</v>
      </c>
      <c r="C36" s="26">
        <v>620</v>
      </c>
      <c r="D36" s="26">
        <v>740</v>
      </c>
      <c r="E36" s="26">
        <v>980</v>
      </c>
      <c r="F36" s="42">
        <v>16016000</v>
      </c>
      <c r="G36" s="29"/>
      <c r="H36" s="42">
        <v>19050000</v>
      </c>
      <c r="I36" s="29"/>
    </row>
    <row r="37" spans="1:9" ht="18">
      <c r="A37" s="20" t="e">
        <f ca="1">_xludf.image("https://lh3.google.com/u/0/d/1h9dkY1U9jfWB7JXUm7PpXHW0K3jxEheb",1)</f>
        <v>#NAME?</v>
      </c>
      <c r="B37" s="110" t="s">
        <v>86</v>
      </c>
      <c r="C37" s="141"/>
      <c r="D37" s="136"/>
      <c r="E37" s="137"/>
      <c r="F37" s="78"/>
      <c r="G37" s="78"/>
      <c r="H37" s="78"/>
      <c r="I37" s="78"/>
    </row>
    <row r="38" spans="1:9" ht="12.75">
      <c r="A38" s="20"/>
      <c r="B38" s="159" t="s">
        <v>81</v>
      </c>
      <c r="C38" s="136"/>
      <c r="D38" s="136"/>
      <c r="E38" s="137"/>
      <c r="F38" s="22"/>
      <c r="G38" s="22"/>
      <c r="H38" s="22"/>
      <c r="I38" s="22"/>
    </row>
    <row r="39" spans="1:9">
      <c r="A39" s="43"/>
      <c r="B39" s="94" t="s">
        <v>88</v>
      </c>
      <c r="C39" s="26">
        <v>620</v>
      </c>
      <c r="D39" s="26">
        <v>740</v>
      </c>
      <c r="E39" s="26">
        <v>380</v>
      </c>
      <c r="F39" s="42">
        <v>10910000</v>
      </c>
      <c r="G39" s="29"/>
      <c r="H39" s="42">
        <v>12012000</v>
      </c>
      <c r="I39" s="29"/>
    </row>
    <row r="40" spans="1:9">
      <c r="A40" s="43"/>
      <c r="B40" s="94" t="s">
        <v>89</v>
      </c>
      <c r="C40" s="26">
        <v>620</v>
      </c>
      <c r="D40" s="26">
        <v>740</v>
      </c>
      <c r="E40" s="26">
        <v>530</v>
      </c>
      <c r="F40" s="42">
        <v>11979000</v>
      </c>
      <c r="G40" s="29"/>
      <c r="H40" s="42">
        <v>13564000</v>
      </c>
      <c r="I40" s="29"/>
    </row>
    <row r="41" spans="1:9">
      <c r="A41" s="43"/>
      <c r="B41" s="94" t="s">
        <v>90</v>
      </c>
      <c r="C41" s="26">
        <v>620</v>
      </c>
      <c r="D41" s="26">
        <v>740</v>
      </c>
      <c r="E41" s="26">
        <v>680</v>
      </c>
      <c r="F41" s="42">
        <v>13074000</v>
      </c>
      <c r="G41" s="29"/>
      <c r="H41" s="42">
        <v>15142000</v>
      </c>
      <c r="I41" s="29"/>
    </row>
    <row r="42" spans="1:9">
      <c r="A42" s="43"/>
      <c r="B42" s="94" t="s">
        <v>91</v>
      </c>
      <c r="C42" s="26">
        <v>620</v>
      </c>
      <c r="D42" s="26">
        <v>740</v>
      </c>
      <c r="E42" s="26">
        <v>980</v>
      </c>
      <c r="F42" s="42">
        <v>15228000</v>
      </c>
      <c r="G42" s="29"/>
      <c r="H42" s="42">
        <v>18262000</v>
      </c>
      <c r="I42" s="29"/>
    </row>
    <row r="43" spans="1:9" ht="18">
      <c r="A43" s="20" t="e">
        <f ca="1">_xludf.image("https://lh3.google.com/u/0/d/1aiDuDZpCgGayVk2Stcnt53BGxCzeTkTk",1)</f>
        <v>#NAME?</v>
      </c>
      <c r="B43" s="110" t="s">
        <v>92</v>
      </c>
      <c r="C43" s="141"/>
      <c r="D43" s="136"/>
      <c r="E43" s="137"/>
      <c r="F43" s="78"/>
      <c r="G43" s="78"/>
      <c r="H43" s="78"/>
      <c r="I43" s="78"/>
    </row>
    <row r="44" spans="1:9" ht="12.75">
      <c r="A44" s="20"/>
      <c r="B44" s="159" t="s">
        <v>434</v>
      </c>
      <c r="C44" s="136"/>
      <c r="D44" s="136"/>
      <c r="E44" s="137"/>
      <c r="F44" s="22"/>
      <c r="G44" s="22"/>
      <c r="H44" s="22"/>
      <c r="I44" s="22"/>
    </row>
    <row r="45" spans="1:9">
      <c r="A45" s="43"/>
      <c r="B45" s="94" t="s">
        <v>93</v>
      </c>
      <c r="C45" s="26">
        <v>620</v>
      </c>
      <c r="D45" s="26">
        <v>740</v>
      </c>
      <c r="E45" s="26">
        <v>380</v>
      </c>
      <c r="F45" s="42">
        <v>10257000</v>
      </c>
      <c r="G45" s="42">
        <v>11302000</v>
      </c>
      <c r="H45" s="42">
        <v>11359000</v>
      </c>
      <c r="I45" s="42">
        <v>12389000</v>
      </c>
    </row>
    <row r="46" spans="1:9">
      <c r="A46" s="43"/>
      <c r="B46" s="94" t="s">
        <v>94</v>
      </c>
      <c r="C46" s="26">
        <v>620</v>
      </c>
      <c r="D46" s="26">
        <v>740</v>
      </c>
      <c r="E46" s="26">
        <v>530</v>
      </c>
      <c r="F46" s="42">
        <v>11292000</v>
      </c>
      <c r="G46" s="42">
        <v>12860000</v>
      </c>
      <c r="H46" s="42">
        <v>12877000</v>
      </c>
      <c r="I46" s="42">
        <v>14423000</v>
      </c>
    </row>
    <row r="47" spans="1:9">
      <c r="A47" s="43"/>
      <c r="B47" s="94" t="s">
        <v>95</v>
      </c>
      <c r="C47" s="26">
        <v>620</v>
      </c>
      <c r="D47" s="26">
        <v>740</v>
      </c>
      <c r="E47" s="26">
        <v>680</v>
      </c>
      <c r="F47" s="42">
        <v>12354000</v>
      </c>
      <c r="G47" s="42">
        <v>14444000</v>
      </c>
      <c r="H47" s="42">
        <v>14422000</v>
      </c>
      <c r="I47" s="42">
        <v>16483000</v>
      </c>
    </row>
    <row r="48" spans="1:9">
      <c r="A48" s="43"/>
      <c r="B48" s="94" t="s">
        <v>96</v>
      </c>
      <c r="C48" s="26">
        <v>620</v>
      </c>
      <c r="D48" s="26">
        <v>740</v>
      </c>
      <c r="E48" s="26">
        <v>980</v>
      </c>
      <c r="F48" s="42">
        <v>14440000</v>
      </c>
      <c r="G48" s="42">
        <v>17575000</v>
      </c>
      <c r="H48" s="42">
        <v>17474000</v>
      </c>
      <c r="I48" s="42">
        <v>20565000</v>
      </c>
    </row>
    <row r="49" spans="1:9">
      <c r="A49" s="43"/>
      <c r="B49" s="94" t="s">
        <v>97</v>
      </c>
      <c r="C49" s="26">
        <v>620</v>
      </c>
      <c r="D49" s="26">
        <v>740</v>
      </c>
      <c r="E49" s="26">
        <v>1280</v>
      </c>
      <c r="F49" s="42">
        <v>16512000</v>
      </c>
      <c r="G49" s="42">
        <v>20692000</v>
      </c>
      <c r="H49" s="42">
        <v>20512000</v>
      </c>
      <c r="I49" s="42">
        <v>24634000</v>
      </c>
    </row>
    <row r="50" spans="1:9" ht="18">
      <c r="A50" s="20" t="e">
        <f ca="1">_xludf.image("https://lh3.google.com/u/0/d/1aiDuDZpCgGayVk2Stcnt53BGxCzeTkTk",1)</f>
        <v>#NAME?</v>
      </c>
      <c r="B50" s="110" t="s">
        <v>98</v>
      </c>
      <c r="C50" s="141"/>
      <c r="D50" s="136"/>
      <c r="E50" s="137"/>
      <c r="F50" s="78"/>
      <c r="G50" s="78"/>
      <c r="H50" s="78"/>
      <c r="I50" s="78"/>
    </row>
    <row r="51" spans="1:9" ht="12.75">
      <c r="A51" s="20"/>
      <c r="B51" s="159" t="s">
        <v>99</v>
      </c>
      <c r="C51" s="136"/>
      <c r="D51" s="136"/>
      <c r="E51" s="137"/>
      <c r="F51" s="22"/>
      <c r="G51" s="22"/>
      <c r="H51" s="22"/>
      <c r="I51" s="22"/>
    </row>
    <row r="52" spans="1:9">
      <c r="A52" s="43"/>
      <c r="B52" s="94" t="s">
        <v>100</v>
      </c>
      <c r="C52" s="26">
        <v>620</v>
      </c>
      <c r="D52" s="26">
        <v>740</v>
      </c>
      <c r="E52" s="26">
        <v>380</v>
      </c>
      <c r="F52" s="42">
        <v>12248000</v>
      </c>
      <c r="G52" s="29"/>
      <c r="H52" s="42">
        <v>13350000</v>
      </c>
      <c r="I52" s="29"/>
    </row>
    <row r="53" spans="1:9">
      <c r="A53" s="43"/>
      <c r="B53" s="94" t="s">
        <v>101</v>
      </c>
      <c r="C53" s="26">
        <v>620</v>
      </c>
      <c r="D53" s="26">
        <v>740</v>
      </c>
      <c r="E53" s="26">
        <v>530</v>
      </c>
      <c r="F53" s="42">
        <v>13326000</v>
      </c>
      <c r="G53" s="29"/>
      <c r="H53" s="42">
        <v>14911000</v>
      </c>
      <c r="I53" s="29"/>
    </row>
    <row r="54" spans="1:9">
      <c r="A54" s="43"/>
      <c r="B54" s="94" t="s">
        <v>102</v>
      </c>
      <c r="C54" s="26">
        <v>620</v>
      </c>
      <c r="D54" s="26">
        <v>740</v>
      </c>
      <c r="E54" s="26">
        <v>680</v>
      </c>
      <c r="F54" s="42">
        <v>14430000</v>
      </c>
      <c r="G54" s="29"/>
      <c r="H54" s="42">
        <v>16498000</v>
      </c>
      <c r="I54" s="29"/>
    </row>
    <row r="55" spans="1:9">
      <c r="A55" s="43"/>
      <c r="B55" s="94" t="s">
        <v>103</v>
      </c>
      <c r="C55" s="26">
        <v>620</v>
      </c>
      <c r="D55" s="26">
        <v>740</v>
      </c>
      <c r="E55" s="26">
        <v>980</v>
      </c>
      <c r="F55" s="42">
        <v>16602000</v>
      </c>
      <c r="G55" s="29"/>
      <c r="H55" s="42">
        <v>19636000</v>
      </c>
      <c r="I55" s="29"/>
    </row>
    <row r="56" spans="1:9">
      <c r="A56" s="43"/>
      <c r="B56" s="94" t="s">
        <v>104</v>
      </c>
      <c r="C56" s="26">
        <v>620</v>
      </c>
      <c r="D56" s="26">
        <v>740</v>
      </c>
      <c r="E56" s="26">
        <v>1280</v>
      </c>
      <c r="F56" s="42">
        <v>18759000</v>
      </c>
      <c r="G56" s="29"/>
      <c r="H56" s="42">
        <v>22759000</v>
      </c>
      <c r="I56" s="29"/>
    </row>
    <row r="57" spans="1:9" ht="18">
      <c r="A57" s="43" t="e">
        <f ca="1">_xludf.image("https://lh3.google.com/u/0/d/1PzAxE3naivpCSZsXJhrBuGPUYiBzZce2",1)</f>
        <v>#NAME?</v>
      </c>
      <c r="B57" s="110" t="s">
        <v>105</v>
      </c>
      <c r="C57" s="164"/>
      <c r="D57" s="136"/>
      <c r="E57" s="137"/>
      <c r="F57" s="78"/>
      <c r="G57" s="78"/>
      <c r="H57" s="78"/>
      <c r="I57" s="78"/>
    </row>
    <row r="58" spans="1:9" ht="12.75">
      <c r="A58" s="20"/>
      <c r="B58" s="159" t="s">
        <v>107</v>
      </c>
      <c r="C58" s="136"/>
      <c r="D58" s="136"/>
      <c r="E58" s="137"/>
      <c r="F58" s="22"/>
      <c r="G58" s="22"/>
      <c r="H58" s="22"/>
      <c r="I58" s="22"/>
    </row>
    <row r="59" spans="1:9">
      <c r="A59" s="43"/>
      <c r="B59" s="94" t="s">
        <v>108</v>
      </c>
      <c r="C59" s="26">
        <v>620</v>
      </c>
      <c r="D59" s="26">
        <v>740</v>
      </c>
      <c r="E59" s="26">
        <v>380</v>
      </c>
      <c r="F59" s="42">
        <v>6301000</v>
      </c>
      <c r="G59" s="29"/>
      <c r="H59" s="42">
        <v>7403000</v>
      </c>
      <c r="I59" s="29"/>
    </row>
    <row r="60" spans="1:9">
      <c r="A60" s="43"/>
      <c r="B60" s="94" t="s">
        <v>109</v>
      </c>
      <c r="C60" s="26">
        <v>620</v>
      </c>
      <c r="D60" s="26">
        <v>740</v>
      </c>
      <c r="E60" s="26">
        <v>530</v>
      </c>
      <c r="F60" s="42">
        <v>7533000</v>
      </c>
      <c r="G60" s="29"/>
      <c r="H60" s="42">
        <v>9118000</v>
      </c>
      <c r="I60" s="29"/>
    </row>
    <row r="61" spans="1:9">
      <c r="A61" s="43"/>
      <c r="B61" s="94" t="s">
        <v>110</v>
      </c>
      <c r="C61" s="26">
        <v>620</v>
      </c>
      <c r="D61" s="26">
        <v>740</v>
      </c>
      <c r="E61" s="26">
        <v>680</v>
      </c>
      <c r="F61" s="42">
        <v>8790000</v>
      </c>
      <c r="G61" s="29"/>
      <c r="H61" s="42">
        <v>10858000</v>
      </c>
      <c r="I61" s="29"/>
    </row>
    <row r="62" spans="1:9">
      <c r="A62" s="43"/>
      <c r="B62" s="94" t="s">
        <v>111</v>
      </c>
      <c r="C62" s="26">
        <v>620</v>
      </c>
      <c r="D62" s="26">
        <v>740</v>
      </c>
      <c r="E62" s="26">
        <v>980</v>
      </c>
      <c r="F62" s="42">
        <v>11627000</v>
      </c>
      <c r="G62" s="29"/>
      <c r="H62" s="42">
        <v>14661000</v>
      </c>
      <c r="I62" s="29"/>
    </row>
    <row r="63" spans="1:9" ht="18">
      <c r="A63" s="20" t="e">
        <f ca="1">_xludf.image("https://lh3.google.com/u/0/d/1Yb0Dv2TOdzAqfildI3J2J6dRwZ7F3PBG",1)</f>
        <v>#NAME?</v>
      </c>
      <c r="B63" s="110" t="s">
        <v>112</v>
      </c>
      <c r="C63" s="141"/>
      <c r="D63" s="136"/>
      <c r="E63" s="137"/>
      <c r="F63" s="78"/>
      <c r="G63" s="78"/>
      <c r="H63" s="78"/>
      <c r="I63" s="78"/>
    </row>
    <row r="64" spans="1:9" ht="12.75">
      <c r="A64" s="20"/>
      <c r="B64" s="159" t="s">
        <v>113</v>
      </c>
      <c r="C64" s="136"/>
      <c r="D64" s="136"/>
      <c r="E64" s="137"/>
      <c r="F64" s="22"/>
      <c r="G64" s="22"/>
      <c r="H64" s="22"/>
      <c r="I64" s="22"/>
    </row>
    <row r="65" spans="1:9">
      <c r="A65" s="43"/>
      <c r="B65" s="94" t="s">
        <v>114</v>
      </c>
      <c r="C65" s="26">
        <v>620</v>
      </c>
      <c r="D65" s="26">
        <v>740</v>
      </c>
      <c r="E65" s="26">
        <v>230</v>
      </c>
      <c r="F65" s="27">
        <v>2223000</v>
      </c>
      <c r="G65" s="29"/>
      <c r="H65" s="27">
        <v>2842000</v>
      </c>
      <c r="I65" s="29"/>
    </row>
    <row r="66" spans="1:9">
      <c r="A66" s="43"/>
      <c r="B66" s="94" t="s">
        <v>115</v>
      </c>
      <c r="C66" s="26">
        <v>620</v>
      </c>
      <c r="D66" s="26">
        <v>740</v>
      </c>
      <c r="E66" s="26">
        <v>380</v>
      </c>
      <c r="F66" s="27">
        <v>3129000</v>
      </c>
      <c r="G66" s="29"/>
      <c r="H66" s="27">
        <v>4231000</v>
      </c>
      <c r="I66" s="29"/>
    </row>
    <row r="67" spans="1:9">
      <c r="A67" s="43"/>
      <c r="B67" s="94" t="s">
        <v>116</v>
      </c>
      <c r="C67" s="26">
        <v>620</v>
      </c>
      <c r="D67" s="26">
        <v>740</v>
      </c>
      <c r="E67" s="26">
        <v>530</v>
      </c>
      <c r="F67" s="27">
        <v>4034000</v>
      </c>
      <c r="G67" s="29"/>
      <c r="H67" s="27">
        <v>5619000</v>
      </c>
      <c r="I67" s="29"/>
    </row>
    <row r="68" spans="1:9">
      <c r="A68" s="43"/>
      <c r="B68" s="94" t="s">
        <v>117</v>
      </c>
      <c r="C68" s="26">
        <v>620</v>
      </c>
      <c r="D68" s="26">
        <v>740</v>
      </c>
      <c r="E68" s="26">
        <v>680</v>
      </c>
      <c r="F68" s="27">
        <v>4964000</v>
      </c>
      <c r="G68" s="29"/>
      <c r="H68" s="27">
        <v>7032000</v>
      </c>
      <c r="I68" s="29"/>
    </row>
    <row r="69" spans="1:9">
      <c r="A69" s="43"/>
      <c r="B69" s="94" t="s">
        <v>118</v>
      </c>
      <c r="C69" s="26">
        <v>620</v>
      </c>
      <c r="D69" s="26">
        <v>740</v>
      </c>
      <c r="E69" s="26">
        <v>980</v>
      </c>
      <c r="F69" s="27">
        <v>6790000</v>
      </c>
      <c r="G69" s="29"/>
      <c r="H69" s="27">
        <v>9824000</v>
      </c>
      <c r="I69" s="29"/>
    </row>
    <row r="70" spans="1:9">
      <c r="A70" s="43" t="s">
        <v>119</v>
      </c>
      <c r="B70" s="94" t="s">
        <v>120</v>
      </c>
      <c r="C70" s="26">
        <v>620</v>
      </c>
      <c r="D70" s="26">
        <v>740</v>
      </c>
      <c r="E70" s="26">
        <v>1130</v>
      </c>
      <c r="F70" s="27">
        <v>6046000</v>
      </c>
      <c r="G70" s="29"/>
      <c r="H70" s="27">
        <v>7631000</v>
      </c>
      <c r="I70" s="29"/>
    </row>
    <row r="71" spans="1:9" ht="18">
      <c r="A71" s="20" t="e">
        <f ca="1">_xludf.image("https://lh3.google.com/u/0/d/19ul98EEdPvChDUFyzaC7Jx6gB3EPhcpU",1)</f>
        <v>#NAME?</v>
      </c>
      <c r="B71" s="110" t="s">
        <v>121</v>
      </c>
      <c r="C71" s="141"/>
      <c r="D71" s="136"/>
      <c r="E71" s="137"/>
      <c r="F71" s="78"/>
      <c r="G71" s="78"/>
      <c r="H71" s="78"/>
      <c r="I71" s="78"/>
    </row>
    <row r="72" spans="1:9" ht="12.75">
      <c r="A72" s="20"/>
      <c r="B72" s="159" t="s">
        <v>122</v>
      </c>
      <c r="C72" s="136"/>
      <c r="D72" s="136"/>
      <c r="E72" s="137"/>
      <c r="F72" s="22"/>
      <c r="G72" s="22"/>
      <c r="H72" s="22"/>
      <c r="I72" s="22"/>
    </row>
    <row r="73" spans="1:9">
      <c r="A73" s="43"/>
      <c r="B73" s="94" t="s">
        <v>123</v>
      </c>
      <c r="C73" s="26">
        <v>620</v>
      </c>
      <c r="D73" s="26">
        <v>740</v>
      </c>
      <c r="E73" s="26">
        <v>230</v>
      </c>
      <c r="F73" s="27">
        <v>7781000</v>
      </c>
      <c r="G73" s="29"/>
      <c r="H73" s="27">
        <v>8400000</v>
      </c>
      <c r="I73" s="29"/>
    </row>
    <row r="74" spans="1:9">
      <c r="A74" s="43"/>
      <c r="B74" s="94" t="s">
        <v>124</v>
      </c>
      <c r="C74" s="26">
        <v>620</v>
      </c>
      <c r="D74" s="26">
        <v>740</v>
      </c>
      <c r="E74" s="26">
        <v>280</v>
      </c>
      <c r="F74" s="27">
        <v>8140000</v>
      </c>
      <c r="G74" s="29"/>
      <c r="H74" s="27">
        <v>8920000</v>
      </c>
      <c r="I74" s="29"/>
    </row>
    <row r="75" spans="1:9">
      <c r="A75" s="43"/>
      <c r="B75" s="94" t="s">
        <v>125</v>
      </c>
      <c r="C75" s="26">
        <v>620</v>
      </c>
      <c r="D75" s="26">
        <v>740</v>
      </c>
      <c r="E75" s="26">
        <v>380</v>
      </c>
      <c r="F75" s="27">
        <v>8801000</v>
      </c>
      <c r="G75" s="29"/>
      <c r="H75" s="27">
        <v>9903000</v>
      </c>
      <c r="I75" s="29"/>
    </row>
    <row r="76" spans="1:9">
      <c r="A76" s="43"/>
      <c r="B76" s="94" t="s">
        <v>126</v>
      </c>
      <c r="C76" s="26">
        <v>620</v>
      </c>
      <c r="D76" s="26">
        <v>740</v>
      </c>
      <c r="E76" s="26">
        <v>530</v>
      </c>
      <c r="F76" s="27">
        <v>9821000</v>
      </c>
      <c r="G76" s="29"/>
      <c r="H76" s="27">
        <v>11406000</v>
      </c>
      <c r="I76" s="29"/>
    </row>
    <row r="77" spans="1:9">
      <c r="A77" s="43"/>
      <c r="B77" s="94" t="s">
        <v>127</v>
      </c>
      <c r="C77" s="26">
        <v>620</v>
      </c>
      <c r="D77" s="26">
        <v>740</v>
      </c>
      <c r="E77" s="26">
        <v>680</v>
      </c>
      <c r="F77" s="27">
        <v>10867000</v>
      </c>
      <c r="G77" s="29"/>
      <c r="H77" s="27">
        <v>12935000</v>
      </c>
      <c r="I77" s="29"/>
    </row>
    <row r="78" spans="1:9" ht="18">
      <c r="A78" s="20" t="e">
        <f ca="1">_xludf.image("https://lh3.google.com/u/0/d/1M6R2DuHIEB5Rrq0Q6mJ1g8ISjMzwhWER",1)</f>
        <v>#NAME?</v>
      </c>
      <c r="B78" s="110" t="s">
        <v>128</v>
      </c>
      <c r="C78" s="142" t="s">
        <v>435</v>
      </c>
      <c r="D78" s="136"/>
      <c r="E78" s="137"/>
      <c r="F78" s="78"/>
      <c r="G78" s="78"/>
      <c r="H78" s="78"/>
      <c r="I78" s="78"/>
    </row>
    <row r="79" spans="1:9" ht="12.75">
      <c r="A79" s="20"/>
      <c r="B79" s="159" t="s">
        <v>129</v>
      </c>
      <c r="C79" s="136"/>
      <c r="D79" s="136"/>
      <c r="E79" s="137"/>
      <c r="F79" s="22"/>
      <c r="G79" s="22"/>
      <c r="H79" s="22"/>
      <c r="I79" s="22"/>
    </row>
    <row r="80" spans="1:9">
      <c r="A80" s="43"/>
      <c r="B80" s="94" t="s">
        <v>130</v>
      </c>
      <c r="C80" s="26">
        <v>620</v>
      </c>
      <c r="D80" s="26">
        <v>740</v>
      </c>
      <c r="E80" s="26">
        <v>530</v>
      </c>
      <c r="F80" s="27">
        <v>7052000</v>
      </c>
      <c r="G80" s="29"/>
      <c r="H80" s="27">
        <v>8637000</v>
      </c>
      <c r="I80" s="29"/>
    </row>
    <row r="81" spans="1:9">
      <c r="A81" s="43"/>
      <c r="B81" s="94" t="s">
        <v>131</v>
      </c>
      <c r="C81" s="26">
        <v>620</v>
      </c>
      <c r="D81" s="26">
        <v>740</v>
      </c>
      <c r="E81" s="26">
        <v>680</v>
      </c>
      <c r="F81" s="27">
        <v>8594000</v>
      </c>
      <c r="G81" s="29"/>
      <c r="H81" s="27">
        <v>10662000</v>
      </c>
      <c r="I81" s="29"/>
    </row>
    <row r="82" spans="1:9">
      <c r="A82" s="43"/>
      <c r="B82" s="94" t="s">
        <v>132</v>
      </c>
      <c r="C82" s="50"/>
      <c r="D82" s="50"/>
      <c r="E82" s="50"/>
      <c r="F82" s="42">
        <v>2660000</v>
      </c>
      <c r="G82" s="29"/>
      <c r="H82" s="42">
        <v>2660000</v>
      </c>
      <c r="I82" s="29"/>
    </row>
    <row r="83" spans="1:9">
      <c r="A83" s="43"/>
      <c r="B83" s="94" t="s">
        <v>133</v>
      </c>
      <c r="C83" s="50"/>
      <c r="D83" s="50"/>
      <c r="E83" s="50"/>
      <c r="F83" s="42">
        <v>3272000</v>
      </c>
      <c r="G83" s="29"/>
      <c r="H83" s="42">
        <v>3272000</v>
      </c>
      <c r="I83" s="29"/>
    </row>
    <row r="84" spans="1:9" ht="18">
      <c r="A84" s="20" t="e">
        <f ca="1">_xludf.image("https://lh3.google.com/u/0/d/1WfnnDtmLc7_tOPaXZtMl4IsOC0ODtGFf",1)</f>
        <v>#NAME?</v>
      </c>
      <c r="B84" s="110" t="s">
        <v>134</v>
      </c>
      <c r="C84" s="141"/>
      <c r="D84" s="136"/>
      <c r="E84" s="137"/>
      <c r="F84" s="78"/>
      <c r="G84" s="78"/>
      <c r="H84" s="78"/>
      <c r="I84" s="78"/>
    </row>
    <row r="85" spans="1:9" ht="12.75">
      <c r="A85" s="20"/>
      <c r="B85" s="159" t="s">
        <v>135</v>
      </c>
      <c r="C85" s="136"/>
      <c r="D85" s="136"/>
      <c r="E85" s="137"/>
      <c r="F85" s="22"/>
      <c r="G85" s="22"/>
      <c r="H85" s="22"/>
      <c r="I85" s="22"/>
    </row>
    <row r="86" spans="1:9">
      <c r="A86" s="43"/>
      <c r="B86" s="94" t="s">
        <v>136</v>
      </c>
      <c r="C86" s="26">
        <v>620</v>
      </c>
      <c r="D86" s="26">
        <v>740</v>
      </c>
      <c r="E86" s="26">
        <v>680</v>
      </c>
      <c r="F86" s="42">
        <v>3499000</v>
      </c>
      <c r="G86" s="29"/>
      <c r="H86" s="42">
        <v>4863000</v>
      </c>
      <c r="I86" s="29"/>
    </row>
    <row r="87" spans="1:9">
      <c r="A87" s="43"/>
      <c r="B87" s="94" t="s">
        <v>137</v>
      </c>
      <c r="C87" s="26">
        <v>620</v>
      </c>
      <c r="D87" s="26">
        <v>740</v>
      </c>
      <c r="E87" s="26">
        <v>980</v>
      </c>
      <c r="F87" s="42">
        <v>4599000</v>
      </c>
      <c r="G87" s="29"/>
      <c r="H87" s="42">
        <v>6577000</v>
      </c>
      <c r="I87" s="29"/>
    </row>
    <row r="88" spans="1:9" ht="18">
      <c r="A88" s="20" t="e">
        <f ca="1">_xludf.image("https://lh3.google.com/u/0/d/1Ja9xogvWAOhpUM_Q_BOiCeb-8Eax7siQ",1)</f>
        <v>#NAME?</v>
      </c>
      <c r="B88" s="110" t="s">
        <v>138</v>
      </c>
      <c r="C88" s="141"/>
      <c r="D88" s="136"/>
      <c r="E88" s="137"/>
      <c r="F88" s="78"/>
      <c r="G88" s="78"/>
      <c r="H88" s="78"/>
      <c r="I88" s="78"/>
    </row>
    <row r="89" spans="1:9" ht="12.75">
      <c r="A89" s="20"/>
      <c r="B89" s="159" t="s">
        <v>139</v>
      </c>
      <c r="C89" s="136"/>
      <c r="D89" s="136"/>
      <c r="E89" s="137"/>
      <c r="F89" s="22"/>
      <c r="G89" s="22"/>
      <c r="H89" s="22"/>
      <c r="I89" s="22"/>
    </row>
    <row r="90" spans="1:9">
      <c r="A90" s="43"/>
      <c r="B90" s="94" t="s">
        <v>140</v>
      </c>
      <c r="C90" s="26">
        <v>620</v>
      </c>
      <c r="D90" s="26">
        <v>740</v>
      </c>
      <c r="E90" s="26">
        <v>680</v>
      </c>
      <c r="F90" s="27">
        <v>5203000</v>
      </c>
      <c r="G90" s="29"/>
      <c r="H90" s="27">
        <v>7271000</v>
      </c>
      <c r="I90" s="29"/>
    </row>
    <row r="91" spans="1:9">
      <c r="A91" s="43"/>
      <c r="B91" s="94" t="s">
        <v>141</v>
      </c>
      <c r="C91" s="26">
        <v>620</v>
      </c>
      <c r="D91" s="26">
        <v>740</v>
      </c>
      <c r="E91" s="26">
        <v>980</v>
      </c>
      <c r="F91" s="27">
        <v>7327000</v>
      </c>
      <c r="G91" s="29"/>
      <c r="H91" s="27">
        <v>10361000</v>
      </c>
      <c r="I91" s="29"/>
    </row>
    <row r="92" spans="1:9">
      <c r="A92" s="43"/>
      <c r="B92" s="94" t="s">
        <v>142</v>
      </c>
      <c r="C92" s="26">
        <v>620</v>
      </c>
      <c r="D92" s="26">
        <v>740</v>
      </c>
      <c r="E92" s="26">
        <v>1280</v>
      </c>
      <c r="F92" s="27">
        <v>9077000</v>
      </c>
      <c r="G92" s="29"/>
      <c r="H92" s="27">
        <v>13077000</v>
      </c>
      <c r="I92" s="29"/>
    </row>
    <row r="93" spans="1:9">
      <c r="A93" s="43"/>
      <c r="B93" s="94" t="s">
        <v>143</v>
      </c>
      <c r="C93" s="50"/>
      <c r="D93" s="50"/>
      <c r="E93" s="50"/>
      <c r="F93" s="42">
        <v>1018000</v>
      </c>
      <c r="G93" s="29"/>
      <c r="H93" s="42">
        <v>1018000</v>
      </c>
      <c r="I93" s="29"/>
    </row>
    <row r="94" spans="1:9">
      <c r="A94" s="43"/>
      <c r="B94" s="94" t="s">
        <v>144</v>
      </c>
      <c r="C94" s="50"/>
      <c r="D94" s="50"/>
      <c r="E94" s="50"/>
      <c r="F94" s="42">
        <v>892000</v>
      </c>
      <c r="G94" s="29"/>
      <c r="H94" s="42">
        <v>892000</v>
      </c>
      <c r="I94" s="29"/>
    </row>
    <row r="95" spans="1:9">
      <c r="A95" s="43" t="s">
        <v>145</v>
      </c>
      <c r="B95" s="94" t="s">
        <v>146</v>
      </c>
      <c r="C95" s="26">
        <v>620</v>
      </c>
      <c r="D95" s="26">
        <v>740</v>
      </c>
      <c r="E95" s="26">
        <v>680</v>
      </c>
      <c r="F95" s="27">
        <v>5362000</v>
      </c>
      <c r="G95" s="29"/>
      <c r="H95" s="27">
        <v>7430000</v>
      </c>
      <c r="I95" s="29"/>
    </row>
    <row r="96" spans="1:9">
      <c r="A96" s="43" t="s">
        <v>145</v>
      </c>
      <c r="B96" s="94" t="s">
        <v>147</v>
      </c>
      <c r="C96" s="26">
        <v>620</v>
      </c>
      <c r="D96" s="26">
        <v>740</v>
      </c>
      <c r="E96" s="26">
        <v>980</v>
      </c>
      <c r="F96" s="27">
        <v>7513000</v>
      </c>
      <c r="G96" s="29"/>
      <c r="H96" s="27">
        <v>10547000</v>
      </c>
      <c r="I96" s="29"/>
    </row>
    <row r="97" spans="1:9">
      <c r="A97" s="43" t="s">
        <v>145</v>
      </c>
      <c r="B97" s="94" t="s">
        <v>148</v>
      </c>
      <c r="C97" s="26">
        <v>620</v>
      </c>
      <c r="D97" s="26">
        <v>740</v>
      </c>
      <c r="E97" s="26">
        <v>1280</v>
      </c>
      <c r="F97" s="27">
        <v>9291000</v>
      </c>
      <c r="G97" s="29"/>
      <c r="H97" s="27">
        <v>13291000</v>
      </c>
      <c r="I97" s="29"/>
    </row>
    <row r="98" spans="1:9" ht="18">
      <c r="A98" s="20" t="e">
        <f ca="1">_xludf.image("https://lh3.google.com/u/0/d/1GdjcZgcvCG18NG2XJig1KmUCRJttptaI",1)</f>
        <v>#NAME?</v>
      </c>
      <c r="B98" s="110" t="s">
        <v>149</v>
      </c>
      <c r="C98" s="141"/>
      <c r="D98" s="136"/>
      <c r="E98" s="137"/>
      <c r="F98" s="78"/>
      <c r="G98" s="78"/>
      <c r="H98" s="78"/>
      <c r="I98" s="78"/>
    </row>
    <row r="99" spans="1:9" ht="12.75">
      <c r="A99" s="20"/>
      <c r="B99" s="163"/>
      <c r="C99" s="136"/>
      <c r="D99" s="136"/>
      <c r="E99" s="137"/>
      <c r="F99" s="22"/>
      <c r="G99" s="22"/>
      <c r="H99" s="22"/>
      <c r="I99" s="22"/>
    </row>
    <row r="100" spans="1:9">
      <c r="A100" s="43"/>
      <c r="B100" s="94" t="s">
        <v>150</v>
      </c>
      <c r="C100" s="26">
        <v>620</v>
      </c>
      <c r="D100" s="26">
        <v>740</v>
      </c>
      <c r="E100" s="26">
        <v>380</v>
      </c>
      <c r="F100" s="27">
        <v>6450000</v>
      </c>
      <c r="G100" s="29"/>
      <c r="H100" s="27">
        <v>11001000</v>
      </c>
      <c r="I100" s="29"/>
    </row>
    <row r="101" spans="1:9">
      <c r="A101" s="43"/>
      <c r="B101" s="94" t="s">
        <v>151</v>
      </c>
      <c r="C101" s="26">
        <v>620</v>
      </c>
      <c r="D101" s="26">
        <v>740</v>
      </c>
      <c r="E101" s="26">
        <v>530</v>
      </c>
      <c r="F101" s="27">
        <v>8098000</v>
      </c>
      <c r="G101" s="29"/>
      <c r="H101" s="27">
        <v>13802000</v>
      </c>
      <c r="I101" s="29"/>
    </row>
    <row r="102" spans="1:9">
      <c r="A102" s="43"/>
      <c r="B102" s="94" t="s">
        <v>152</v>
      </c>
      <c r="C102" s="26">
        <v>620</v>
      </c>
      <c r="D102" s="26">
        <v>740</v>
      </c>
      <c r="E102" s="26">
        <v>680</v>
      </c>
      <c r="F102" s="27">
        <v>9771000</v>
      </c>
      <c r="G102" s="29"/>
      <c r="H102" s="27">
        <v>16627000</v>
      </c>
      <c r="I102" s="29"/>
    </row>
    <row r="103" spans="1:9">
      <c r="A103" s="43"/>
      <c r="B103" s="94" t="s">
        <v>153</v>
      </c>
      <c r="C103" s="26">
        <v>620</v>
      </c>
      <c r="D103" s="26">
        <v>740</v>
      </c>
      <c r="E103" s="26">
        <v>980</v>
      </c>
      <c r="F103" s="27">
        <v>13081000</v>
      </c>
      <c r="G103" s="29"/>
      <c r="H103" s="27">
        <v>22241000</v>
      </c>
      <c r="I103" s="29"/>
    </row>
    <row r="104" spans="1:9">
      <c r="A104" s="43"/>
      <c r="B104" s="94" t="s">
        <v>154</v>
      </c>
      <c r="C104" s="26">
        <v>620</v>
      </c>
      <c r="D104" s="26">
        <v>740</v>
      </c>
      <c r="E104" s="26">
        <v>430</v>
      </c>
      <c r="F104" s="27">
        <v>7032000</v>
      </c>
      <c r="G104" s="29"/>
      <c r="H104" s="27">
        <v>11968000</v>
      </c>
      <c r="I104" s="29"/>
    </row>
    <row r="105" spans="1:9">
      <c r="A105" s="53"/>
      <c r="B105" s="111" t="s">
        <v>155</v>
      </c>
      <c r="C105" s="55">
        <v>320</v>
      </c>
      <c r="D105" s="55">
        <v>740</v>
      </c>
      <c r="E105" s="55">
        <v>380</v>
      </c>
      <c r="F105" s="48">
        <v>4220000</v>
      </c>
      <c r="G105" s="30"/>
      <c r="H105" s="48">
        <v>7129000</v>
      </c>
      <c r="I105" s="30"/>
    </row>
    <row r="106" spans="1:9">
      <c r="A106" s="53"/>
      <c r="B106" s="111" t="s">
        <v>156</v>
      </c>
      <c r="C106" s="55">
        <v>320</v>
      </c>
      <c r="D106" s="55">
        <v>740</v>
      </c>
      <c r="E106" s="55">
        <v>530</v>
      </c>
      <c r="F106" s="48">
        <v>5419000</v>
      </c>
      <c r="G106" s="30"/>
      <c r="H106" s="48">
        <v>9170000</v>
      </c>
      <c r="I106" s="30"/>
    </row>
    <row r="107" spans="1:9">
      <c r="A107" s="53"/>
      <c r="B107" s="111" t="s">
        <v>157</v>
      </c>
      <c r="C107" s="55">
        <v>320</v>
      </c>
      <c r="D107" s="55">
        <v>740</v>
      </c>
      <c r="E107" s="55">
        <v>680</v>
      </c>
      <c r="F107" s="48">
        <v>6643000</v>
      </c>
      <c r="G107" s="30"/>
      <c r="H107" s="48">
        <v>11236000</v>
      </c>
      <c r="I107" s="30"/>
    </row>
    <row r="108" spans="1:9">
      <c r="A108" s="53"/>
      <c r="B108" s="111" t="s">
        <v>158</v>
      </c>
      <c r="C108" s="55">
        <v>320</v>
      </c>
      <c r="D108" s="55">
        <v>740</v>
      </c>
      <c r="E108" s="55">
        <v>980</v>
      </c>
      <c r="F108" s="48">
        <v>9056000</v>
      </c>
      <c r="G108" s="30"/>
      <c r="H108" s="48">
        <v>15332000</v>
      </c>
      <c r="I108" s="30"/>
    </row>
    <row r="109" spans="1:9" ht="18">
      <c r="A109" s="20" t="e">
        <f ca="1">_xludf.image("https://lh3.google.com/u/0/d/1zLZR5QfPcQw6WwsvWsCDT04UUSktqtBp",1)</f>
        <v>#NAME?</v>
      </c>
      <c r="B109" s="110" t="s">
        <v>436</v>
      </c>
      <c r="C109" s="141"/>
      <c r="D109" s="136"/>
      <c r="E109" s="137"/>
      <c r="F109" s="78"/>
      <c r="G109" s="78"/>
      <c r="H109" s="78"/>
      <c r="I109" s="78"/>
    </row>
    <row r="110" spans="1:9">
      <c r="A110" s="43"/>
      <c r="B110" s="94" t="s">
        <v>160</v>
      </c>
      <c r="C110" s="26">
        <v>620</v>
      </c>
      <c r="D110" s="26">
        <v>600</v>
      </c>
      <c r="E110" s="50"/>
      <c r="F110" s="42">
        <v>1118000</v>
      </c>
      <c r="G110" s="29"/>
      <c r="H110" s="42">
        <v>1973000</v>
      </c>
      <c r="I110" s="29"/>
    </row>
    <row r="111" spans="1:9">
      <c r="A111" s="43"/>
      <c r="B111" s="94" t="s">
        <v>161</v>
      </c>
      <c r="C111" s="26">
        <v>620</v>
      </c>
      <c r="D111" s="26">
        <v>740</v>
      </c>
      <c r="E111" s="50"/>
      <c r="F111" s="42">
        <v>1378000</v>
      </c>
      <c r="G111" s="29"/>
      <c r="H111" s="42">
        <v>2434000</v>
      </c>
      <c r="I111" s="29"/>
    </row>
    <row r="112" spans="1:9">
      <c r="A112" s="43"/>
      <c r="B112" s="94" t="s">
        <v>162</v>
      </c>
      <c r="C112" s="26">
        <v>620</v>
      </c>
      <c r="D112" s="26">
        <v>850</v>
      </c>
      <c r="E112" s="50"/>
      <c r="F112" s="42">
        <v>1583000</v>
      </c>
      <c r="G112" s="29"/>
      <c r="H112" s="42">
        <v>2795000</v>
      </c>
      <c r="I112" s="29"/>
    </row>
    <row r="113" spans="1:9">
      <c r="A113" s="43"/>
      <c r="B113" s="94" t="s">
        <v>163</v>
      </c>
      <c r="C113" s="26">
        <v>620</v>
      </c>
      <c r="D113" s="26">
        <v>1100</v>
      </c>
      <c r="E113" s="50"/>
      <c r="F113" s="42">
        <v>2049000</v>
      </c>
      <c r="G113" s="29"/>
      <c r="H113" s="42">
        <v>3617000</v>
      </c>
      <c r="I113" s="29"/>
    </row>
    <row r="114" spans="1:9">
      <c r="A114" s="43"/>
      <c r="B114" s="94" t="s">
        <v>164</v>
      </c>
      <c r="C114" s="26">
        <v>100</v>
      </c>
      <c r="D114" s="26">
        <v>840</v>
      </c>
      <c r="E114" s="50"/>
      <c r="F114" s="42">
        <v>253000</v>
      </c>
      <c r="G114" s="29"/>
      <c r="H114" s="42">
        <v>446000</v>
      </c>
      <c r="I114" s="29"/>
    </row>
    <row r="115" spans="1:9">
      <c r="A115" s="43"/>
      <c r="B115" s="94" t="s">
        <v>165</v>
      </c>
      <c r="C115" s="26">
        <v>100</v>
      </c>
      <c r="D115" s="26">
        <v>1100</v>
      </c>
      <c r="E115" s="50"/>
      <c r="F115" s="42">
        <v>331000</v>
      </c>
      <c r="G115" s="29"/>
      <c r="H115" s="42">
        <v>584000</v>
      </c>
      <c r="I115" s="29"/>
    </row>
    <row r="116" spans="1:9">
      <c r="A116" s="43"/>
      <c r="B116" s="94" t="s">
        <v>166</v>
      </c>
      <c r="C116" s="26">
        <v>100</v>
      </c>
      <c r="D116" s="26" t="s">
        <v>167</v>
      </c>
      <c r="E116" s="50"/>
      <c r="F116" s="42">
        <v>200000</v>
      </c>
      <c r="G116" s="29"/>
      <c r="H116" s="42">
        <v>200000</v>
      </c>
      <c r="I116" s="29"/>
    </row>
    <row r="117" spans="1:9">
      <c r="A117" s="43"/>
      <c r="B117" s="94" t="s">
        <v>437</v>
      </c>
      <c r="C117" s="50"/>
      <c r="D117" s="50"/>
      <c r="E117" s="50"/>
      <c r="F117" s="42">
        <v>3118000</v>
      </c>
      <c r="G117" s="29"/>
      <c r="H117" s="42">
        <v>3118000</v>
      </c>
      <c r="I117" s="29"/>
    </row>
    <row r="118" spans="1:9">
      <c r="A118" s="43"/>
      <c r="B118" s="94" t="s">
        <v>438</v>
      </c>
      <c r="C118" s="50"/>
      <c r="D118" s="50"/>
      <c r="E118" s="50"/>
      <c r="F118" s="42">
        <v>4345000</v>
      </c>
      <c r="G118" s="29"/>
      <c r="H118" s="42">
        <v>4345000</v>
      </c>
      <c r="I118" s="29"/>
    </row>
    <row r="119" spans="1:9" ht="12.75">
      <c r="A119" s="8"/>
      <c r="B119" s="4"/>
      <c r="C119" s="4"/>
      <c r="D119" s="4"/>
      <c r="E119" s="4"/>
      <c r="F119" s="112"/>
      <c r="G119" s="3"/>
      <c r="H119" s="3"/>
      <c r="I119" s="3"/>
    </row>
    <row r="120" spans="1:9" ht="12.75">
      <c r="A120" s="8"/>
      <c r="B120" s="4"/>
      <c r="C120" s="4"/>
      <c r="D120" s="4"/>
      <c r="E120" s="4"/>
      <c r="F120" s="112"/>
      <c r="G120" s="3"/>
      <c r="H120" s="3"/>
      <c r="I120" s="3"/>
    </row>
    <row r="121" spans="1:9" ht="18.75">
      <c r="A121" s="113" t="s">
        <v>439</v>
      </c>
      <c r="B121" s="60"/>
      <c r="C121" s="60"/>
      <c r="D121" s="60"/>
      <c r="E121" s="60"/>
      <c r="F121" s="131" t="s">
        <v>432</v>
      </c>
      <c r="G121" s="128"/>
      <c r="H121" s="128"/>
      <c r="I121" s="128"/>
    </row>
    <row r="122" spans="1:9" ht="47.25">
      <c r="A122" s="9"/>
      <c r="B122" s="61"/>
      <c r="C122" s="132" t="s">
        <v>7</v>
      </c>
      <c r="D122" s="133"/>
      <c r="E122" s="134"/>
      <c r="F122" s="114" t="s">
        <v>9</v>
      </c>
      <c r="G122" s="114" t="s">
        <v>10</v>
      </c>
      <c r="H122" s="114" t="s">
        <v>11</v>
      </c>
      <c r="I122" s="115" t="s">
        <v>12</v>
      </c>
    </row>
    <row r="123" spans="1:9">
      <c r="A123" s="12"/>
      <c r="B123" s="14" t="s">
        <v>49</v>
      </c>
      <c r="C123" s="14" t="s">
        <v>50</v>
      </c>
      <c r="D123" s="14" t="s">
        <v>51</v>
      </c>
      <c r="E123" s="14" t="s">
        <v>52</v>
      </c>
      <c r="F123" s="15" t="s">
        <v>53</v>
      </c>
      <c r="G123" s="15" t="s">
        <v>53</v>
      </c>
      <c r="H123" s="15" t="s">
        <v>53</v>
      </c>
      <c r="I123" s="15" t="s">
        <v>53</v>
      </c>
    </row>
    <row r="124" spans="1:9" ht="18">
      <c r="A124" s="16" t="e">
        <f ca="1">_xludf.image("https://lh3.google.com/u/0/d/1VXH2xqPa9x_nAlmXCBfLK2RwsgRqS38K",1)</f>
        <v>#NAME?</v>
      </c>
      <c r="B124" s="92" t="s">
        <v>174</v>
      </c>
      <c r="C124" s="147"/>
      <c r="D124" s="145"/>
      <c r="E124" s="146"/>
      <c r="F124" s="63"/>
      <c r="G124" s="63"/>
      <c r="H124" s="63"/>
      <c r="I124" s="63"/>
    </row>
    <row r="125" spans="1:9" ht="12.75">
      <c r="A125" s="20"/>
      <c r="B125" s="159" t="s">
        <v>175</v>
      </c>
      <c r="C125" s="136"/>
      <c r="D125" s="136"/>
      <c r="E125" s="137"/>
      <c r="F125" s="22"/>
      <c r="G125" s="22"/>
      <c r="H125" s="22"/>
      <c r="I125" s="22"/>
    </row>
    <row r="126" spans="1:9">
      <c r="A126" s="24"/>
      <c r="B126" s="94" t="s">
        <v>176</v>
      </c>
      <c r="C126" s="26">
        <v>380</v>
      </c>
      <c r="D126" s="26">
        <v>360</v>
      </c>
      <c r="E126" s="95">
        <v>530</v>
      </c>
      <c r="F126" s="27">
        <v>6988000</v>
      </c>
      <c r="G126" s="27">
        <v>7653000</v>
      </c>
      <c r="H126" s="27">
        <v>7716000</v>
      </c>
      <c r="I126" s="27">
        <v>8372000</v>
      </c>
    </row>
    <row r="127" spans="1:9">
      <c r="A127" s="24"/>
      <c r="B127" s="94" t="s">
        <v>177</v>
      </c>
      <c r="C127" s="26">
        <v>380</v>
      </c>
      <c r="D127" s="26">
        <v>360</v>
      </c>
      <c r="E127" s="95">
        <v>680</v>
      </c>
      <c r="F127" s="27">
        <v>7484000</v>
      </c>
      <c r="G127" s="27">
        <v>8371000</v>
      </c>
      <c r="H127" s="27">
        <v>8434000</v>
      </c>
      <c r="I127" s="27">
        <v>9308000</v>
      </c>
    </row>
    <row r="128" spans="1:9">
      <c r="A128" s="24"/>
      <c r="B128" s="94" t="s">
        <v>178</v>
      </c>
      <c r="C128" s="26">
        <v>380</v>
      </c>
      <c r="D128" s="26">
        <v>360</v>
      </c>
      <c r="E128" s="95">
        <v>980</v>
      </c>
      <c r="F128" s="27">
        <v>8458000</v>
      </c>
      <c r="G128" s="27">
        <v>9788000</v>
      </c>
      <c r="H128" s="27">
        <v>9849000</v>
      </c>
      <c r="I128" s="27">
        <v>11160000</v>
      </c>
    </row>
    <row r="129" spans="1:9">
      <c r="A129" s="24"/>
      <c r="B129" s="94" t="s">
        <v>179</v>
      </c>
      <c r="C129" s="26">
        <v>380</v>
      </c>
      <c r="D129" s="26">
        <v>563</v>
      </c>
      <c r="E129" s="95">
        <v>530</v>
      </c>
      <c r="F129" s="27">
        <v>8080000</v>
      </c>
      <c r="G129" s="27">
        <v>9227000</v>
      </c>
      <c r="H129" s="27">
        <v>9266000</v>
      </c>
      <c r="I129" s="27">
        <v>10398000</v>
      </c>
    </row>
    <row r="130" spans="1:9">
      <c r="A130" s="24"/>
      <c r="B130" s="94" t="s">
        <v>180</v>
      </c>
      <c r="C130" s="26">
        <v>380</v>
      </c>
      <c r="D130" s="26">
        <v>563</v>
      </c>
      <c r="E130" s="95">
        <v>680</v>
      </c>
      <c r="F130" s="27">
        <v>8855000</v>
      </c>
      <c r="G130" s="27">
        <v>10385000</v>
      </c>
      <c r="H130" s="27">
        <v>10403000</v>
      </c>
      <c r="I130" s="27">
        <v>11911000</v>
      </c>
    </row>
    <row r="131" spans="1:9">
      <c r="A131" s="24"/>
      <c r="B131" s="94" t="s">
        <v>181</v>
      </c>
      <c r="C131" s="26">
        <v>380</v>
      </c>
      <c r="D131" s="26">
        <v>563</v>
      </c>
      <c r="E131" s="95">
        <v>980</v>
      </c>
      <c r="F131" s="27">
        <v>10385000</v>
      </c>
      <c r="G131" s="27">
        <v>12679000</v>
      </c>
      <c r="H131" s="27">
        <v>12654000</v>
      </c>
      <c r="I131" s="27">
        <v>14916000</v>
      </c>
    </row>
    <row r="132" spans="1:9">
      <c r="A132" s="24"/>
      <c r="B132" s="94" t="s">
        <v>182</v>
      </c>
      <c r="C132" s="26">
        <v>380</v>
      </c>
      <c r="D132" s="26">
        <v>360</v>
      </c>
      <c r="E132" s="95">
        <v>530</v>
      </c>
      <c r="F132" s="27">
        <v>13088000</v>
      </c>
      <c r="G132" s="27">
        <v>13753000</v>
      </c>
      <c r="H132" s="27">
        <v>13816000</v>
      </c>
      <c r="I132" s="27">
        <v>14472000</v>
      </c>
    </row>
    <row r="133" spans="1:9">
      <c r="A133" s="24"/>
      <c r="B133" s="94" t="s">
        <v>183</v>
      </c>
      <c r="C133" s="26">
        <v>380</v>
      </c>
      <c r="D133" s="26">
        <v>360</v>
      </c>
      <c r="E133" s="95">
        <v>680</v>
      </c>
      <c r="F133" s="27">
        <v>13584000</v>
      </c>
      <c r="G133" s="27">
        <v>14471000</v>
      </c>
      <c r="H133" s="27">
        <v>14534000</v>
      </c>
      <c r="I133" s="27">
        <v>15408000</v>
      </c>
    </row>
    <row r="134" spans="1:9">
      <c r="A134" s="24"/>
      <c r="B134" s="94" t="s">
        <v>184</v>
      </c>
      <c r="C134" s="26">
        <v>380</v>
      </c>
      <c r="D134" s="26">
        <v>360</v>
      </c>
      <c r="E134" s="95">
        <v>980</v>
      </c>
      <c r="F134" s="27">
        <v>14558000</v>
      </c>
      <c r="G134" s="27">
        <v>15888000</v>
      </c>
      <c r="H134" s="27">
        <v>15949000</v>
      </c>
      <c r="I134" s="27">
        <v>17260000</v>
      </c>
    </row>
    <row r="135" spans="1:9">
      <c r="A135" s="24"/>
      <c r="B135" s="94" t="s">
        <v>185</v>
      </c>
      <c r="C135" s="26">
        <v>380</v>
      </c>
      <c r="D135" s="26">
        <v>563</v>
      </c>
      <c r="E135" s="95">
        <v>530</v>
      </c>
      <c r="F135" s="27">
        <v>14180000</v>
      </c>
      <c r="G135" s="27">
        <v>15327000</v>
      </c>
      <c r="H135" s="27">
        <v>15366000</v>
      </c>
      <c r="I135" s="27">
        <v>16498000</v>
      </c>
    </row>
    <row r="136" spans="1:9">
      <c r="A136" s="24"/>
      <c r="B136" s="94" t="s">
        <v>186</v>
      </c>
      <c r="C136" s="26">
        <v>380</v>
      </c>
      <c r="D136" s="26">
        <v>563</v>
      </c>
      <c r="E136" s="95">
        <v>680</v>
      </c>
      <c r="F136" s="27">
        <v>14955000</v>
      </c>
      <c r="G136" s="27">
        <v>16485000</v>
      </c>
      <c r="H136" s="27">
        <v>16503000</v>
      </c>
      <c r="I136" s="27">
        <v>18011000</v>
      </c>
    </row>
    <row r="137" spans="1:9">
      <c r="A137" s="24"/>
      <c r="B137" s="94" t="s">
        <v>187</v>
      </c>
      <c r="C137" s="26">
        <v>380</v>
      </c>
      <c r="D137" s="26">
        <v>563</v>
      </c>
      <c r="E137" s="95">
        <v>980</v>
      </c>
      <c r="F137" s="27">
        <v>16485000</v>
      </c>
      <c r="G137" s="27">
        <v>18779000</v>
      </c>
      <c r="H137" s="27">
        <v>18754000</v>
      </c>
      <c r="I137" s="27">
        <v>21016000</v>
      </c>
    </row>
    <row r="138" spans="1:9" ht="18">
      <c r="A138" s="16" t="e">
        <f ca="1">_xludf.image("https://lh3.google.com/u/0/d/1DE9kp6NyD0wMCJZkL5pnYtZgRBDF63cD",1)</f>
        <v>#NAME?</v>
      </c>
      <c r="B138" s="92" t="s">
        <v>188</v>
      </c>
      <c r="C138" s="147"/>
      <c r="D138" s="145"/>
      <c r="E138" s="146"/>
      <c r="F138" s="63"/>
      <c r="G138" s="63"/>
      <c r="H138" s="63"/>
      <c r="I138" s="63"/>
    </row>
    <row r="139" spans="1:9" ht="12.75">
      <c r="A139" s="20"/>
      <c r="B139" s="159" t="s">
        <v>189</v>
      </c>
      <c r="C139" s="136"/>
      <c r="D139" s="136"/>
      <c r="E139" s="137"/>
      <c r="F139" s="22"/>
      <c r="G139" s="22"/>
      <c r="H139" s="22"/>
      <c r="I139" s="22"/>
    </row>
    <row r="140" spans="1:9">
      <c r="A140" s="24"/>
      <c r="B140" s="94" t="s">
        <v>190</v>
      </c>
      <c r="C140" s="26">
        <v>380</v>
      </c>
      <c r="D140" s="26">
        <v>360</v>
      </c>
      <c r="E140" s="95">
        <v>530</v>
      </c>
      <c r="F140" s="27">
        <v>5888000</v>
      </c>
      <c r="G140" s="27">
        <v>6553000</v>
      </c>
      <c r="H140" s="27">
        <v>6616000</v>
      </c>
      <c r="I140" s="27">
        <v>7272000</v>
      </c>
    </row>
    <row r="141" spans="1:9">
      <c r="A141" s="24"/>
      <c r="B141" s="94" t="s">
        <v>191</v>
      </c>
      <c r="C141" s="26">
        <v>380</v>
      </c>
      <c r="D141" s="26">
        <v>360</v>
      </c>
      <c r="E141" s="95">
        <v>680</v>
      </c>
      <c r="F141" s="27">
        <v>6384000</v>
      </c>
      <c r="G141" s="27">
        <v>7271000</v>
      </c>
      <c r="H141" s="27">
        <v>7334000</v>
      </c>
      <c r="I141" s="27">
        <v>8208000</v>
      </c>
    </row>
    <row r="142" spans="1:9">
      <c r="A142" s="24"/>
      <c r="B142" s="94" t="s">
        <v>192</v>
      </c>
      <c r="C142" s="26">
        <v>380</v>
      </c>
      <c r="D142" s="26">
        <v>360</v>
      </c>
      <c r="E142" s="95">
        <v>980</v>
      </c>
      <c r="F142" s="27">
        <v>7358000</v>
      </c>
      <c r="G142" s="27">
        <v>8688000</v>
      </c>
      <c r="H142" s="27">
        <v>8749000</v>
      </c>
      <c r="I142" s="27">
        <v>10060000</v>
      </c>
    </row>
    <row r="143" spans="1:9">
      <c r="A143" s="24"/>
      <c r="B143" s="94" t="s">
        <v>193</v>
      </c>
      <c r="C143" s="26">
        <v>380</v>
      </c>
      <c r="D143" s="26">
        <v>600</v>
      </c>
      <c r="E143" s="95">
        <v>530</v>
      </c>
      <c r="F143" s="27">
        <v>7125000</v>
      </c>
      <c r="G143" s="27">
        <v>8360000</v>
      </c>
      <c r="H143" s="27">
        <v>8395000</v>
      </c>
      <c r="I143" s="27">
        <v>9612000</v>
      </c>
    </row>
    <row r="144" spans="1:9">
      <c r="A144" s="24"/>
      <c r="B144" s="94" t="s">
        <v>194</v>
      </c>
      <c r="C144" s="26">
        <v>380</v>
      </c>
      <c r="D144" s="26">
        <v>600</v>
      </c>
      <c r="E144" s="95">
        <v>680</v>
      </c>
      <c r="F144" s="27">
        <v>7936000</v>
      </c>
      <c r="G144" s="27">
        <v>9582000</v>
      </c>
      <c r="H144" s="27">
        <v>9592000</v>
      </c>
      <c r="I144" s="27">
        <v>11215000</v>
      </c>
    </row>
    <row r="145" spans="1:9">
      <c r="A145" s="24"/>
      <c r="B145" s="94" t="s">
        <v>195</v>
      </c>
      <c r="C145" s="26">
        <v>380</v>
      </c>
      <c r="D145" s="26">
        <v>600</v>
      </c>
      <c r="E145" s="95">
        <v>980</v>
      </c>
      <c r="F145" s="27">
        <v>9536000</v>
      </c>
      <c r="G145" s="27">
        <v>12006000</v>
      </c>
      <c r="H145" s="27">
        <v>11964000</v>
      </c>
      <c r="I145" s="27">
        <v>14400000</v>
      </c>
    </row>
    <row r="146" spans="1:9">
      <c r="A146" s="24"/>
      <c r="B146" s="94" t="s">
        <v>196</v>
      </c>
      <c r="C146" s="26">
        <v>380</v>
      </c>
      <c r="D146" s="26">
        <v>360</v>
      </c>
      <c r="E146" s="95">
        <v>530</v>
      </c>
      <c r="F146" s="27">
        <v>16488000</v>
      </c>
      <c r="G146" s="27">
        <v>17153000</v>
      </c>
      <c r="H146" s="27">
        <v>17216000</v>
      </c>
      <c r="I146" s="27">
        <v>17872000</v>
      </c>
    </row>
    <row r="147" spans="1:9">
      <c r="A147" s="24"/>
      <c r="B147" s="94" t="s">
        <v>197</v>
      </c>
      <c r="C147" s="26">
        <v>380</v>
      </c>
      <c r="D147" s="26">
        <v>360</v>
      </c>
      <c r="E147" s="95">
        <v>680</v>
      </c>
      <c r="F147" s="27">
        <v>16984000</v>
      </c>
      <c r="G147" s="27">
        <v>17871000</v>
      </c>
      <c r="H147" s="27">
        <v>17934000</v>
      </c>
      <c r="I147" s="27">
        <v>18808000</v>
      </c>
    </row>
    <row r="148" spans="1:9">
      <c r="A148" s="24"/>
      <c r="B148" s="94" t="s">
        <v>198</v>
      </c>
      <c r="C148" s="26">
        <v>380</v>
      </c>
      <c r="D148" s="26">
        <v>360</v>
      </c>
      <c r="E148" s="95">
        <v>980</v>
      </c>
      <c r="F148" s="27">
        <v>17958000</v>
      </c>
      <c r="G148" s="27">
        <v>19288000</v>
      </c>
      <c r="H148" s="27">
        <v>19349000</v>
      </c>
      <c r="I148" s="27">
        <v>20660000</v>
      </c>
    </row>
    <row r="149" spans="1:9">
      <c r="A149" s="24"/>
      <c r="B149" s="94" t="s">
        <v>199</v>
      </c>
      <c r="C149" s="26">
        <v>380</v>
      </c>
      <c r="D149" s="26">
        <v>600</v>
      </c>
      <c r="E149" s="95">
        <v>530</v>
      </c>
      <c r="F149" s="27">
        <v>17725000</v>
      </c>
      <c r="G149" s="27">
        <v>18960000</v>
      </c>
      <c r="H149" s="27">
        <v>18995000</v>
      </c>
      <c r="I149" s="27">
        <v>20212000</v>
      </c>
    </row>
    <row r="150" spans="1:9">
      <c r="A150" s="24"/>
      <c r="B150" s="94" t="s">
        <v>200</v>
      </c>
      <c r="C150" s="26">
        <v>380</v>
      </c>
      <c r="D150" s="26">
        <v>600</v>
      </c>
      <c r="E150" s="95">
        <v>680</v>
      </c>
      <c r="F150" s="27">
        <v>18536000</v>
      </c>
      <c r="G150" s="27">
        <v>20182000</v>
      </c>
      <c r="H150" s="27">
        <v>20192000</v>
      </c>
      <c r="I150" s="27">
        <v>21815000</v>
      </c>
    </row>
    <row r="151" spans="1:9">
      <c r="A151" s="24"/>
      <c r="B151" s="94" t="s">
        <v>201</v>
      </c>
      <c r="C151" s="26">
        <v>380</v>
      </c>
      <c r="D151" s="26">
        <v>600</v>
      </c>
      <c r="E151" s="95">
        <v>980</v>
      </c>
      <c r="F151" s="27">
        <v>20136000</v>
      </c>
      <c r="G151" s="27">
        <v>22606000</v>
      </c>
      <c r="H151" s="27">
        <v>22564000</v>
      </c>
      <c r="I151" s="27">
        <v>25000000</v>
      </c>
    </row>
    <row r="152" spans="1:9" ht="18">
      <c r="A152" s="16" t="e">
        <f ca="1">_xludf.image("https://lh3.google.com/u/0/d/1nIlvE4hSr9q7YJRMHlr6h6MLKyRuHQsX",1)</f>
        <v>#NAME?</v>
      </c>
      <c r="B152" s="92" t="s">
        <v>202</v>
      </c>
      <c r="C152" s="147"/>
      <c r="D152" s="145"/>
      <c r="E152" s="146"/>
      <c r="F152" s="63"/>
      <c r="G152" s="63"/>
      <c r="H152" s="63"/>
      <c r="I152" s="63"/>
    </row>
    <row r="153" spans="1:9" ht="12.75">
      <c r="A153" s="20"/>
      <c r="B153" s="159" t="s">
        <v>203</v>
      </c>
      <c r="C153" s="136"/>
      <c r="D153" s="136"/>
      <c r="E153" s="137"/>
      <c r="F153" s="22"/>
      <c r="G153" s="22"/>
      <c r="H153" s="22"/>
      <c r="I153" s="22"/>
    </row>
    <row r="154" spans="1:9">
      <c r="A154" s="24"/>
      <c r="B154" s="94" t="s">
        <v>204</v>
      </c>
      <c r="C154" s="26">
        <v>380</v>
      </c>
      <c r="D154" s="26">
        <v>360</v>
      </c>
      <c r="E154" s="95">
        <v>530</v>
      </c>
      <c r="F154" s="27">
        <v>8788000</v>
      </c>
      <c r="G154" s="27">
        <v>9453000</v>
      </c>
      <c r="H154" s="27">
        <v>9516000</v>
      </c>
      <c r="I154" s="27">
        <v>10172000</v>
      </c>
    </row>
    <row r="155" spans="1:9">
      <c r="A155" s="24"/>
      <c r="B155" s="94" t="s">
        <v>205</v>
      </c>
      <c r="C155" s="26">
        <v>380</v>
      </c>
      <c r="D155" s="26">
        <v>360</v>
      </c>
      <c r="E155" s="95">
        <v>680</v>
      </c>
      <c r="F155" s="27">
        <v>9284000</v>
      </c>
      <c r="G155" s="27">
        <v>10171000</v>
      </c>
      <c r="H155" s="27">
        <v>10234000</v>
      </c>
      <c r="I155" s="27">
        <v>11108000</v>
      </c>
    </row>
    <row r="156" spans="1:9">
      <c r="A156" s="24"/>
      <c r="B156" s="94" t="s">
        <v>206</v>
      </c>
      <c r="C156" s="26">
        <v>380</v>
      </c>
      <c r="D156" s="26">
        <v>360</v>
      </c>
      <c r="E156" s="95">
        <v>980</v>
      </c>
      <c r="F156" s="27">
        <v>10258000</v>
      </c>
      <c r="G156" s="27">
        <v>11588000</v>
      </c>
      <c r="H156" s="27">
        <v>11649000</v>
      </c>
      <c r="I156" s="27">
        <v>12960000</v>
      </c>
    </row>
    <row r="157" spans="1:9">
      <c r="A157" s="24"/>
      <c r="B157" s="94" t="s">
        <v>207</v>
      </c>
      <c r="C157" s="26">
        <v>380</v>
      </c>
      <c r="D157" s="26">
        <v>600</v>
      </c>
      <c r="E157" s="95">
        <v>530</v>
      </c>
      <c r="F157" s="27">
        <v>10025000</v>
      </c>
      <c r="G157" s="27">
        <v>11260000</v>
      </c>
      <c r="H157" s="27">
        <v>11295000</v>
      </c>
      <c r="I157" s="27">
        <v>12512000</v>
      </c>
    </row>
    <row r="158" spans="1:9">
      <c r="A158" s="24"/>
      <c r="B158" s="94" t="s">
        <v>208</v>
      </c>
      <c r="C158" s="26">
        <v>380</v>
      </c>
      <c r="D158" s="26">
        <v>600</v>
      </c>
      <c r="E158" s="95">
        <v>680</v>
      </c>
      <c r="F158" s="27">
        <v>10836000</v>
      </c>
      <c r="G158" s="27">
        <v>12482000</v>
      </c>
      <c r="H158" s="27">
        <v>12492000</v>
      </c>
      <c r="I158" s="27">
        <v>14115000</v>
      </c>
    </row>
    <row r="159" spans="1:9">
      <c r="A159" s="24"/>
      <c r="B159" s="94" t="s">
        <v>209</v>
      </c>
      <c r="C159" s="26">
        <v>380</v>
      </c>
      <c r="D159" s="26">
        <v>600</v>
      </c>
      <c r="E159" s="95">
        <v>980</v>
      </c>
      <c r="F159" s="27">
        <v>12436000</v>
      </c>
      <c r="G159" s="27">
        <v>14906000</v>
      </c>
      <c r="H159" s="27">
        <v>14864000</v>
      </c>
      <c r="I159" s="27">
        <v>17300000</v>
      </c>
    </row>
    <row r="160" spans="1:9">
      <c r="A160" s="24"/>
      <c r="B160" s="94" t="s">
        <v>210</v>
      </c>
      <c r="C160" s="26">
        <v>380</v>
      </c>
      <c r="D160" s="26">
        <v>360</v>
      </c>
      <c r="E160" s="95">
        <v>530</v>
      </c>
      <c r="F160" s="27">
        <v>19838000</v>
      </c>
      <c r="G160" s="27">
        <v>20503000</v>
      </c>
      <c r="H160" s="27">
        <v>20566000</v>
      </c>
      <c r="I160" s="27">
        <v>21222000</v>
      </c>
    </row>
    <row r="161" spans="1:9">
      <c r="A161" s="24"/>
      <c r="B161" s="94" t="s">
        <v>211</v>
      </c>
      <c r="C161" s="26">
        <v>380</v>
      </c>
      <c r="D161" s="26">
        <v>360</v>
      </c>
      <c r="E161" s="95">
        <v>680</v>
      </c>
      <c r="F161" s="27">
        <v>20334000</v>
      </c>
      <c r="G161" s="27">
        <v>21221000</v>
      </c>
      <c r="H161" s="27">
        <v>21284000</v>
      </c>
      <c r="I161" s="27">
        <v>22158000</v>
      </c>
    </row>
    <row r="162" spans="1:9">
      <c r="A162" s="24"/>
      <c r="B162" s="94" t="s">
        <v>212</v>
      </c>
      <c r="C162" s="26">
        <v>380</v>
      </c>
      <c r="D162" s="26">
        <v>360</v>
      </c>
      <c r="E162" s="95">
        <v>980</v>
      </c>
      <c r="F162" s="27">
        <v>21308000</v>
      </c>
      <c r="G162" s="27">
        <v>22638000</v>
      </c>
      <c r="H162" s="27">
        <v>22699000</v>
      </c>
      <c r="I162" s="27">
        <v>24010000</v>
      </c>
    </row>
    <row r="163" spans="1:9">
      <c r="A163" s="24"/>
      <c r="B163" s="94" t="s">
        <v>213</v>
      </c>
      <c r="C163" s="26">
        <v>380</v>
      </c>
      <c r="D163" s="26">
        <v>600</v>
      </c>
      <c r="E163" s="95">
        <v>530</v>
      </c>
      <c r="F163" s="27">
        <v>21075000</v>
      </c>
      <c r="G163" s="27">
        <v>22310000</v>
      </c>
      <c r="H163" s="27">
        <v>22345000</v>
      </c>
      <c r="I163" s="27">
        <v>23562000</v>
      </c>
    </row>
    <row r="164" spans="1:9">
      <c r="A164" s="24"/>
      <c r="B164" s="94" t="s">
        <v>214</v>
      </c>
      <c r="C164" s="26">
        <v>380</v>
      </c>
      <c r="D164" s="26">
        <v>600</v>
      </c>
      <c r="E164" s="95">
        <v>680</v>
      </c>
      <c r="F164" s="27">
        <v>21886000</v>
      </c>
      <c r="G164" s="27">
        <v>23532000</v>
      </c>
      <c r="H164" s="27">
        <v>23542000</v>
      </c>
      <c r="I164" s="27">
        <v>25165000</v>
      </c>
    </row>
    <row r="165" spans="1:9">
      <c r="A165" s="24"/>
      <c r="B165" s="94" t="s">
        <v>215</v>
      </c>
      <c r="C165" s="26">
        <v>380</v>
      </c>
      <c r="D165" s="26">
        <v>600</v>
      </c>
      <c r="E165" s="95">
        <v>980</v>
      </c>
      <c r="F165" s="27">
        <v>23486000</v>
      </c>
      <c r="G165" s="27">
        <v>25956000</v>
      </c>
      <c r="H165" s="27">
        <v>25914000</v>
      </c>
      <c r="I165" s="27">
        <v>28350000</v>
      </c>
    </row>
    <row r="166" spans="1:9" ht="18">
      <c r="A166" s="16" t="e">
        <f ca="1">_xludf.image("https://lh3.google.com/u/0/d/1I0hL5Y8m1uvQoAGRraoPC29eLMKdPCX0",1)</f>
        <v>#NAME?</v>
      </c>
      <c r="B166" s="92" t="s">
        <v>216</v>
      </c>
      <c r="C166" s="147"/>
      <c r="D166" s="145"/>
      <c r="E166" s="146"/>
      <c r="F166" s="63"/>
      <c r="G166" s="63"/>
      <c r="H166" s="63"/>
      <c r="I166" s="63"/>
    </row>
    <row r="167" spans="1:9" ht="12.75">
      <c r="A167" s="20"/>
      <c r="B167" s="159" t="s">
        <v>217</v>
      </c>
      <c r="C167" s="136"/>
      <c r="D167" s="136"/>
      <c r="E167" s="137"/>
      <c r="F167" s="22"/>
      <c r="G167" s="22"/>
      <c r="H167" s="22"/>
      <c r="I167" s="22"/>
    </row>
    <row r="168" spans="1:9">
      <c r="A168" s="24"/>
      <c r="B168" s="94" t="s">
        <v>218</v>
      </c>
      <c r="C168" s="26">
        <v>380</v>
      </c>
      <c r="D168" s="26">
        <v>723</v>
      </c>
      <c r="E168" s="95">
        <v>530</v>
      </c>
      <c r="F168" s="27">
        <v>7806000</v>
      </c>
      <c r="G168" s="27">
        <v>9333000</v>
      </c>
      <c r="H168" s="27">
        <v>9353000</v>
      </c>
      <c r="I168" s="27">
        <v>10859000</v>
      </c>
    </row>
    <row r="169" spans="1:9">
      <c r="A169" s="24"/>
      <c r="B169" s="94" t="s">
        <v>219</v>
      </c>
      <c r="C169" s="26">
        <v>380</v>
      </c>
      <c r="D169" s="26">
        <v>723</v>
      </c>
      <c r="E169" s="95">
        <v>680</v>
      </c>
      <c r="F169" s="27">
        <v>8734000</v>
      </c>
      <c r="G169" s="27">
        <v>10771000</v>
      </c>
      <c r="H169" s="27">
        <v>10753000</v>
      </c>
      <c r="I169" s="27">
        <v>12760000</v>
      </c>
    </row>
    <row r="170" spans="1:9">
      <c r="A170" s="24"/>
      <c r="B170" s="94" t="s">
        <v>220</v>
      </c>
      <c r="C170" s="26">
        <v>380</v>
      </c>
      <c r="D170" s="26">
        <v>723</v>
      </c>
      <c r="E170" s="95">
        <v>980</v>
      </c>
      <c r="F170" s="27">
        <v>10570000</v>
      </c>
      <c r="G170" s="27">
        <v>13624000</v>
      </c>
      <c r="H170" s="27">
        <v>13531000</v>
      </c>
      <c r="I170" s="27">
        <v>16542000</v>
      </c>
    </row>
    <row r="171" spans="1:9">
      <c r="A171" s="24"/>
      <c r="B171" s="94" t="s">
        <v>221</v>
      </c>
      <c r="C171" s="26">
        <v>380</v>
      </c>
      <c r="D171" s="26">
        <v>978</v>
      </c>
      <c r="E171" s="95">
        <v>530</v>
      </c>
      <c r="F171" s="27">
        <v>9112000</v>
      </c>
      <c r="G171" s="27">
        <v>11244000</v>
      </c>
      <c r="H171" s="27">
        <v>11233000</v>
      </c>
      <c r="I171" s="27">
        <v>13336000</v>
      </c>
    </row>
    <row r="172" spans="1:9">
      <c r="A172" s="24"/>
      <c r="B172" s="94" t="s">
        <v>222</v>
      </c>
      <c r="C172" s="26">
        <v>380</v>
      </c>
      <c r="D172" s="26">
        <v>978</v>
      </c>
      <c r="E172" s="95">
        <v>680</v>
      </c>
      <c r="F172" s="27">
        <v>10369000</v>
      </c>
      <c r="G172" s="27">
        <v>13212000</v>
      </c>
      <c r="H172" s="27">
        <v>13137000</v>
      </c>
      <c r="I172" s="27">
        <v>15941000</v>
      </c>
    </row>
    <row r="173" spans="1:9">
      <c r="A173" s="24"/>
      <c r="B173" s="94" t="s">
        <v>223</v>
      </c>
      <c r="C173" s="26">
        <v>380</v>
      </c>
      <c r="D173" s="26">
        <v>978</v>
      </c>
      <c r="E173" s="95">
        <v>980</v>
      </c>
      <c r="F173" s="27">
        <v>12861000</v>
      </c>
      <c r="G173" s="27">
        <v>17126000</v>
      </c>
      <c r="H173" s="27">
        <v>16924000</v>
      </c>
      <c r="I173" s="27">
        <v>21130000</v>
      </c>
    </row>
    <row r="174" spans="1:9">
      <c r="A174" s="24"/>
      <c r="B174" s="94" t="s">
        <v>224</v>
      </c>
      <c r="C174" s="26">
        <v>380</v>
      </c>
      <c r="D174" s="26">
        <v>723</v>
      </c>
      <c r="E174" s="95">
        <v>530</v>
      </c>
      <c r="F174" s="27">
        <v>17506000</v>
      </c>
      <c r="G174" s="27">
        <v>19033000</v>
      </c>
      <c r="H174" s="27">
        <v>19053000</v>
      </c>
      <c r="I174" s="27">
        <v>20559000</v>
      </c>
    </row>
    <row r="175" spans="1:9">
      <c r="A175" s="24"/>
      <c r="B175" s="94" t="s">
        <v>225</v>
      </c>
      <c r="C175" s="26">
        <v>380</v>
      </c>
      <c r="D175" s="26">
        <v>723</v>
      </c>
      <c r="E175" s="95">
        <v>680</v>
      </c>
      <c r="F175" s="27">
        <v>18434000</v>
      </c>
      <c r="G175" s="27">
        <v>20471000</v>
      </c>
      <c r="H175" s="27">
        <v>20453000</v>
      </c>
      <c r="I175" s="27">
        <v>22460000</v>
      </c>
    </row>
    <row r="176" spans="1:9">
      <c r="A176" s="24"/>
      <c r="B176" s="94" t="s">
        <v>226</v>
      </c>
      <c r="C176" s="26">
        <v>380</v>
      </c>
      <c r="D176" s="26">
        <v>723</v>
      </c>
      <c r="E176" s="95">
        <v>980</v>
      </c>
      <c r="F176" s="27">
        <v>20270000</v>
      </c>
      <c r="G176" s="27">
        <v>23324000</v>
      </c>
      <c r="H176" s="27">
        <v>23231000</v>
      </c>
      <c r="I176" s="27">
        <v>26242000</v>
      </c>
    </row>
    <row r="177" spans="1:9">
      <c r="A177" s="24"/>
      <c r="B177" s="94" t="s">
        <v>227</v>
      </c>
      <c r="C177" s="26">
        <v>380</v>
      </c>
      <c r="D177" s="26">
        <v>978</v>
      </c>
      <c r="E177" s="95">
        <v>530</v>
      </c>
      <c r="F177" s="27">
        <v>18812000</v>
      </c>
      <c r="G177" s="27">
        <v>20944000</v>
      </c>
      <c r="H177" s="27">
        <v>20933000</v>
      </c>
      <c r="I177" s="27">
        <v>23036000</v>
      </c>
    </row>
    <row r="178" spans="1:9">
      <c r="A178" s="24"/>
      <c r="B178" s="94" t="s">
        <v>228</v>
      </c>
      <c r="C178" s="26">
        <v>380</v>
      </c>
      <c r="D178" s="26">
        <v>978</v>
      </c>
      <c r="E178" s="95">
        <v>680</v>
      </c>
      <c r="F178" s="27">
        <v>20069000</v>
      </c>
      <c r="G178" s="27">
        <v>22912000</v>
      </c>
      <c r="H178" s="27">
        <v>22837000</v>
      </c>
      <c r="I178" s="27">
        <v>25641000</v>
      </c>
    </row>
    <row r="179" spans="1:9">
      <c r="A179" s="24"/>
      <c r="B179" s="94" t="s">
        <v>229</v>
      </c>
      <c r="C179" s="26">
        <v>380</v>
      </c>
      <c r="D179" s="26">
        <v>978</v>
      </c>
      <c r="E179" s="95">
        <v>980</v>
      </c>
      <c r="F179" s="27">
        <v>22561000</v>
      </c>
      <c r="G179" s="27">
        <v>26826000</v>
      </c>
      <c r="H179" s="27">
        <v>26624000</v>
      </c>
      <c r="I179" s="27">
        <v>30830000</v>
      </c>
    </row>
    <row r="180" spans="1:9" ht="18">
      <c r="A180" s="16" t="e">
        <f ca="1">_xludf.image("https://lh3.google.com/u/0/d/1FYX4okAcN43RMMTEPScFDFOi07fVzH5I",1)</f>
        <v>#NAME?</v>
      </c>
      <c r="B180" s="92" t="s">
        <v>230</v>
      </c>
      <c r="C180" s="147"/>
      <c r="D180" s="145"/>
      <c r="E180" s="146"/>
      <c r="F180" s="63"/>
      <c r="G180" s="63"/>
      <c r="H180" s="63"/>
      <c r="I180" s="63"/>
    </row>
    <row r="181" spans="1:9" ht="12.75">
      <c r="A181" s="20"/>
      <c r="B181" s="93" t="s">
        <v>231</v>
      </c>
      <c r="C181" s="65"/>
      <c r="D181" s="65"/>
      <c r="E181" s="66"/>
      <c r="F181" s="22"/>
      <c r="G181" s="22"/>
      <c r="H181" s="22"/>
      <c r="I181" s="22"/>
    </row>
    <row r="182" spans="1:9">
      <c r="A182" s="24" t="s">
        <v>232</v>
      </c>
      <c r="B182" s="94" t="s">
        <v>233</v>
      </c>
      <c r="C182" s="26">
        <v>450</v>
      </c>
      <c r="D182" s="26">
        <v>350</v>
      </c>
      <c r="E182" s="95">
        <v>780</v>
      </c>
      <c r="F182" s="27">
        <v>3235000</v>
      </c>
      <c r="G182" s="27">
        <v>4232000</v>
      </c>
      <c r="H182" s="27">
        <v>4297000</v>
      </c>
      <c r="I182" s="27">
        <v>5281000</v>
      </c>
    </row>
    <row r="183" spans="1:9">
      <c r="A183" s="24"/>
      <c r="B183" s="94" t="s">
        <v>234</v>
      </c>
      <c r="C183" s="26">
        <v>450</v>
      </c>
      <c r="D183" s="26">
        <v>350</v>
      </c>
      <c r="E183" s="95">
        <v>1000</v>
      </c>
      <c r="F183" s="27">
        <v>4621000</v>
      </c>
      <c r="G183" s="27">
        <v>5933000</v>
      </c>
      <c r="H183" s="27">
        <v>5998000</v>
      </c>
      <c r="I183" s="27">
        <v>7290000</v>
      </c>
    </row>
    <row r="184" spans="1:9">
      <c r="A184" s="24" t="s">
        <v>235</v>
      </c>
      <c r="B184" s="94" t="s">
        <v>236</v>
      </c>
      <c r="C184" s="26">
        <v>450</v>
      </c>
      <c r="D184" s="26">
        <v>550</v>
      </c>
      <c r="E184" s="95">
        <v>780</v>
      </c>
      <c r="F184" s="27">
        <v>4862000</v>
      </c>
      <c r="G184" s="27">
        <v>6598000</v>
      </c>
      <c r="H184" s="27">
        <v>6605000</v>
      </c>
      <c r="I184" s="27">
        <v>8317000</v>
      </c>
    </row>
    <row r="185" spans="1:9">
      <c r="A185" s="24"/>
      <c r="B185" s="94" t="s">
        <v>237</v>
      </c>
      <c r="C185" s="26">
        <v>450</v>
      </c>
      <c r="D185" s="26">
        <v>550</v>
      </c>
      <c r="E185" s="95">
        <v>1000</v>
      </c>
      <c r="F185" s="27">
        <v>6778000</v>
      </c>
      <c r="G185" s="27">
        <v>9060000</v>
      </c>
      <c r="H185" s="27">
        <v>9037000</v>
      </c>
      <c r="I185" s="27">
        <v>11287000</v>
      </c>
    </row>
    <row r="186" spans="1:9" ht="18">
      <c r="A186" s="16" t="e">
        <f ca="1">_xludf.image("https://lh3.google.com/u/0/d/15SIuX2dOtFeBigv5Egba1vQNS43oAWDh",1)</f>
        <v>#NAME?</v>
      </c>
      <c r="B186" s="92" t="s">
        <v>238</v>
      </c>
      <c r="C186" s="147"/>
      <c r="D186" s="145"/>
      <c r="E186" s="146"/>
      <c r="F186" s="63"/>
      <c r="G186" s="63"/>
      <c r="H186" s="63"/>
      <c r="I186" s="63"/>
    </row>
    <row r="187" spans="1:9" ht="12.75">
      <c r="A187" s="20"/>
      <c r="B187" s="93" t="s">
        <v>239</v>
      </c>
      <c r="C187" s="65"/>
      <c r="D187" s="65"/>
      <c r="E187" s="66"/>
      <c r="F187" s="22"/>
      <c r="G187" s="22"/>
      <c r="H187" s="22"/>
      <c r="I187" s="22"/>
    </row>
    <row r="188" spans="1:9">
      <c r="A188" s="24"/>
      <c r="B188" s="94" t="s">
        <v>240</v>
      </c>
      <c r="C188" s="26">
        <v>380</v>
      </c>
      <c r="D188" s="26">
        <v>600</v>
      </c>
      <c r="E188" s="95">
        <v>380</v>
      </c>
      <c r="F188" s="27">
        <v>2793000</v>
      </c>
      <c r="G188" s="27">
        <v>3616000</v>
      </c>
      <c r="H188" s="27">
        <v>3676000</v>
      </c>
      <c r="I188" s="27">
        <v>4488000</v>
      </c>
    </row>
    <row r="189" spans="1:9">
      <c r="A189" s="24"/>
      <c r="B189" s="94" t="s">
        <v>241</v>
      </c>
      <c r="C189" s="26">
        <v>380</v>
      </c>
      <c r="D189" s="26">
        <v>600</v>
      </c>
      <c r="E189" s="95">
        <v>530</v>
      </c>
      <c r="F189" s="27">
        <v>3583000</v>
      </c>
      <c r="G189" s="27">
        <v>4818000</v>
      </c>
      <c r="H189" s="27">
        <v>4853000</v>
      </c>
      <c r="I189" s="27">
        <v>6070000</v>
      </c>
    </row>
    <row r="190" spans="1:9">
      <c r="A190" s="24"/>
      <c r="B190" s="94" t="s">
        <v>242</v>
      </c>
      <c r="C190" s="26">
        <v>380</v>
      </c>
      <c r="D190" s="26">
        <v>600</v>
      </c>
      <c r="E190" s="95">
        <v>680</v>
      </c>
      <c r="F190" s="27">
        <v>4394000</v>
      </c>
      <c r="G190" s="27">
        <v>6040000</v>
      </c>
      <c r="H190" s="27">
        <v>6050000</v>
      </c>
      <c r="I190" s="27">
        <v>7673000</v>
      </c>
    </row>
    <row r="191" spans="1:9">
      <c r="A191" s="24"/>
      <c r="B191" s="94" t="s">
        <v>243</v>
      </c>
      <c r="C191" s="26">
        <v>380</v>
      </c>
      <c r="D191" s="26">
        <v>600</v>
      </c>
      <c r="E191" s="95">
        <v>980</v>
      </c>
      <c r="F191" s="27">
        <v>6352000</v>
      </c>
      <c r="G191" s="27">
        <v>8822000</v>
      </c>
      <c r="H191" s="27">
        <v>8780000</v>
      </c>
      <c r="I191" s="27">
        <v>11216000</v>
      </c>
    </row>
    <row r="192" spans="1:9">
      <c r="A192" s="43" t="e">
        <f ca="1">_xludf.image("https://lh3.google.com/u/0/d/1mlbhxm92MJxbH2fjFjfZDeNvnldhgUO3",1)</f>
        <v>#NAME?</v>
      </c>
      <c r="B192" s="94" t="s">
        <v>244</v>
      </c>
      <c r="C192" s="26">
        <v>650</v>
      </c>
      <c r="D192" s="26">
        <v>600</v>
      </c>
      <c r="E192" s="95">
        <v>730</v>
      </c>
      <c r="F192" s="27">
        <v>6220000</v>
      </c>
      <c r="G192" s="27">
        <v>8004000</v>
      </c>
      <c r="H192" s="27">
        <v>8005000</v>
      </c>
      <c r="I192" s="27">
        <v>9764000</v>
      </c>
    </row>
    <row r="193" spans="1:9">
      <c r="A193" s="43"/>
      <c r="B193" s="94" t="s">
        <v>245</v>
      </c>
      <c r="C193" s="26">
        <v>380</v>
      </c>
      <c r="D193" s="26">
        <v>600</v>
      </c>
      <c r="E193" s="95">
        <v>1130</v>
      </c>
      <c r="F193" s="27">
        <v>7212000</v>
      </c>
      <c r="G193" s="27">
        <v>10094000</v>
      </c>
      <c r="H193" s="27">
        <v>10027000</v>
      </c>
      <c r="I193" s="27">
        <v>12869000</v>
      </c>
    </row>
    <row r="194" spans="1:9">
      <c r="A194" s="24"/>
      <c r="B194" s="94" t="s">
        <v>246</v>
      </c>
      <c r="C194" s="26">
        <v>380</v>
      </c>
      <c r="D194" s="26">
        <v>600</v>
      </c>
      <c r="E194" s="95">
        <v>380</v>
      </c>
      <c r="F194" s="27">
        <v>2990000</v>
      </c>
      <c r="G194" s="27">
        <v>3813000</v>
      </c>
      <c r="H194" s="27">
        <v>3873000</v>
      </c>
      <c r="I194" s="27">
        <v>4685000</v>
      </c>
    </row>
    <row r="195" spans="1:9">
      <c r="A195" s="24"/>
      <c r="B195" s="94" t="s">
        <v>247</v>
      </c>
      <c r="C195" s="26">
        <v>380</v>
      </c>
      <c r="D195" s="26">
        <v>600</v>
      </c>
      <c r="E195" s="95">
        <v>530</v>
      </c>
      <c r="F195" s="27">
        <v>3884000</v>
      </c>
      <c r="G195" s="27">
        <v>5119000</v>
      </c>
      <c r="H195" s="27">
        <v>5154000</v>
      </c>
      <c r="I195" s="27">
        <v>6371000</v>
      </c>
    </row>
    <row r="196" spans="1:9">
      <c r="A196" s="24"/>
      <c r="B196" s="94" t="s">
        <v>248</v>
      </c>
      <c r="C196" s="26">
        <v>380</v>
      </c>
      <c r="D196" s="26">
        <v>600</v>
      </c>
      <c r="E196" s="95">
        <v>680</v>
      </c>
      <c r="F196" s="27">
        <v>4799000</v>
      </c>
      <c r="G196" s="27">
        <v>6445000</v>
      </c>
      <c r="H196" s="27">
        <v>6455000</v>
      </c>
      <c r="I196" s="27">
        <v>8078000</v>
      </c>
    </row>
    <row r="197" spans="1:9">
      <c r="A197" s="24"/>
      <c r="B197" s="94" t="s">
        <v>249</v>
      </c>
      <c r="C197" s="26">
        <v>380</v>
      </c>
      <c r="D197" s="26">
        <v>600</v>
      </c>
      <c r="E197" s="95">
        <v>980</v>
      </c>
      <c r="F197" s="27">
        <v>6965000</v>
      </c>
      <c r="G197" s="27">
        <v>9435000</v>
      </c>
      <c r="H197" s="27">
        <v>9393000</v>
      </c>
      <c r="I197" s="27">
        <v>11829000</v>
      </c>
    </row>
    <row r="198" spans="1:9" ht="18">
      <c r="A198" s="16" t="e">
        <f ca="1">_xludf.image("https://lh3.google.com/u/0/d/15SIuX2dOtFeBigv5Egba1vQNS43oAWDh",1)</f>
        <v>#NAME?</v>
      </c>
      <c r="B198" s="92" t="s">
        <v>250</v>
      </c>
      <c r="C198" s="147"/>
      <c r="D198" s="145"/>
      <c r="E198" s="146"/>
      <c r="F198" s="63"/>
      <c r="G198" s="63"/>
      <c r="H198" s="63"/>
      <c r="I198" s="63"/>
    </row>
    <row r="199" spans="1:9" ht="12.75">
      <c r="A199" s="20"/>
      <c r="B199" s="93" t="s">
        <v>239</v>
      </c>
      <c r="C199" s="65"/>
      <c r="D199" s="65"/>
      <c r="E199" s="66"/>
      <c r="F199" s="22"/>
      <c r="G199" s="22"/>
      <c r="H199" s="22"/>
      <c r="I199" s="22"/>
    </row>
    <row r="200" spans="1:9">
      <c r="A200" s="24"/>
      <c r="B200" s="94" t="s">
        <v>251</v>
      </c>
      <c r="C200" s="26">
        <v>380</v>
      </c>
      <c r="D200" s="26">
        <v>723</v>
      </c>
      <c r="E200" s="95">
        <v>380</v>
      </c>
      <c r="F200" s="27">
        <v>3156000</v>
      </c>
      <c r="G200" s="27">
        <v>4174000</v>
      </c>
      <c r="H200" s="27">
        <v>4231000</v>
      </c>
      <c r="I200" s="27">
        <v>5235000</v>
      </c>
    </row>
    <row r="201" spans="1:9">
      <c r="A201" s="24"/>
      <c r="B201" s="94" t="s">
        <v>252</v>
      </c>
      <c r="C201" s="26">
        <v>380</v>
      </c>
      <c r="D201" s="26">
        <v>723</v>
      </c>
      <c r="E201" s="95">
        <v>530</v>
      </c>
      <c r="F201" s="27">
        <v>4064000</v>
      </c>
      <c r="G201" s="27">
        <v>5591000</v>
      </c>
      <c r="H201" s="27">
        <v>5611000</v>
      </c>
      <c r="I201" s="27">
        <v>7117000</v>
      </c>
    </row>
    <row r="202" spans="1:9">
      <c r="A202" s="24"/>
      <c r="B202" s="94" t="s">
        <v>253</v>
      </c>
      <c r="C202" s="26">
        <v>380</v>
      </c>
      <c r="D202" s="26">
        <v>723</v>
      </c>
      <c r="E202" s="95">
        <v>680</v>
      </c>
      <c r="F202" s="27">
        <v>4992000</v>
      </c>
      <c r="G202" s="27">
        <v>7029000</v>
      </c>
      <c r="H202" s="27">
        <v>7011000</v>
      </c>
      <c r="I202" s="27">
        <v>9018000</v>
      </c>
    </row>
    <row r="203" spans="1:9">
      <c r="A203" s="24"/>
      <c r="B203" s="94" t="s">
        <v>254</v>
      </c>
      <c r="C203" s="26">
        <v>380</v>
      </c>
      <c r="D203" s="26">
        <v>723</v>
      </c>
      <c r="E203" s="95">
        <v>980</v>
      </c>
      <c r="F203" s="27">
        <v>7186000</v>
      </c>
      <c r="G203" s="27">
        <v>10240000</v>
      </c>
      <c r="H203" s="27">
        <v>10147000</v>
      </c>
      <c r="I203" s="27">
        <v>13158000</v>
      </c>
    </row>
    <row r="204" spans="1:9">
      <c r="A204" s="24"/>
      <c r="B204" s="94" t="s">
        <v>255</v>
      </c>
      <c r="C204" s="26">
        <v>650</v>
      </c>
      <c r="D204" s="26">
        <v>723</v>
      </c>
      <c r="E204" s="95">
        <v>730</v>
      </c>
      <c r="F204" s="27">
        <v>6917000</v>
      </c>
      <c r="G204" s="27">
        <v>9122000</v>
      </c>
      <c r="H204" s="27">
        <v>9092000</v>
      </c>
      <c r="I204" s="27">
        <v>11267000</v>
      </c>
    </row>
    <row r="205" spans="1:9">
      <c r="A205" s="24"/>
      <c r="B205" s="94" t="s">
        <v>256</v>
      </c>
      <c r="C205" s="26">
        <v>380</v>
      </c>
      <c r="D205" s="26">
        <v>723</v>
      </c>
      <c r="E205" s="95">
        <v>1130</v>
      </c>
      <c r="F205" s="27">
        <v>8213000</v>
      </c>
      <c r="G205" s="27">
        <v>11777000</v>
      </c>
      <c r="H205" s="27">
        <v>11645000</v>
      </c>
      <c r="I205" s="27">
        <v>15159000</v>
      </c>
    </row>
    <row r="206" spans="1:9">
      <c r="A206" s="24"/>
      <c r="B206" s="94" t="s">
        <v>257</v>
      </c>
      <c r="C206" s="26">
        <v>380</v>
      </c>
      <c r="D206" s="26">
        <v>723</v>
      </c>
      <c r="E206" s="95">
        <v>380</v>
      </c>
      <c r="F206" s="27">
        <v>3354000</v>
      </c>
      <c r="G206" s="27">
        <v>4372000</v>
      </c>
      <c r="H206" s="27">
        <v>4429000</v>
      </c>
      <c r="I206" s="27">
        <v>5433000</v>
      </c>
    </row>
    <row r="207" spans="1:9">
      <c r="A207" s="24"/>
      <c r="B207" s="94" t="s">
        <v>258</v>
      </c>
      <c r="C207" s="26">
        <v>380</v>
      </c>
      <c r="D207" s="26">
        <v>723</v>
      </c>
      <c r="E207" s="95">
        <v>530</v>
      </c>
      <c r="F207" s="27">
        <v>4365000</v>
      </c>
      <c r="G207" s="27">
        <v>5892000</v>
      </c>
      <c r="H207" s="27">
        <v>5912000</v>
      </c>
      <c r="I207" s="27">
        <v>7418000</v>
      </c>
    </row>
    <row r="208" spans="1:9">
      <c r="A208" s="24"/>
      <c r="B208" s="94" t="s">
        <v>259</v>
      </c>
      <c r="C208" s="26">
        <v>380</v>
      </c>
      <c r="D208" s="26">
        <v>723</v>
      </c>
      <c r="E208" s="95">
        <v>680</v>
      </c>
      <c r="F208" s="27">
        <v>5397000</v>
      </c>
      <c r="G208" s="27">
        <v>7434000</v>
      </c>
      <c r="H208" s="27">
        <v>7416000</v>
      </c>
      <c r="I208" s="27">
        <v>9423000</v>
      </c>
    </row>
    <row r="209" spans="1:9">
      <c r="A209" s="24"/>
      <c r="B209" s="94" t="s">
        <v>260</v>
      </c>
      <c r="C209" s="26">
        <v>380</v>
      </c>
      <c r="D209" s="26">
        <v>723</v>
      </c>
      <c r="E209" s="95">
        <v>980</v>
      </c>
      <c r="F209" s="27">
        <v>7799000</v>
      </c>
      <c r="G209" s="27">
        <v>10853000</v>
      </c>
      <c r="H209" s="27">
        <v>10760000</v>
      </c>
      <c r="I209" s="27">
        <v>13771000</v>
      </c>
    </row>
    <row r="210" spans="1:9" ht="18">
      <c r="A210" s="16" t="e">
        <f ca="1">_xludf.image("https://lh3.google.com/u/0/d/15SIuX2dOtFeBigv5Egba1vQNS43oAWDh",1)</f>
        <v>#NAME?</v>
      </c>
      <c r="B210" s="92" t="s">
        <v>261</v>
      </c>
      <c r="C210" s="147"/>
      <c r="D210" s="145"/>
      <c r="E210" s="146"/>
      <c r="F210" s="63"/>
      <c r="G210" s="63"/>
      <c r="H210" s="63"/>
      <c r="I210" s="63"/>
    </row>
    <row r="211" spans="1:9" ht="12.75">
      <c r="A211" s="20"/>
      <c r="B211" s="93" t="s">
        <v>262</v>
      </c>
      <c r="C211" s="65"/>
      <c r="D211" s="65"/>
      <c r="E211" s="66"/>
      <c r="F211" s="22"/>
      <c r="G211" s="22"/>
      <c r="H211" s="22"/>
      <c r="I211" s="22"/>
    </row>
    <row r="212" spans="1:9">
      <c r="A212" s="24"/>
      <c r="B212" s="94" t="s">
        <v>263</v>
      </c>
      <c r="C212" s="26">
        <v>380</v>
      </c>
      <c r="D212" s="26">
        <v>978</v>
      </c>
      <c r="E212" s="95">
        <v>380</v>
      </c>
      <c r="F212" s="27">
        <v>4134000</v>
      </c>
      <c r="G212" s="27">
        <v>5555000</v>
      </c>
      <c r="H212" s="27">
        <v>5608000</v>
      </c>
      <c r="I212" s="27">
        <v>7010000</v>
      </c>
    </row>
    <row r="213" spans="1:9">
      <c r="A213" s="24"/>
      <c r="B213" s="94" t="s">
        <v>264</v>
      </c>
      <c r="C213" s="26">
        <v>380</v>
      </c>
      <c r="D213" s="26">
        <v>978</v>
      </c>
      <c r="E213" s="95">
        <v>530</v>
      </c>
      <c r="F213" s="27">
        <v>5370000</v>
      </c>
      <c r="G213" s="27">
        <v>7502000</v>
      </c>
      <c r="H213" s="27">
        <v>7491000</v>
      </c>
      <c r="I213" s="27">
        <v>9594000</v>
      </c>
    </row>
    <row r="214" spans="1:9">
      <c r="A214" s="24"/>
      <c r="B214" s="94" t="s">
        <v>265</v>
      </c>
      <c r="C214" s="26">
        <v>380</v>
      </c>
      <c r="D214" s="26">
        <v>978</v>
      </c>
      <c r="E214" s="95">
        <v>680</v>
      </c>
      <c r="F214" s="27">
        <v>6627000</v>
      </c>
      <c r="G214" s="27">
        <v>9470000</v>
      </c>
      <c r="H214" s="27">
        <v>9395000</v>
      </c>
      <c r="I214" s="27">
        <v>12199000</v>
      </c>
    </row>
    <row r="215" spans="1:9">
      <c r="A215" s="24"/>
      <c r="B215" s="94" t="s">
        <v>266</v>
      </c>
      <c r="C215" s="26">
        <v>380</v>
      </c>
      <c r="D215" s="26">
        <v>978</v>
      </c>
      <c r="E215" s="95">
        <v>980</v>
      </c>
      <c r="F215" s="27">
        <v>9477000</v>
      </c>
      <c r="G215" s="27">
        <v>13742000</v>
      </c>
      <c r="H215" s="27">
        <v>13540000</v>
      </c>
      <c r="I215" s="27">
        <v>17746000</v>
      </c>
    </row>
    <row r="216" spans="1:9">
      <c r="A216" s="24"/>
      <c r="B216" s="94" t="s">
        <v>267</v>
      </c>
      <c r="C216" s="26">
        <v>650</v>
      </c>
      <c r="D216" s="26">
        <v>978</v>
      </c>
      <c r="E216" s="95">
        <v>730</v>
      </c>
      <c r="F216" s="27">
        <v>9005000</v>
      </c>
      <c r="G216" s="27">
        <v>12086000</v>
      </c>
      <c r="H216" s="27">
        <v>11990000</v>
      </c>
      <c r="I216" s="27">
        <v>15027000</v>
      </c>
    </row>
    <row r="217" spans="1:9">
      <c r="A217" s="24"/>
      <c r="B217" s="94" t="s">
        <v>268</v>
      </c>
      <c r="C217" s="26">
        <v>380</v>
      </c>
      <c r="D217" s="26">
        <v>978</v>
      </c>
      <c r="E217" s="95">
        <v>1130</v>
      </c>
      <c r="F217" s="27">
        <v>10934000</v>
      </c>
      <c r="G217" s="27">
        <v>15910000</v>
      </c>
      <c r="H217" s="27">
        <v>15644000</v>
      </c>
      <c r="I217" s="27">
        <v>20551000</v>
      </c>
    </row>
    <row r="218" spans="1:9">
      <c r="A218" s="24"/>
      <c r="B218" s="94" t="s">
        <v>269</v>
      </c>
      <c r="C218" s="26">
        <v>380</v>
      </c>
      <c r="D218" s="26">
        <v>978</v>
      </c>
      <c r="E218" s="95">
        <v>380</v>
      </c>
      <c r="F218" s="27">
        <v>4529000</v>
      </c>
      <c r="G218" s="27">
        <v>5950000</v>
      </c>
      <c r="H218" s="27">
        <v>6003000</v>
      </c>
      <c r="I218" s="27">
        <v>7405000</v>
      </c>
    </row>
    <row r="219" spans="1:9">
      <c r="A219" s="24"/>
      <c r="B219" s="94" t="s">
        <v>270</v>
      </c>
      <c r="C219" s="26">
        <v>380</v>
      </c>
      <c r="D219" s="26">
        <v>978</v>
      </c>
      <c r="E219" s="95">
        <v>530</v>
      </c>
      <c r="F219" s="27">
        <v>5973000</v>
      </c>
      <c r="G219" s="27">
        <v>8105000</v>
      </c>
      <c r="H219" s="27">
        <v>8094000</v>
      </c>
      <c r="I219" s="27">
        <v>10197000</v>
      </c>
    </row>
    <row r="220" spans="1:9">
      <c r="A220" s="24"/>
      <c r="B220" s="94" t="s">
        <v>271</v>
      </c>
      <c r="C220" s="26">
        <v>380</v>
      </c>
      <c r="D220" s="26">
        <v>978</v>
      </c>
      <c r="E220" s="95">
        <v>680</v>
      </c>
      <c r="F220" s="27">
        <v>7437000</v>
      </c>
      <c r="G220" s="27">
        <v>10280000</v>
      </c>
      <c r="H220" s="27">
        <v>10205000</v>
      </c>
      <c r="I220" s="27">
        <v>13009000</v>
      </c>
    </row>
    <row r="221" spans="1:9">
      <c r="A221" s="24"/>
      <c r="B221" s="94" t="s">
        <v>272</v>
      </c>
      <c r="C221" s="26">
        <v>380</v>
      </c>
      <c r="D221" s="26">
        <v>978</v>
      </c>
      <c r="E221" s="95">
        <v>980</v>
      </c>
      <c r="F221" s="27">
        <v>10703000</v>
      </c>
      <c r="G221" s="27">
        <v>14968000</v>
      </c>
      <c r="H221" s="27">
        <v>14766000</v>
      </c>
      <c r="I221" s="27">
        <v>18972000</v>
      </c>
    </row>
    <row r="222" spans="1:9" ht="18">
      <c r="A222" s="16" t="e">
        <f ca="1">_xludf.image("https://lh3.google.com/u/0/d/15SIuX2dOtFeBigv5Egba1vQNS43oAWDh",1)</f>
        <v>#NAME?</v>
      </c>
      <c r="B222" s="92" t="s">
        <v>273</v>
      </c>
      <c r="C222" s="147"/>
      <c r="D222" s="145"/>
      <c r="E222" s="146"/>
      <c r="F222" s="63"/>
      <c r="G222" s="63"/>
      <c r="H222" s="63"/>
      <c r="I222" s="63"/>
    </row>
    <row r="223" spans="1:9" ht="12.75">
      <c r="A223" s="20"/>
      <c r="B223" s="93" t="s">
        <v>274</v>
      </c>
      <c r="C223" s="65"/>
      <c r="D223" s="65"/>
      <c r="E223" s="66"/>
      <c r="F223" s="22"/>
      <c r="G223" s="22"/>
      <c r="H223" s="22"/>
      <c r="I223" s="22"/>
    </row>
    <row r="224" spans="1:9">
      <c r="A224" s="24"/>
      <c r="B224" s="94" t="s">
        <v>275</v>
      </c>
      <c r="C224" s="26">
        <v>380</v>
      </c>
      <c r="D224" s="26">
        <v>1200</v>
      </c>
      <c r="E224" s="95">
        <v>380</v>
      </c>
      <c r="F224" s="27">
        <v>5183000</v>
      </c>
      <c r="G224" s="27">
        <v>6956000</v>
      </c>
      <c r="H224" s="27">
        <v>7004000</v>
      </c>
      <c r="I224" s="27">
        <v>8753000</v>
      </c>
    </row>
    <row r="225" spans="1:9">
      <c r="A225" s="24"/>
      <c r="B225" s="94" t="s">
        <v>276</v>
      </c>
      <c r="C225" s="26">
        <v>380</v>
      </c>
      <c r="D225" s="26">
        <v>1200</v>
      </c>
      <c r="E225" s="95">
        <v>530</v>
      </c>
      <c r="F225" s="27">
        <v>6716000</v>
      </c>
      <c r="G225" s="27">
        <v>9376000</v>
      </c>
      <c r="H225" s="27">
        <v>9338000</v>
      </c>
      <c r="I225" s="27">
        <v>11961000</v>
      </c>
    </row>
    <row r="226" spans="1:9">
      <c r="A226" s="24"/>
      <c r="B226" s="94" t="s">
        <v>277</v>
      </c>
      <c r="C226" s="26">
        <v>380</v>
      </c>
      <c r="D226" s="26">
        <v>1200</v>
      </c>
      <c r="E226" s="95">
        <v>680</v>
      </c>
      <c r="F226" s="27">
        <v>8268000</v>
      </c>
      <c r="G226" s="27">
        <v>11815000</v>
      </c>
      <c r="H226" s="27">
        <v>11690000</v>
      </c>
      <c r="I226" s="27">
        <v>15187000</v>
      </c>
    </row>
    <row r="227" spans="1:9">
      <c r="A227" s="24"/>
      <c r="B227" s="94" t="s">
        <v>278</v>
      </c>
      <c r="C227" s="26">
        <v>380</v>
      </c>
      <c r="D227" s="26">
        <v>1200</v>
      </c>
      <c r="E227" s="95">
        <v>980</v>
      </c>
      <c r="F227" s="27">
        <v>11891000</v>
      </c>
      <c r="G227" s="27">
        <v>17211000</v>
      </c>
      <c r="H227" s="27">
        <v>16914000</v>
      </c>
      <c r="I227" s="27">
        <v>22160000</v>
      </c>
    </row>
    <row r="228" spans="1:9">
      <c r="A228" s="24"/>
      <c r="B228" s="94" t="s">
        <v>279</v>
      </c>
      <c r="C228" s="26">
        <v>650</v>
      </c>
      <c r="D228" s="26">
        <v>1200</v>
      </c>
      <c r="E228" s="95">
        <v>730</v>
      </c>
      <c r="F228" s="27">
        <v>11337000</v>
      </c>
      <c r="G228" s="27">
        <v>15180000</v>
      </c>
      <c r="H228" s="27">
        <v>15027000</v>
      </c>
      <c r="I228" s="27">
        <v>18815000</v>
      </c>
    </row>
    <row r="229" spans="1:9">
      <c r="A229" s="24"/>
      <c r="B229" s="94" t="s">
        <v>280</v>
      </c>
      <c r="C229" s="26">
        <v>380</v>
      </c>
      <c r="D229" s="26">
        <v>1200</v>
      </c>
      <c r="E229" s="95">
        <v>1130</v>
      </c>
      <c r="F229" s="27">
        <v>13630000</v>
      </c>
      <c r="G229" s="27">
        <v>19837000</v>
      </c>
      <c r="H229" s="27">
        <v>19454000</v>
      </c>
      <c r="I229" s="27">
        <v>25574000</v>
      </c>
    </row>
    <row r="230" spans="1:9">
      <c r="A230" s="24"/>
      <c r="B230" s="94" t="s">
        <v>281</v>
      </c>
      <c r="C230" s="26">
        <v>380</v>
      </c>
      <c r="D230" s="26">
        <v>1200</v>
      </c>
      <c r="E230" s="95">
        <v>380</v>
      </c>
      <c r="F230" s="27">
        <v>5776000</v>
      </c>
      <c r="G230" s="27">
        <v>7549000</v>
      </c>
      <c r="H230" s="27">
        <v>7597000</v>
      </c>
      <c r="I230" s="27">
        <v>9346000</v>
      </c>
    </row>
    <row r="231" spans="1:9">
      <c r="A231" s="24"/>
      <c r="B231" s="94" t="s">
        <v>282</v>
      </c>
      <c r="C231" s="26">
        <v>380</v>
      </c>
      <c r="D231" s="26">
        <v>1200</v>
      </c>
      <c r="E231" s="95">
        <v>530</v>
      </c>
      <c r="F231" s="27">
        <v>7620000</v>
      </c>
      <c r="G231" s="27">
        <v>10280000</v>
      </c>
      <c r="H231" s="27">
        <v>10242000</v>
      </c>
      <c r="I231" s="27">
        <v>12865000</v>
      </c>
    </row>
    <row r="232" spans="1:9">
      <c r="A232" s="24"/>
      <c r="B232" s="94" t="s">
        <v>283</v>
      </c>
      <c r="C232" s="26">
        <v>380</v>
      </c>
      <c r="D232" s="26">
        <v>1200</v>
      </c>
      <c r="E232" s="95">
        <v>680</v>
      </c>
      <c r="F232" s="27">
        <v>9484000</v>
      </c>
      <c r="G232" s="27">
        <v>13031000</v>
      </c>
      <c r="H232" s="27">
        <v>12906000</v>
      </c>
      <c r="I232" s="27">
        <v>16403000</v>
      </c>
    </row>
    <row r="233" spans="1:9">
      <c r="A233" s="24"/>
      <c r="B233" s="94" t="s">
        <v>284</v>
      </c>
      <c r="C233" s="26">
        <v>380</v>
      </c>
      <c r="D233" s="26">
        <v>1200</v>
      </c>
      <c r="E233" s="95">
        <v>980</v>
      </c>
      <c r="F233" s="27">
        <v>13730000</v>
      </c>
      <c r="G233" s="27">
        <v>19050000</v>
      </c>
      <c r="H233" s="27">
        <v>18753000</v>
      </c>
      <c r="I233" s="27">
        <v>23999000</v>
      </c>
    </row>
    <row r="234" spans="1:9" ht="18">
      <c r="A234" s="16" t="e">
        <f ca="1">_xludf.image("https://lh3.google.com/u/0/d/1fmsIOezRs03YJHHKYeVNa4idRgW1J1DP",1)</f>
        <v>#NAME?</v>
      </c>
      <c r="B234" s="92" t="s">
        <v>285</v>
      </c>
      <c r="C234" s="147"/>
      <c r="D234" s="145"/>
      <c r="E234" s="146"/>
      <c r="F234" s="63"/>
      <c r="G234" s="63"/>
      <c r="H234" s="63"/>
      <c r="I234" s="63"/>
    </row>
    <row r="235" spans="1:9" ht="25.5">
      <c r="A235" s="20"/>
      <c r="B235" s="93" t="s">
        <v>286</v>
      </c>
      <c r="C235" s="65"/>
      <c r="D235" s="65"/>
      <c r="E235" s="66"/>
      <c r="F235" s="22"/>
      <c r="G235" s="22"/>
      <c r="H235" s="22"/>
      <c r="I235" s="22"/>
    </row>
    <row r="236" spans="1:9">
      <c r="A236" s="24"/>
      <c r="B236" s="94" t="s">
        <v>287</v>
      </c>
      <c r="C236" s="26">
        <v>380</v>
      </c>
      <c r="D236" s="26">
        <v>1500</v>
      </c>
      <c r="E236" s="95">
        <v>530</v>
      </c>
      <c r="F236" s="27">
        <v>9775000</v>
      </c>
      <c r="G236" s="27">
        <v>13147000</v>
      </c>
      <c r="H236" s="27">
        <v>13073000</v>
      </c>
      <c r="I236" s="27">
        <v>16398000</v>
      </c>
    </row>
    <row r="237" spans="1:9">
      <c r="A237" s="24"/>
      <c r="B237" s="94" t="s">
        <v>288</v>
      </c>
      <c r="C237" s="26">
        <v>380</v>
      </c>
      <c r="D237" s="26">
        <v>1500</v>
      </c>
      <c r="E237" s="95">
        <v>680</v>
      </c>
      <c r="F237" s="27">
        <v>11828000</v>
      </c>
      <c r="G237" s="27">
        <v>16325000</v>
      </c>
      <c r="H237" s="27">
        <v>16134000</v>
      </c>
      <c r="I237" s="27">
        <v>20568000</v>
      </c>
    </row>
    <row r="238" spans="1:9">
      <c r="A238" s="24"/>
      <c r="B238" s="94" t="s">
        <v>289</v>
      </c>
      <c r="C238" s="26">
        <v>380</v>
      </c>
      <c r="D238" s="26">
        <v>1500</v>
      </c>
      <c r="E238" s="95">
        <v>980</v>
      </c>
      <c r="F238" s="27">
        <v>15958000</v>
      </c>
      <c r="G238" s="27">
        <v>22703000</v>
      </c>
      <c r="H238" s="27">
        <v>22278000</v>
      </c>
      <c r="I238" s="27">
        <v>28929000</v>
      </c>
    </row>
    <row r="239" spans="1:9">
      <c r="A239" s="24"/>
      <c r="B239" s="94" t="s">
        <v>290</v>
      </c>
      <c r="C239" s="26">
        <v>380</v>
      </c>
      <c r="D239" s="26">
        <v>1500</v>
      </c>
      <c r="E239" s="95">
        <v>530</v>
      </c>
      <c r="F239" s="27">
        <v>10647000</v>
      </c>
      <c r="G239" s="27">
        <v>14019000</v>
      </c>
      <c r="H239" s="27">
        <v>13945000</v>
      </c>
      <c r="I239" s="27">
        <v>17270000</v>
      </c>
    </row>
    <row r="240" spans="1:9">
      <c r="A240" s="24"/>
      <c r="B240" s="94" t="s">
        <v>291</v>
      </c>
      <c r="C240" s="26">
        <v>380</v>
      </c>
      <c r="D240" s="26">
        <v>1500</v>
      </c>
      <c r="E240" s="95">
        <v>680</v>
      </c>
      <c r="F240" s="27">
        <v>13010000</v>
      </c>
      <c r="G240" s="27">
        <v>17507000</v>
      </c>
      <c r="H240" s="27">
        <v>17316000</v>
      </c>
      <c r="I240" s="27">
        <v>21750000</v>
      </c>
    </row>
    <row r="241" spans="1:9">
      <c r="A241" s="24"/>
      <c r="B241" s="94" t="s">
        <v>292</v>
      </c>
      <c r="C241" s="26">
        <v>380</v>
      </c>
      <c r="D241" s="26">
        <v>1500</v>
      </c>
      <c r="E241" s="95">
        <v>980</v>
      </c>
      <c r="F241" s="27">
        <v>17764000</v>
      </c>
      <c r="G241" s="27">
        <v>24509000</v>
      </c>
      <c r="H241" s="27">
        <v>24084000</v>
      </c>
      <c r="I241" s="27">
        <v>30735000</v>
      </c>
    </row>
    <row r="242" spans="1:9" ht="18">
      <c r="A242" s="16" t="e">
        <f ca="1">_xludf.image("https://lh3.google.com/u/0/d/1aO4eqlNDmVngmQamWmusx9YK7ob76yuJ",1)</f>
        <v>#NAME?</v>
      </c>
      <c r="B242" s="92" t="s">
        <v>440</v>
      </c>
      <c r="C242" s="147"/>
      <c r="D242" s="145"/>
      <c r="E242" s="146"/>
      <c r="F242" s="63"/>
      <c r="G242" s="63"/>
      <c r="H242" s="63"/>
      <c r="I242" s="63"/>
    </row>
    <row r="243" spans="1:9" ht="25.5">
      <c r="A243" s="20"/>
      <c r="B243" s="93" t="s">
        <v>441</v>
      </c>
      <c r="C243" s="65"/>
      <c r="D243" s="65"/>
      <c r="E243" s="66"/>
      <c r="F243" s="22"/>
      <c r="G243" s="22"/>
      <c r="H243" s="22"/>
      <c r="I243" s="22"/>
    </row>
    <row r="244" spans="1:9">
      <c r="A244" s="24" t="e">
        <f ca="1">_xludf.image("https://lh3.google.com/u/0/d/1upoRR2C_Z5z9GBy1yjUR3YzLnmm-HnB6",1)</f>
        <v>#NAME?</v>
      </c>
      <c r="B244" s="94" t="s">
        <v>442</v>
      </c>
      <c r="C244" s="26">
        <v>380</v>
      </c>
      <c r="D244" s="26">
        <v>723</v>
      </c>
      <c r="E244" s="95">
        <v>1200</v>
      </c>
      <c r="F244" s="27">
        <v>10840000</v>
      </c>
      <c r="G244" s="27">
        <v>12977000</v>
      </c>
      <c r="H244" s="27">
        <v>13766000</v>
      </c>
      <c r="I244" s="27">
        <v>15873000</v>
      </c>
    </row>
    <row r="245" spans="1:9">
      <c r="A245" s="24"/>
      <c r="B245" s="94" t="s">
        <v>443</v>
      </c>
      <c r="C245" s="26">
        <v>380</v>
      </c>
      <c r="D245" s="26">
        <v>978</v>
      </c>
      <c r="E245" s="95">
        <v>1200</v>
      </c>
      <c r="F245" s="27">
        <v>13915000</v>
      </c>
      <c r="G245" s="27">
        <v>16806000</v>
      </c>
      <c r="H245" s="27">
        <v>17874000</v>
      </c>
      <c r="I245" s="27">
        <v>20724000</v>
      </c>
    </row>
    <row r="246" spans="1:9" ht="18">
      <c r="A246" s="16" t="e">
        <f ca="1">_xludf.image("https://lh3.google.com/u/0/d/1rWDydZ2mrB-M766duZO7VFWxV1QL8y1y",1)</f>
        <v>#NAME?</v>
      </c>
      <c r="B246" s="92" t="s">
        <v>444</v>
      </c>
      <c r="C246" s="147"/>
      <c r="D246" s="145"/>
      <c r="E246" s="146"/>
      <c r="F246" s="63"/>
      <c r="G246" s="63"/>
      <c r="H246" s="63"/>
      <c r="I246" s="63"/>
    </row>
    <row r="247" spans="1:9" ht="25.5">
      <c r="A247" s="20"/>
      <c r="B247" s="93" t="s">
        <v>445</v>
      </c>
      <c r="C247" s="65"/>
      <c r="D247" s="65"/>
      <c r="E247" s="66"/>
      <c r="F247" s="22"/>
      <c r="G247" s="22"/>
      <c r="H247" s="22"/>
      <c r="I247" s="22"/>
    </row>
    <row r="248" spans="1:9">
      <c r="A248" s="24" t="e">
        <f ca="1">_xludf.image("https://lh3.google.com/u/0/d/1DTMHRJPhxi0qMNnmiQ2h2TdA60i0MkX7",1)</f>
        <v>#NAME?</v>
      </c>
      <c r="B248" s="94" t="s">
        <v>446</v>
      </c>
      <c r="C248" s="26">
        <v>610</v>
      </c>
      <c r="D248" s="26">
        <v>1310</v>
      </c>
      <c r="E248" s="95">
        <v>1716</v>
      </c>
      <c r="F248" s="27">
        <v>16176000</v>
      </c>
      <c r="G248" s="27">
        <v>26319000</v>
      </c>
      <c r="H248" s="27">
        <v>22102000</v>
      </c>
      <c r="I248" s="27">
        <v>32104000</v>
      </c>
    </row>
    <row r="249" spans="1:9">
      <c r="A249" s="24"/>
      <c r="B249" s="94" t="s">
        <v>447</v>
      </c>
      <c r="C249" s="26">
        <v>610</v>
      </c>
      <c r="D249" s="26">
        <v>1576</v>
      </c>
      <c r="E249" s="95">
        <v>1716</v>
      </c>
      <c r="F249" s="27">
        <v>17761000</v>
      </c>
      <c r="G249" s="27">
        <v>28557000</v>
      </c>
      <c r="H249" s="27">
        <v>24539000</v>
      </c>
      <c r="I249" s="27">
        <v>35184000</v>
      </c>
    </row>
    <row r="250" spans="1:9" ht="18">
      <c r="A250" s="16" t="e">
        <f ca="1">_xludf.image("https://lh3.google.com/u/0/d/1scn9z6aIsPtOjvGCyMepxaOiAmRm6rne",1)</f>
        <v>#NAME?</v>
      </c>
      <c r="B250" s="92" t="s">
        <v>293</v>
      </c>
      <c r="C250" s="147"/>
      <c r="D250" s="145"/>
      <c r="E250" s="146"/>
      <c r="F250" s="63"/>
      <c r="G250" s="63"/>
      <c r="H250" s="63"/>
      <c r="I250" s="63"/>
    </row>
    <row r="251" spans="1:9" ht="12.75">
      <c r="A251" s="20"/>
      <c r="B251" s="107"/>
      <c r="C251" s="65"/>
      <c r="D251" s="65"/>
      <c r="E251" s="66"/>
      <c r="F251" s="22"/>
      <c r="G251" s="22"/>
      <c r="H251" s="22"/>
      <c r="I251" s="22"/>
    </row>
    <row r="252" spans="1:9">
      <c r="A252" s="24"/>
      <c r="B252" s="94" t="s">
        <v>294</v>
      </c>
      <c r="C252" s="26">
        <v>380</v>
      </c>
      <c r="D252" s="26">
        <v>378</v>
      </c>
      <c r="E252" s="95">
        <v>380</v>
      </c>
      <c r="F252" s="27">
        <v>2701000</v>
      </c>
      <c r="G252" s="29"/>
      <c r="H252" s="27">
        <v>4687000</v>
      </c>
      <c r="I252" s="29"/>
    </row>
    <row r="253" spans="1:9">
      <c r="A253" s="24"/>
      <c r="B253" s="94" t="s">
        <v>295</v>
      </c>
      <c r="C253" s="26">
        <v>380</v>
      </c>
      <c r="D253" s="26">
        <v>378</v>
      </c>
      <c r="E253" s="95">
        <v>530</v>
      </c>
      <c r="F253" s="27">
        <v>3384000</v>
      </c>
      <c r="G253" s="29"/>
      <c r="H253" s="27">
        <v>5893000</v>
      </c>
      <c r="I253" s="29"/>
    </row>
    <row r="254" spans="1:9">
      <c r="A254" s="24"/>
      <c r="B254" s="94" t="s">
        <v>296</v>
      </c>
      <c r="C254" s="26">
        <v>380</v>
      </c>
      <c r="D254" s="26">
        <v>378</v>
      </c>
      <c r="E254" s="95">
        <v>680</v>
      </c>
      <c r="F254" s="27">
        <v>4087000</v>
      </c>
      <c r="G254" s="29"/>
      <c r="H254" s="27">
        <v>7119000</v>
      </c>
      <c r="I254" s="29"/>
    </row>
    <row r="255" spans="1:9">
      <c r="A255" s="24"/>
      <c r="B255" s="94" t="s">
        <v>297</v>
      </c>
      <c r="C255" s="26">
        <v>380</v>
      </c>
      <c r="D255" s="26">
        <v>378</v>
      </c>
      <c r="E255" s="95">
        <v>980</v>
      </c>
      <c r="F255" s="27">
        <v>5473000</v>
      </c>
      <c r="G255" s="29"/>
      <c r="H255" s="27">
        <v>9551000</v>
      </c>
      <c r="I255" s="29"/>
    </row>
    <row r="256" spans="1:9">
      <c r="A256" s="24"/>
      <c r="B256" s="94" t="s">
        <v>298</v>
      </c>
      <c r="C256" s="26">
        <v>380</v>
      </c>
      <c r="D256" s="26">
        <v>600</v>
      </c>
      <c r="E256" s="95">
        <v>380</v>
      </c>
      <c r="F256" s="27">
        <v>3739000</v>
      </c>
      <c r="G256" s="29"/>
      <c r="H256" s="27">
        <v>6500000</v>
      </c>
      <c r="I256" s="29"/>
    </row>
    <row r="257" spans="1:9">
      <c r="A257" s="24"/>
      <c r="B257" s="94" t="s">
        <v>299</v>
      </c>
      <c r="C257" s="26">
        <v>380</v>
      </c>
      <c r="D257" s="26">
        <v>600</v>
      </c>
      <c r="E257" s="95">
        <v>530</v>
      </c>
      <c r="F257" s="27">
        <v>4621000</v>
      </c>
      <c r="G257" s="29"/>
      <c r="H257" s="27">
        <v>8059000</v>
      </c>
      <c r="I257" s="29"/>
    </row>
    <row r="258" spans="1:9">
      <c r="A258" s="24"/>
      <c r="B258" s="94" t="s">
        <v>300</v>
      </c>
      <c r="C258" s="26">
        <v>380</v>
      </c>
      <c r="D258" s="26">
        <v>600</v>
      </c>
      <c r="E258" s="95">
        <v>680</v>
      </c>
      <c r="F258" s="27">
        <v>5524000</v>
      </c>
      <c r="G258" s="29"/>
      <c r="H258" s="27">
        <v>9639000</v>
      </c>
      <c r="I258" s="29"/>
    </row>
    <row r="259" spans="1:9">
      <c r="A259" s="24"/>
      <c r="B259" s="94" t="s">
        <v>301</v>
      </c>
      <c r="C259" s="26">
        <v>380</v>
      </c>
      <c r="D259" s="26">
        <v>600</v>
      </c>
      <c r="E259" s="95">
        <v>980</v>
      </c>
      <c r="F259" s="27">
        <v>7310000</v>
      </c>
      <c r="G259" s="29"/>
      <c r="H259" s="27">
        <v>12777000</v>
      </c>
      <c r="I259" s="29"/>
    </row>
    <row r="260" spans="1:9">
      <c r="A260" s="24"/>
      <c r="B260" s="94" t="s">
        <v>302</v>
      </c>
      <c r="C260" s="26">
        <v>380</v>
      </c>
      <c r="D260" s="26">
        <v>723</v>
      </c>
      <c r="E260" s="95">
        <v>380</v>
      </c>
      <c r="F260" s="27">
        <v>4300000</v>
      </c>
      <c r="G260" s="29"/>
      <c r="H260" s="27">
        <v>7492000</v>
      </c>
      <c r="I260" s="29"/>
    </row>
    <row r="261" spans="1:9">
      <c r="A261" s="24"/>
      <c r="B261" s="94" t="s">
        <v>303</v>
      </c>
      <c r="C261" s="26">
        <v>380</v>
      </c>
      <c r="D261" s="26">
        <v>723</v>
      </c>
      <c r="E261" s="95">
        <v>530</v>
      </c>
      <c r="F261" s="27">
        <v>5294000</v>
      </c>
      <c r="G261" s="29"/>
      <c r="H261" s="27">
        <v>9247000</v>
      </c>
      <c r="I261" s="29"/>
    </row>
    <row r="262" spans="1:9">
      <c r="A262" s="24"/>
      <c r="B262" s="94" t="s">
        <v>304</v>
      </c>
      <c r="C262" s="26">
        <v>380</v>
      </c>
      <c r="D262" s="26">
        <v>723</v>
      </c>
      <c r="E262" s="95">
        <v>680</v>
      </c>
      <c r="F262" s="27">
        <v>6307000</v>
      </c>
      <c r="G262" s="29"/>
      <c r="H262" s="27">
        <v>11021000</v>
      </c>
      <c r="I262" s="29"/>
    </row>
    <row r="263" spans="1:9">
      <c r="A263" s="24"/>
      <c r="B263" s="94" t="s">
        <v>305</v>
      </c>
      <c r="C263" s="26">
        <v>380</v>
      </c>
      <c r="D263" s="26">
        <v>723</v>
      </c>
      <c r="E263" s="95">
        <v>980</v>
      </c>
      <c r="F263" s="27">
        <v>8315000</v>
      </c>
      <c r="G263" s="29"/>
      <c r="H263" s="27">
        <v>14551000</v>
      </c>
      <c r="I263" s="29"/>
    </row>
    <row r="264" spans="1:9">
      <c r="A264" s="24"/>
      <c r="B264" s="94" t="s">
        <v>306</v>
      </c>
      <c r="C264" s="26">
        <v>380</v>
      </c>
      <c r="D264" s="26">
        <v>978</v>
      </c>
      <c r="E264" s="95">
        <v>380</v>
      </c>
      <c r="F264" s="27">
        <v>5498000</v>
      </c>
      <c r="G264" s="29"/>
      <c r="H264" s="27">
        <v>9581000</v>
      </c>
      <c r="I264" s="29"/>
    </row>
    <row r="265" spans="1:9">
      <c r="A265" s="24"/>
      <c r="B265" s="94" t="s">
        <v>307</v>
      </c>
      <c r="C265" s="26">
        <v>380</v>
      </c>
      <c r="D265" s="26">
        <v>978</v>
      </c>
      <c r="E265" s="95">
        <v>530</v>
      </c>
      <c r="F265" s="27">
        <v>6721000</v>
      </c>
      <c r="G265" s="29"/>
      <c r="H265" s="27">
        <v>11742000</v>
      </c>
      <c r="I265" s="29"/>
    </row>
    <row r="266" spans="1:9">
      <c r="A266" s="24"/>
      <c r="B266" s="94" t="s">
        <v>308</v>
      </c>
      <c r="C266" s="26">
        <v>380</v>
      </c>
      <c r="D266" s="26">
        <v>978</v>
      </c>
      <c r="E266" s="95">
        <v>680</v>
      </c>
      <c r="F266" s="27">
        <v>7965000</v>
      </c>
      <c r="G266" s="29"/>
      <c r="H266" s="27">
        <v>13922000</v>
      </c>
      <c r="I266" s="29"/>
    </row>
    <row r="267" spans="1:9">
      <c r="A267" s="24"/>
      <c r="B267" s="94" t="s">
        <v>309</v>
      </c>
      <c r="C267" s="26">
        <v>380</v>
      </c>
      <c r="D267" s="26">
        <v>978</v>
      </c>
      <c r="E267" s="95">
        <v>980</v>
      </c>
      <c r="F267" s="27">
        <v>10432000</v>
      </c>
      <c r="G267" s="29"/>
      <c r="H267" s="27">
        <v>18263000</v>
      </c>
      <c r="I267" s="29"/>
    </row>
    <row r="268" spans="1:9" ht="18">
      <c r="A268" s="16" t="e">
        <f ca="1">_xludf.image("https://lh3.google.com/u/0/d/1X8bcrAVNKfi4x2oCAU6z3yUfvtSd7_Jl",1)</f>
        <v>#NAME?</v>
      </c>
      <c r="B268" s="92" t="s">
        <v>448</v>
      </c>
      <c r="C268" s="147"/>
      <c r="D268" s="145"/>
      <c r="E268" s="146"/>
      <c r="F268" s="63"/>
      <c r="G268" s="63"/>
      <c r="H268" s="63"/>
      <c r="I268" s="63"/>
    </row>
    <row r="269" spans="1:9">
      <c r="A269" s="24"/>
      <c r="B269" s="94" t="s">
        <v>310</v>
      </c>
      <c r="C269" s="26">
        <v>380</v>
      </c>
      <c r="D269" s="26">
        <v>600</v>
      </c>
      <c r="E269" s="50"/>
      <c r="F269" s="27">
        <v>685000</v>
      </c>
      <c r="G269" s="29"/>
      <c r="H269" s="27">
        <v>1210000</v>
      </c>
      <c r="I269" s="29"/>
    </row>
    <row r="270" spans="1:9">
      <c r="A270" s="24"/>
      <c r="B270" s="94" t="s">
        <v>311</v>
      </c>
      <c r="C270" s="26">
        <v>380</v>
      </c>
      <c r="D270" s="26">
        <v>723</v>
      </c>
      <c r="E270" s="50"/>
      <c r="F270" s="27">
        <v>826000</v>
      </c>
      <c r="G270" s="29"/>
      <c r="H270" s="27">
        <v>1457000</v>
      </c>
      <c r="I270" s="29"/>
    </row>
    <row r="271" spans="1:9">
      <c r="A271" s="24"/>
      <c r="B271" s="94" t="s">
        <v>312</v>
      </c>
      <c r="C271" s="26">
        <v>380</v>
      </c>
      <c r="D271" s="26">
        <v>978</v>
      </c>
      <c r="E271" s="50"/>
      <c r="F271" s="27">
        <v>1117000</v>
      </c>
      <c r="G271" s="29"/>
      <c r="H271" s="27">
        <v>1971000</v>
      </c>
      <c r="I271" s="29"/>
    </row>
    <row r="272" spans="1:9">
      <c r="A272" s="24"/>
      <c r="B272" s="94" t="s">
        <v>313</v>
      </c>
      <c r="C272" s="26">
        <v>380</v>
      </c>
      <c r="D272" s="26">
        <v>1200</v>
      </c>
      <c r="E272" s="50"/>
      <c r="F272" s="27">
        <v>1370000</v>
      </c>
      <c r="G272" s="29"/>
      <c r="H272" s="27">
        <v>2419000</v>
      </c>
      <c r="I272" s="29"/>
    </row>
    <row r="273" spans="1:9">
      <c r="A273" s="24"/>
      <c r="B273" s="94" t="s">
        <v>314</v>
      </c>
      <c r="C273" s="26">
        <v>100</v>
      </c>
      <c r="D273" s="26">
        <v>600</v>
      </c>
      <c r="E273" s="50"/>
      <c r="F273" s="27">
        <v>190000</v>
      </c>
      <c r="G273" s="29"/>
      <c r="H273" s="27">
        <v>335000</v>
      </c>
      <c r="I273" s="29"/>
    </row>
    <row r="274" spans="1:9">
      <c r="A274" s="24"/>
      <c r="B274" s="94" t="s">
        <v>315</v>
      </c>
      <c r="C274" s="26">
        <v>100</v>
      </c>
      <c r="D274" s="26">
        <v>723</v>
      </c>
      <c r="E274" s="50"/>
      <c r="F274" s="27">
        <v>228000</v>
      </c>
      <c r="G274" s="29"/>
      <c r="H274" s="27">
        <v>403000</v>
      </c>
      <c r="I274" s="29"/>
    </row>
    <row r="275" spans="1:9">
      <c r="A275" s="24"/>
      <c r="B275" s="94" t="s">
        <v>316</v>
      </c>
      <c r="C275" s="26">
        <v>100</v>
      </c>
      <c r="D275" s="26">
        <v>978</v>
      </c>
      <c r="E275" s="50"/>
      <c r="F275" s="27">
        <v>309000</v>
      </c>
      <c r="G275" s="29"/>
      <c r="H275" s="27">
        <v>545000</v>
      </c>
      <c r="I275" s="29"/>
    </row>
    <row r="276" spans="1:9">
      <c r="A276" s="24"/>
      <c r="B276" s="94" t="s">
        <v>317</v>
      </c>
      <c r="C276" s="26">
        <v>100</v>
      </c>
      <c r="D276" s="26">
        <v>1200</v>
      </c>
      <c r="E276" s="50"/>
      <c r="F276" s="27">
        <v>379000</v>
      </c>
      <c r="G276" s="29"/>
      <c r="H276" s="27">
        <v>669000</v>
      </c>
      <c r="I276" s="29"/>
    </row>
    <row r="277" spans="1:9">
      <c r="A277" s="24" t="e">
        <f ca="1">_xludf.image("https://lh3.google.com/u/0/d/1n2ORb8NT4nD3YKhCGEz8SGgFfA9knWGN",1)</f>
        <v>#NAME?</v>
      </c>
      <c r="B277" s="94" t="s">
        <v>318</v>
      </c>
      <c r="C277" s="26">
        <v>70</v>
      </c>
      <c r="D277" s="26" t="s">
        <v>167</v>
      </c>
      <c r="E277" s="50"/>
      <c r="F277" s="42">
        <v>429000</v>
      </c>
      <c r="G277" s="29"/>
      <c r="H277" s="42">
        <v>1326000</v>
      </c>
      <c r="I277" s="29"/>
    </row>
    <row r="278" spans="1:9">
      <c r="A278" s="24"/>
      <c r="B278" s="94" t="s">
        <v>319</v>
      </c>
      <c r="C278" s="26">
        <v>100</v>
      </c>
      <c r="D278" s="26" t="s">
        <v>167</v>
      </c>
      <c r="E278" s="50"/>
      <c r="F278" s="27">
        <v>316000</v>
      </c>
      <c r="G278" s="29"/>
      <c r="H278" s="27">
        <v>557000</v>
      </c>
      <c r="I278" s="29"/>
    </row>
    <row r="279" spans="1:9">
      <c r="A279" s="24"/>
      <c r="B279" s="94" t="s">
        <v>320</v>
      </c>
      <c r="C279" s="26">
        <v>380</v>
      </c>
      <c r="D279" s="50"/>
      <c r="E279" s="26">
        <v>380</v>
      </c>
      <c r="F279" s="27">
        <v>434000</v>
      </c>
      <c r="G279" s="29"/>
      <c r="H279" s="27">
        <v>766000</v>
      </c>
      <c r="I279" s="29"/>
    </row>
    <row r="280" spans="1:9">
      <c r="A280" s="24"/>
      <c r="B280" s="94" t="s">
        <v>321</v>
      </c>
      <c r="C280" s="26">
        <v>380</v>
      </c>
      <c r="D280" s="50"/>
      <c r="E280" s="26">
        <v>530</v>
      </c>
      <c r="F280" s="27">
        <v>605000</v>
      </c>
      <c r="G280" s="29"/>
      <c r="H280" s="27">
        <v>1069000</v>
      </c>
      <c r="I280" s="29"/>
    </row>
    <row r="281" spans="1:9">
      <c r="A281" s="24"/>
      <c r="B281" s="94" t="s">
        <v>322</v>
      </c>
      <c r="C281" s="26">
        <v>380</v>
      </c>
      <c r="D281" s="50"/>
      <c r="E281" s="26">
        <v>630</v>
      </c>
      <c r="F281" s="27">
        <v>719000</v>
      </c>
      <c r="G281" s="29"/>
      <c r="H281" s="27">
        <v>1270000</v>
      </c>
      <c r="I281" s="29"/>
    </row>
    <row r="282" spans="1:9">
      <c r="A282" s="24"/>
      <c r="B282" s="94" t="s">
        <v>323</v>
      </c>
      <c r="C282" s="26">
        <v>380</v>
      </c>
      <c r="D282" s="50"/>
      <c r="E282" s="26">
        <v>980</v>
      </c>
      <c r="F282" s="27">
        <v>1119000</v>
      </c>
      <c r="G282" s="29"/>
      <c r="H282" s="27">
        <v>1975000</v>
      </c>
      <c r="I282" s="29"/>
    </row>
    <row r="283" spans="1:9" ht="12.75">
      <c r="A283" s="8"/>
      <c r="B283" s="4"/>
      <c r="C283" s="4"/>
      <c r="D283" s="4"/>
      <c r="E283" s="4"/>
      <c r="F283" s="112"/>
      <c r="G283" s="3"/>
      <c r="H283" s="3"/>
      <c r="I283" s="3"/>
    </row>
    <row r="284" spans="1:9" ht="18.75">
      <c r="A284" s="60" t="s">
        <v>424</v>
      </c>
      <c r="B284" s="4"/>
      <c r="C284" s="4"/>
      <c r="D284" s="4"/>
      <c r="E284" s="4"/>
      <c r="F284" s="131" t="s">
        <v>432</v>
      </c>
      <c r="G284" s="128"/>
      <c r="H284" s="128"/>
      <c r="I284" s="128"/>
    </row>
    <row r="285" spans="1:9" ht="47.25">
      <c r="A285" s="61"/>
      <c r="B285" s="61"/>
      <c r="C285" s="132" t="s">
        <v>7</v>
      </c>
      <c r="D285" s="133"/>
      <c r="E285" s="134"/>
      <c r="F285" s="116" t="s">
        <v>9</v>
      </c>
      <c r="G285" s="116" t="s">
        <v>10</v>
      </c>
      <c r="H285" s="116" t="s">
        <v>11</v>
      </c>
      <c r="I285" s="116" t="s">
        <v>12</v>
      </c>
    </row>
    <row r="286" spans="1:9">
      <c r="A286" s="14" t="s">
        <v>325</v>
      </c>
      <c r="B286" s="14" t="s">
        <v>49</v>
      </c>
      <c r="C286" s="14" t="s">
        <v>50</v>
      </c>
      <c r="D286" s="14" t="s">
        <v>51</v>
      </c>
      <c r="E286" s="14" t="s">
        <v>52</v>
      </c>
      <c r="F286" s="71"/>
      <c r="G286" s="71"/>
      <c r="H286" s="71"/>
      <c r="I286" s="71"/>
    </row>
    <row r="287" spans="1:9" ht="18">
      <c r="A287" s="16" t="e">
        <f ca="1">_xludf.image("https://lh3.google.com/u/0/d/1Poqrww6CaBi9ZVKG3uI322Skg4NK9bpa",1)</f>
        <v>#NAME?</v>
      </c>
      <c r="B287" s="92" t="s">
        <v>326</v>
      </c>
      <c r="C287" s="147"/>
      <c r="D287" s="145"/>
      <c r="E287" s="146"/>
      <c r="F287" s="18"/>
      <c r="G287" s="18"/>
      <c r="H287" s="18"/>
      <c r="I287" s="18"/>
    </row>
    <row r="288" spans="1:9" ht="12.75">
      <c r="A288" s="20"/>
      <c r="B288" s="93" t="s">
        <v>327</v>
      </c>
      <c r="C288" s="65"/>
      <c r="D288" s="65"/>
      <c r="E288" s="66"/>
      <c r="F288" s="22"/>
      <c r="G288" s="22"/>
      <c r="H288" s="22"/>
      <c r="I288" s="22"/>
    </row>
    <row r="289" spans="1:9">
      <c r="A289" s="24"/>
      <c r="B289" s="94" t="s">
        <v>328</v>
      </c>
      <c r="C289" s="26">
        <v>600</v>
      </c>
      <c r="D289" s="26">
        <v>2400</v>
      </c>
      <c r="E289" s="26">
        <v>530</v>
      </c>
      <c r="F289" s="27">
        <v>16179000</v>
      </c>
      <c r="G289" s="29"/>
      <c r="H289" s="27">
        <v>21589000</v>
      </c>
      <c r="I289" s="29"/>
    </row>
    <row r="290" spans="1:9">
      <c r="A290" s="24"/>
      <c r="B290" s="94" t="s">
        <v>329</v>
      </c>
      <c r="C290" s="26">
        <v>600</v>
      </c>
      <c r="D290" s="26">
        <v>2700</v>
      </c>
      <c r="E290" s="26">
        <v>530</v>
      </c>
      <c r="F290" s="27">
        <v>18130000</v>
      </c>
      <c r="G290" s="29"/>
      <c r="H290" s="27">
        <v>24215000</v>
      </c>
      <c r="I290" s="29"/>
    </row>
    <row r="291" spans="1:9" ht="18">
      <c r="A291" s="16" t="e">
        <f ca="1">_xludf.image("https://lh3.google.com/u/0/d/103pPxfDfu9_yF-6be0AbLHwbMoKa6WG4",1)</f>
        <v>#NAME?</v>
      </c>
      <c r="B291" s="92" t="s">
        <v>330</v>
      </c>
      <c r="C291" s="147"/>
      <c r="D291" s="145"/>
      <c r="E291" s="146"/>
      <c r="F291" s="18"/>
      <c r="G291" s="18"/>
      <c r="H291" s="18"/>
      <c r="I291" s="18"/>
    </row>
    <row r="292" spans="1:9" ht="12.75">
      <c r="A292" s="20"/>
      <c r="B292" s="93" t="s">
        <v>331</v>
      </c>
      <c r="C292" s="65"/>
      <c r="D292" s="65"/>
      <c r="E292" s="66"/>
      <c r="F292" s="22"/>
      <c r="G292" s="22"/>
      <c r="H292" s="22"/>
      <c r="I292" s="22"/>
    </row>
    <row r="293" spans="1:9">
      <c r="A293" s="24"/>
      <c r="B293" s="94" t="s">
        <v>332</v>
      </c>
      <c r="C293" s="26">
        <v>600</v>
      </c>
      <c r="D293" s="26">
        <v>2400</v>
      </c>
      <c r="E293" s="26">
        <v>680</v>
      </c>
      <c r="F293" s="27">
        <v>20668000</v>
      </c>
      <c r="G293" s="29"/>
      <c r="H293" s="27">
        <v>27733000</v>
      </c>
      <c r="I293" s="29"/>
    </row>
    <row r="294" spans="1:9">
      <c r="A294" s="24"/>
      <c r="B294" s="94" t="s">
        <v>333</v>
      </c>
      <c r="C294" s="26">
        <v>600</v>
      </c>
      <c r="D294" s="26">
        <v>2700</v>
      </c>
      <c r="E294" s="26">
        <v>680</v>
      </c>
      <c r="F294" s="27">
        <v>23081000</v>
      </c>
      <c r="G294" s="29"/>
      <c r="H294" s="27">
        <v>31030000</v>
      </c>
      <c r="I294" s="29"/>
    </row>
    <row r="295" spans="1:9" ht="18">
      <c r="A295" s="16" t="e">
        <f ca="1">_xludf.image("https://lh3.google.com/u/0/d/1A5LvqnFUhBZjOqlIJS9t-uO0UIPwOEkA",1)</f>
        <v>#NAME?</v>
      </c>
      <c r="B295" s="92" t="s">
        <v>334</v>
      </c>
      <c r="C295" s="147"/>
      <c r="D295" s="145"/>
      <c r="E295" s="146"/>
      <c r="F295" s="18"/>
      <c r="G295" s="18"/>
      <c r="H295" s="18"/>
      <c r="I295" s="18"/>
    </row>
    <row r="296" spans="1:9" ht="12.75">
      <c r="A296" s="20"/>
      <c r="B296" s="93" t="s">
        <v>335</v>
      </c>
      <c r="C296" s="65"/>
      <c r="D296" s="65"/>
      <c r="E296" s="66"/>
      <c r="F296" s="22"/>
      <c r="G296" s="22"/>
      <c r="H296" s="22"/>
      <c r="I296" s="22"/>
    </row>
    <row r="297" spans="1:9">
      <c r="A297" s="43"/>
      <c r="B297" s="94" t="s">
        <v>336</v>
      </c>
      <c r="C297" s="26">
        <v>600</v>
      </c>
      <c r="D297" s="26">
        <v>2400</v>
      </c>
      <c r="E297" s="26">
        <v>680</v>
      </c>
      <c r="F297" s="42">
        <v>19659000</v>
      </c>
      <c r="G297" s="29"/>
      <c r="H297" s="42">
        <v>25952000</v>
      </c>
      <c r="I297" s="29"/>
    </row>
    <row r="298" spans="1:9">
      <c r="A298" s="43"/>
      <c r="B298" s="94" t="s">
        <v>337</v>
      </c>
      <c r="C298" s="26">
        <v>600</v>
      </c>
      <c r="D298" s="26">
        <v>2700</v>
      </c>
      <c r="E298" s="26">
        <v>680</v>
      </c>
      <c r="F298" s="42">
        <v>22072000</v>
      </c>
      <c r="G298" s="29"/>
      <c r="H298" s="42">
        <v>29248000</v>
      </c>
      <c r="I298" s="29"/>
    </row>
    <row r="299" spans="1:9" ht="18">
      <c r="A299" s="16" t="e">
        <f ca="1">_xludf.image("https://lh3.google.com/u/0/d/12FMOt7-yNNfBlKvX8jyDhkVRotDPb6W2",1)</f>
        <v>#NAME?</v>
      </c>
      <c r="B299" s="92" t="s">
        <v>338</v>
      </c>
      <c r="C299" s="147"/>
      <c r="D299" s="145"/>
      <c r="E299" s="146"/>
      <c r="F299" s="18"/>
      <c r="G299" s="18"/>
      <c r="H299" s="18"/>
      <c r="I299" s="18"/>
    </row>
    <row r="300" spans="1:9" ht="25.5">
      <c r="A300" s="20"/>
      <c r="B300" s="93" t="s">
        <v>339</v>
      </c>
      <c r="C300" s="65"/>
      <c r="D300" s="65"/>
      <c r="E300" s="66"/>
      <c r="F300" s="22"/>
      <c r="G300" s="22"/>
      <c r="H300" s="22"/>
      <c r="I300" s="22"/>
    </row>
    <row r="301" spans="1:9">
      <c r="A301" s="43"/>
      <c r="B301" s="94" t="s">
        <v>340</v>
      </c>
      <c r="C301" s="26">
        <v>600</v>
      </c>
      <c r="D301" s="26">
        <v>2400</v>
      </c>
      <c r="E301" s="26">
        <v>230</v>
      </c>
      <c r="F301" s="27">
        <v>7093000</v>
      </c>
      <c r="G301" s="29"/>
      <c r="H301" s="27">
        <v>9191000</v>
      </c>
      <c r="I301" s="29"/>
    </row>
    <row r="302" spans="1:9">
      <c r="A302" s="43"/>
      <c r="B302" s="94" t="s">
        <v>341</v>
      </c>
      <c r="C302" s="26">
        <v>600</v>
      </c>
      <c r="D302" s="26">
        <v>2700</v>
      </c>
      <c r="E302" s="26">
        <v>230</v>
      </c>
      <c r="F302" s="27">
        <v>8223000</v>
      </c>
      <c r="G302" s="29"/>
      <c r="H302" s="27">
        <v>10583000</v>
      </c>
      <c r="I302" s="77"/>
    </row>
    <row r="303" spans="1:9">
      <c r="A303" s="43"/>
      <c r="B303" s="94" t="s">
        <v>342</v>
      </c>
      <c r="C303" s="26">
        <v>600</v>
      </c>
      <c r="D303" s="26">
        <v>2400</v>
      </c>
      <c r="E303" s="26">
        <v>530</v>
      </c>
      <c r="F303" s="27">
        <v>11869000</v>
      </c>
      <c r="G303" s="29"/>
      <c r="H303" s="27">
        <v>17279000</v>
      </c>
      <c r="I303" s="29"/>
    </row>
    <row r="304" spans="1:9">
      <c r="A304" s="43"/>
      <c r="B304" s="94" t="s">
        <v>343</v>
      </c>
      <c r="C304" s="26">
        <v>600</v>
      </c>
      <c r="D304" s="26">
        <v>2700</v>
      </c>
      <c r="E304" s="26">
        <v>530</v>
      </c>
      <c r="F304" s="27">
        <v>13745000</v>
      </c>
      <c r="G304" s="29"/>
      <c r="H304" s="27">
        <v>19831000</v>
      </c>
      <c r="I304" s="29"/>
    </row>
    <row r="305" spans="1:9">
      <c r="A305" s="43"/>
      <c r="B305" s="94" t="s">
        <v>344</v>
      </c>
      <c r="C305" s="26">
        <v>600</v>
      </c>
      <c r="D305" s="26">
        <v>2400</v>
      </c>
      <c r="E305" s="26">
        <v>680</v>
      </c>
      <c r="F305" s="27">
        <v>14257000</v>
      </c>
      <c r="G305" s="29"/>
      <c r="H305" s="27">
        <v>21323000</v>
      </c>
      <c r="I305" s="29"/>
    </row>
    <row r="306" spans="1:9">
      <c r="A306" s="43"/>
      <c r="B306" s="94" t="s">
        <v>345</v>
      </c>
      <c r="C306" s="26">
        <v>600</v>
      </c>
      <c r="D306" s="26">
        <v>2700</v>
      </c>
      <c r="E306" s="26">
        <v>680</v>
      </c>
      <c r="F306" s="27">
        <v>16506000</v>
      </c>
      <c r="G306" s="29"/>
      <c r="H306" s="27">
        <v>24455000</v>
      </c>
      <c r="I306" s="29"/>
    </row>
    <row r="307" spans="1:9" ht="18">
      <c r="A307" s="16" t="e">
        <f ca="1">_xludf.image("https://lh3.google.com/u/0/d/1CpkzWBYR9_iA8kTMyw-DEy72_yFptv8J",1)</f>
        <v>#NAME?</v>
      </c>
      <c r="B307" s="92" t="s">
        <v>346</v>
      </c>
      <c r="C307" s="147"/>
      <c r="D307" s="145"/>
      <c r="E307" s="146"/>
      <c r="F307" s="18"/>
      <c r="G307" s="18"/>
      <c r="H307" s="18"/>
      <c r="I307" s="18"/>
    </row>
    <row r="308" spans="1:9" ht="12.75">
      <c r="A308" s="20"/>
      <c r="B308" s="107"/>
      <c r="C308" s="65"/>
      <c r="D308" s="65"/>
      <c r="E308" s="66"/>
      <c r="F308" s="22"/>
      <c r="G308" s="22"/>
      <c r="H308" s="22"/>
      <c r="I308" s="22"/>
    </row>
    <row r="309" spans="1:9">
      <c r="A309" s="43"/>
      <c r="B309" s="94" t="s">
        <v>347</v>
      </c>
      <c r="C309" s="26">
        <v>600</v>
      </c>
      <c r="D309" s="26">
        <v>2400</v>
      </c>
      <c r="E309" s="26">
        <v>380</v>
      </c>
      <c r="F309" s="27">
        <v>11092000</v>
      </c>
      <c r="G309" s="29"/>
      <c r="H309" s="27">
        <v>14845000</v>
      </c>
      <c r="I309" s="29"/>
    </row>
    <row r="310" spans="1:9">
      <c r="A310" s="43"/>
      <c r="B310" s="94" t="s">
        <v>348</v>
      </c>
      <c r="C310" s="26">
        <v>600</v>
      </c>
      <c r="D310" s="26">
        <v>2700</v>
      </c>
      <c r="E310" s="26">
        <v>380</v>
      </c>
      <c r="F310" s="27">
        <v>12594000</v>
      </c>
      <c r="G310" s="29"/>
      <c r="H310" s="27">
        <v>16817000</v>
      </c>
      <c r="I310" s="29"/>
    </row>
    <row r="311" spans="1:9">
      <c r="A311" s="43"/>
      <c r="B311" s="94" t="s">
        <v>349</v>
      </c>
      <c r="C311" s="26">
        <v>600</v>
      </c>
      <c r="D311" s="26">
        <v>2400</v>
      </c>
      <c r="E311" s="26">
        <v>530</v>
      </c>
      <c r="F311" s="27">
        <v>13994000</v>
      </c>
      <c r="G311" s="29"/>
      <c r="H311" s="27">
        <v>19403000</v>
      </c>
      <c r="I311" s="29"/>
    </row>
    <row r="312" spans="1:9">
      <c r="A312" s="43"/>
      <c r="B312" s="94" t="s">
        <v>350</v>
      </c>
      <c r="C312" s="26">
        <v>600</v>
      </c>
      <c r="D312" s="26">
        <v>2700</v>
      </c>
      <c r="E312" s="26">
        <v>530</v>
      </c>
      <c r="F312" s="27">
        <v>15869000</v>
      </c>
      <c r="G312" s="29"/>
      <c r="H312" s="27">
        <v>21955000</v>
      </c>
      <c r="I312" s="29"/>
    </row>
    <row r="313" spans="1:9">
      <c r="A313" s="43"/>
      <c r="B313" s="94" t="s">
        <v>351</v>
      </c>
      <c r="C313" s="26">
        <v>600</v>
      </c>
      <c r="D313" s="26">
        <v>2400</v>
      </c>
      <c r="E313" s="26">
        <v>680</v>
      </c>
      <c r="F313" s="27">
        <v>16896000</v>
      </c>
      <c r="G313" s="29"/>
      <c r="H313" s="27">
        <v>23962000</v>
      </c>
      <c r="I313" s="29"/>
    </row>
    <row r="314" spans="1:9">
      <c r="A314" s="43"/>
      <c r="B314" s="94" t="s">
        <v>352</v>
      </c>
      <c r="C314" s="26">
        <v>600</v>
      </c>
      <c r="D314" s="26">
        <v>2700</v>
      </c>
      <c r="E314" s="26">
        <v>680</v>
      </c>
      <c r="F314" s="27">
        <v>19145000</v>
      </c>
      <c r="G314" s="29"/>
      <c r="H314" s="27">
        <v>27093000</v>
      </c>
      <c r="I314" s="29"/>
    </row>
    <row r="315" spans="1:9" ht="18">
      <c r="A315" s="16" t="e">
        <f ca="1">_xludf.image("https://lh3.google.com/u/0/d/1CpkzWBYR9_iA8kTMyw-DEy72_yFptv8J",1)</f>
        <v>#NAME?</v>
      </c>
      <c r="B315" s="92" t="s">
        <v>353</v>
      </c>
      <c r="C315" s="147"/>
      <c r="D315" s="145"/>
      <c r="E315" s="146"/>
      <c r="F315" s="18"/>
      <c r="G315" s="18"/>
      <c r="H315" s="18"/>
      <c r="I315" s="18"/>
    </row>
    <row r="316" spans="1:9" ht="12.75">
      <c r="A316" s="20"/>
      <c r="B316" s="107"/>
      <c r="C316" s="65"/>
      <c r="D316" s="65"/>
      <c r="E316" s="66"/>
      <c r="F316" s="22"/>
      <c r="G316" s="22"/>
      <c r="H316" s="22"/>
      <c r="I316" s="22"/>
    </row>
    <row r="317" spans="1:9">
      <c r="A317" s="43"/>
      <c r="B317" s="94" t="s">
        <v>354</v>
      </c>
      <c r="C317" s="26">
        <v>600</v>
      </c>
      <c r="D317" s="26">
        <v>2400</v>
      </c>
      <c r="E317" s="26">
        <v>680</v>
      </c>
      <c r="F317" s="27">
        <v>15071000</v>
      </c>
      <c r="G317" s="29"/>
      <c r="H317" s="27">
        <v>22137000</v>
      </c>
      <c r="I317" s="29"/>
    </row>
    <row r="318" spans="1:9">
      <c r="A318" s="43"/>
      <c r="B318" s="94" t="s">
        <v>355</v>
      </c>
      <c r="C318" s="26">
        <v>600</v>
      </c>
      <c r="D318" s="26">
        <v>2700</v>
      </c>
      <c r="E318" s="26">
        <v>680</v>
      </c>
      <c r="F318" s="27">
        <v>17141000</v>
      </c>
      <c r="G318" s="29"/>
      <c r="H318" s="27">
        <v>25090000</v>
      </c>
      <c r="I318" s="29"/>
    </row>
    <row r="319" spans="1:9" ht="18">
      <c r="A319" s="16" t="e">
        <f ca="1">_xludf.image("https://lh3.google.com/u/0/d/1DDxVA-bwSi7FI48XKabSsoGuSvIk6Hpl",1)</f>
        <v>#NAME?</v>
      </c>
      <c r="B319" s="92" t="s">
        <v>356</v>
      </c>
      <c r="C319" s="147"/>
      <c r="D319" s="145"/>
      <c r="E319" s="146"/>
      <c r="F319" s="18"/>
      <c r="G319" s="18"/>
      <c r="H319" s="18"/>
      <c r="I319" s="18"/>
    </row>
    <row r="320" spans="1:9" ht="12.75">
      <c r="A320" s="20"/>
      <c r="B320" s="93" t="s">
        <v>357</v>
      </c>
      <c r="C320" s="65"/>
      <c r="D320" s="65"/>
      <c r="E320" s="66"/>
      <c r="F320" s="22"/>
      <c r="G320" s="22"/>
      <c r="H320" s="22"/>
      <c r="I320" s="22"/>
    </row>
    <row r="321" spans="1:9">
      <c r="A321" s="43"/>
      <c r="B321" s="94" t="s">
        <v>358</v>
      </c>
      <c r="C321" s="26">
        <v>600</v>
      </c>
      <c r="D321" s="26">
        <v>2400</v>
      </c>
      <c r="E321" s="26">
        <v>680</v>
      </c>
      <c r="F321" s="42">
        <v>15107000</v>
      </c>
      <c r="G321" s="29"/>
      <c r="H321" s="42">
        <v>21207000</v>
      </c>
      <c r="I321" s="29"/>
    </row>
    <row r="322" spans="1:9">
      <c r="A322" s="43"/>
      <c r="B322" s="94" t="s">
        <v>359</v>
      </c>
      <c r="C322" s="26">
        <v>600</v>
      </c>
      <c r="D322" s="26">
        <v>2700</v>
      </c>
      <c r="E322" s="26">
        <v>680</v>
      </c>
      <c r="F322" s="42">
        <v>17356000</v>
      </c>
      <c r="G322" s="29"/>
      <c r="H322" s="42">
        <v>24339000</v>
      </c>
      <c r="I322" s="29"/>
    </row>
    <row r="323" spans="1:9" ht="18">
      <c r="A323" s="16" t="e">
        <f ca="1">_xludf.image("https://lh3.google.com/u/0/d/1iGLg727SyW7UHDW19kGxkziA4KvXTWqq",1)</f>
        <v>#NAME?</v>
      </c>
      <c r="B323" s="92" t="s">
        <v>360</v>
      </c>
      <c r="C323" s="147"/>
      <c r="D323" s="145"/>
      <c r="E323" s="146"/>
      <c r="F323" s="18"/>
      <c r="G323" s="18"/>
      <c r="H323" s="18"/>
      <c r="I323" s="18"/>
    </row>
    <row r="324" spans="1:9" ht="25.5">
      <c r="A324" s="20"/>
      <c r="B324" s="93" t="s">
        <v>361</v>
      </c>
      <c r="C324" s="65"/>
      <c r="D324" s="65"/>
      <c r="E324" s="66"/>
      <c r="F324" s="22"/>
      <c r="G324" s="22"/>
      <c r="H324" s="22"/>
      <c r="I324" s="22"/>
    </row>
    <row r="325" spans="1:9">
      <c r="A325" s="43"/>
      <c r="B325" s="94" t="s">
        <v>362</v>
      </c>
      <c r="C325" s="26">
        <v>600</v>
      </c>
      <c r="D325" s="26">
        <v>2400</v>
      </c>
      <c r="E325" s="26">
        <v>680</v>
      </c>
      <c r="F325" s="42">
        <v>22252000</v>
      </c>
      <c r="G325" s="29"/>
      <c r="H325" s="42">
        <v>28351000</v>
      </c>
      <c r="I325" s="29"/>
    </row>
    <row r="326" spans="1:9">
      <c r="A326" s="43"/>
      <c r="B326" s="94" t="s">
        <v>363</v>
      </c>
      <c r="C326" s="26">
        <v>600</v>
      </c>
      <c r="D326" s="26">
        <v>2700</v>
      </c>
      <c r="E326" s="26">
        <v>680</v>
      </c>
      <c r="F326" s="42">
        <v>24501000</v>
      </c>
      <c r="G326" s="29"/>
      <c r="H326" s="42">
        <v>31483000</v>
      </c>
      <c r="I326" s="29"/>
    </row>
    <row r="327" spans="1:9" ht="18">
      <c r="A327" s="16" t="e">
        <f ca="1">_xludf.image("https://lh3.google.com/u/0/d/10xuLbEuabH6enU4Prwn1fDFnEerW_gF1",1)</f>
        <v>#NAME?</v>
      </c>
      <c r="B327" s="92" t="s">
        <v>364</v>
      </c>
      <c r="C327" s="147"/>
      <c r="D327" s="145"/>
      <c r="E327" s="146"/>
      <c r="F327" s="18"/>
      <c r="G327" s="18"/>
      <c r="H327" s="18"/>
      <c r="I327" s="18"/>
    </row>
    <row r="328" spans="1:9" ht="12.75">
      <c r="A328" s="20"/>
      <c r="B328" s="93" t="s">
        <v>365</v>
      </c>
      <c r="C328" s="65"/>
      <c r="D328" s="65"/>
      <c r="E328" s="66"/>
      <c r="F328" s="22"/>
      <c r="G328" s="22"/>
      <c r="H328" s="22"/>
      <c r="I328" s="22"/>
    </row>
    <row r="329" spans="1:9">
      <c r="A329" s="43"/>
      <c r="B329" s="94" t="s">
        <v>366</v>
      </c>
      <c r="C329" s="26">
        <v>600</v>
      </c>
      <c r="D329" s="26">
        <v>2400</v>
      </c>
      <c r="E329" s="26">
        <v>680</v>
      </c>
      <c r="F329" s="42">
        <v>14806000</v>
      </c>
      <c r="G329" s="29"/>
      <c r="H329" s="42">
        <v>20271000</v>
      </c>
      <c r="I329" s="29"/>
    </row>
    <row r="330" spans="1:9">
      <c r="A330" s="43"/>
      <c r="B330" s="94" t="s">
        <v>367</v>
      </c>
      <c r="C330" s="26">
        <v>600</v>
      </c>
      <c r="D330" s="26">
        <v>2700</v>
      </c>
      <c r="E330" s="26">
        <v>680</v>
      </c>
      <c r="F330" s="42">
        <v>17055000</v>
      </c>
      <c r="G330" s="29"/>
      <c r="H330" s="42">
        <v>23403000</v>
      </c>
      <c r="I330" s="29"/>
    </row>
    <row r="331" spans="1:9" ht="18">
      <c r="A331" s="16" t="e">
        <f ca="1">_xludf.image("https://lh3.google.com/u/0/d/1fWhh2zc_T7ehCkHfA8PKZU0b-1PNBhq4",1)</f>
        <v>#NAME?</v>
      </c>
      <c r="B331" s="92" t="s">
        <v>368</v>
      </c>
      <c r="C331" s="147"/>
      <c r="D331" s="145"/>
      <c r="E331" s="146"/>
      <c r="F331" s="18"/>
      <c r="G331" s="18"/>
      <c r="H331" s="18"/>
      <c r="I331" s="18"/>
    </row>
    <row r="332" spans="1:9" ht="12.75">
      <c r="A332" s="20"/>
      <c r="B332" s="107" t="s">
        <v>369</v>
      </c>
      <c r="C332" s="65"/>
      <c r="D332" s="65"/>
      <c r="E332" s="66"/>
      <c r="F332" s="22"/>
      <c r="G332" s="22"/>
      <c r="H332" s="22"/>
      <c r="I332" s="22"/>
    </row>
    <row r="333" spans="1:9">
      <c r="A333" s="43"/>
      <c r="B333" s="94" t="s">
        <v>370</v>
      </c>
      <c r="C333" s="26">
        <v>600</v>
      </c>
      <c r="D333" s="26">
        <v>2400</v>
      </c>
      <c r="E333" s="26">
        <v>830</v>
      </c>
      <c r="F333" s="42">
        <v>26687000</v>
      </c>
      <c r="G333" s="29"/>
      <c r="H333" s="42">
        <v>34201000</v>
      </c>
      <c r="I333" s="29"/>
    </row>
    <row r="334" spans="1:9">
      <c r="A334" s="43"/>
      <c r="B334" s="94" t="s">
        <v>371</v>
      </c>
      <c r="C334" s="26">
        <v>600</v>
      </c>
      <c r="D334" s="26">
        <v>2700</v>
      </c>
      <c r="E334" s="26">
        <v>830</v>
      </c>
      <c r="F334" s="42">
        <v>29577000</v>
      </c>
      <c r="G334" s="29"/>
      <c r="H334" s="42">
        <v>38181000</v>
      </c>
      <c r="I334" s="29"/>
    </row>
    <row r="335" spans="1:9">
      <c r="A335" s="43"/>
      <c r="B335" s="94" t="s">
        <v>372</v>
      </c>
      <c r="C335" s="26">
        <v>600</v>
      </c>
      <c r="D335" s="26">
        <v>2400</v>
      </c>
      <c r="E335" s="26">
        <v>830</v>
      </c>
      <c r="F335" s="42">
        <v>21568000</v>
      </c>
      <c r="G335" s="29"/>
      <c r="H335" s="42">
        <v>28289000</v>
      </c>
      <c r="I335" s="29"/>
    </row>
    <row r="336" spans="1:9">
      <c r="A336" s="43"/>
      <c r="B336" s="94" t="s">
        <v>373</v>
      </c>
      <c r="C336" s="26">
        <v>600</v>
      </c>
      <c r="D336" s="26">
        <v>2700</v>
      </c>
      <c r="E336" s="26">
        <v>830</v>
      </c>
      <c r="F336" s="42">
        <v>24459000</v>
      </c>
      <c r="G336" s="29"/>
      <c r="H336" s="42">
        <v>32270000</v>
      </c>
      <c r="I336" s="29"/>
    </row>
    <row r="337" spans="1:9" ht="18">
      <c r="A337" s="16" t="e">
        <f ca="1">_xludf.image("https://lh3.google.com/u/0/d/1-XwB0PhX9Zh4uiMcCIduGlGeWgy5y8ZE",1)</f>
        <v>#NAME?</v>
      </c>
      <c r="B337" s="92" t="s">
        <v>374</v>
      </c>
      <c r="C337" s="147"/>
      <c r="D337" s="145"/>
      <c r="E337" s="146"/>
      <c r="F337" s="18"/>
      <c r="G337" s="18"/>
      <c r="H337" s="18"/>
      <c r="I337" s="18"/>
    </row>
    <row r="338" spans="1:9" ht="12.75">
      <c r="A338" s="20"/>
      <c r="B338" s="107"/>
      <c r="C338" s="65"/>
      <c r="D338" s="65"/>
      <c r="E338" s="66"/>
      <c r="F338" s="22"/>
      <c r="G338" s="22"/>
      <c r="H338" s="22"/>
      <c r="I338" s="22"/>
    </row>
    <row r="339" spans="1:9">
      <c r="A339" s="43"/>
      <c r="B339" s="94" t="s">
        <v>375</v>
      </c>
      <c r="C339" s="26">
        <v>600</v>
      </c>
      <c r="D339" s="26">
        <v>2400</v>
      </c>
      <c r="E339" s="26">
        <v>1200</v>
      </c>
      <c r="F339" s="27">
        <v>19837000</v>
      </c>
      <c r="G339" s="29"/>
      <c r="H339" s="27">
        <v>26902000</v>
      </c>
      <c r="I339" s="29"/>
    </row>
    <row r="340" spans="1:9">
      <c r="A340" s="43"/>
      <c r="B340" s="94" t="s">
        <v>376</v>
      </c>
      <c r="C340" s="26">
        <v>600</v>
      </c>
      <c r="D340" s="26">
        <v>2700</v>
      </c>
      <c r="E340" s="26">
        <v>1200</v>
      </c>
      <c r="F340" s="27">
        <v>22517000</v>
      </c>
      <c r="G340" s="29"/>
      <c r="H340" s="27">
        <v>30466000</v>
      </c>
      <c r="I340" s="29"/>
    </row>
    <row r="341" spans="1:9" ht="18">
      <c r="A341" s="16" t="e">
        <f ca="1">_xludf.image("https://lh3.google.com/u/0/d/1c8BP0N73IVUbajqo__gsVzCrYSwbMpoo",1)</f>
        <v>#NAME?</v>
      </c>
      <c r="B341" s="92" t="s">
        <v>377</v>
      </c>
      <c r="C341" s="147"/>
      <c r="D341" s="145"/>
      <c r="E341" s="146"/>
      <c r="F341" s="18"/>
      <c r="G341" s="18"/>
      <c r="H341" s="18"/>
      <c r="I341" s="18"/>
    </row>
    <row r="342" spans="1:9" ht="12.75">
      <c r="A342" s="20"/>
      <c r="B342" s="93" t="s">
        <v>449</v>
      </c>
      <c r="C342" s="65"/>
      <c r="D342" s="65"/>
      <c r="E342" s="66"/>
      <c r="F342" s="22"/>
      <c r="G342" s="22"/>
      <c r="H342" s="22"/>
      <c r="I342" s="22"/>
    </row>
    <row r="343" spans="1:9">
      <c r="A343" s="43"/>
      <c r="B343" s="94" t="s">
        <v>378</v>
      </c>
      <c r="C343" s="26">
        <v>700</v>
      </c>
      <c r="D343" s="26">
        <v>2400</v>
      </c>
      <c r="E343" s="26">
        <v>700</v>
      </c>
      <c r="F343" s="27">
        <v>10765000</v>
      </c>
      <c r="G343" s="29"/>
      <c r="H343" s="27">
        <v>18493000</v>
      </c>
      <c r="I343" s="29"/>
    </row>
    <row r="344" spans="1:9">
      <c r="A344" s="43"/>
      <c r="B344" s="94" t="s">
        <v>379</v>
      </c>
      <c r="C344" s="26">
        <v>700</v>
      </c>
      <c r="D344" s="26">
        <v>2700</v>
      </c>
      <c r="E344" s="26">
        <v>700</v>
      </c>
      <c r="F344" s="27">
        <v>12056000</v>
      </c>
      <c r="G344" s="29"/>
      <c r="H344" s="27">
        <v>20750000</v>
      </c>
      <c r="I344" s="29"/>
    </row>
    <row r="345" spans="1:9">
      <c r="A345" s="43"/>
      <c r="B345" s="94" t="s">
        <v>380</v>
      </c>
      <c r="C345" s="26">
        <v>700</v>
      </c>
      <c r="D345" s="26">
        <v>2400</v>
      </c>
      <c r="E345" s="26">
        <v>940</v>
      </c>
      <c r="F345" s="27">
        <v>10936000</v>
      </c>
      <c r="G345" s="29"/>
      <c r="H345" s="27">
        <v>18664000</v>
      </c>
      <c r="I345" s="29"/>
    </row>
    <row r="346" spans="1:9">
      <c r="A346" s="43"/>
      <c r="B346" s="94" t="s">
        <v>381</v>
      </c>
      <c r="C346" s="26">
        <v>700</v>
      </c>
      <c r="D346" s="26">
        <v>2700</v>
      </c>
      <c r="E346" s="26">
        <v>940</v>
      </c>
      <c r="F346" s="27">
        <v>12227000</v>
      </c>
      <c r="G346" s="29"/>
      <c r="H346" s="27">
        <v>20921000</v>
      </c>
      <c r="I346" s="29"/>
    </row>
    <row r="347" spans="1:9" ht="18">
      <c r="A347" s="16" t="e">
        <f ca="1">_xludf.image("https://lh3.google.com/u/0/d/1dZgeZ0F1XO4th-uogicgm9QSzBYHTjzb",1)</f>
        <v>#NAME?</v>
      </c>
      <c r="B347" s="110" t="s">
        <v>159</v>
      </c>
      <c r="C347" s="141"/>
      <c r="D347" s="136"/>
      <c r="E347" s="137"/>
      <c r="F347" s="46"/>
      <c r="G347" s="46"/>
      <c r="H347" s="46"/>
      <c r="I347" s="46"/>
    </row>
    <row r="348" spans="1:9">
      <c r="A348" s="50"/>
      <c r="B348" s="94" t="s">
        <v>391</v>
      </c>
      <c r="C348" s="50"/>
      <c r="D348" s="26">
        <v>2400</v>
      </c>
      <c r="E348" s="26">
        <v>700</v>
      </c>
      <c r="F348" s="27">
        <v>5046000</v>
      </c>
      <c r="G348" s="29"/>
      <c r="H348" s="27">
        <v>8910000</v>
      </c>
      <c r="I348" s="29"/>
    </row>
    <row r="349" spans="1:9">
      <c r="A349" s="50"/>
      <c r="B349" s="94" t="s">
        <v>392</v>
      </c>
      <c r="C349" s="50"/>
      <c r="D349" s="26">
        <v>2700</v>
      </c>
      <c r="E349" s="26">
        <v>700</v>
      </c>
      <c r="F349" s="27">
        <v>5676000</v>
      </c>
      <c r="G349" s="29"/>
      <c r="H349" s="27">
        <v>10023000</v>
      </c>
      <c r="I349" s="29"/>
    </row>
    <row r="350" spans="1:9">
      <c r="A350" s="50"/>
      <c r="B350" s="94" t="s">
        <v>393</v>
      </c>
      <c r="C350" s="50"/>
      <c r="D350" s="26">
        <v>2400</v>
      </c>
      <c r="E350" s="26">
        <v>100</v>
      </c>
      <c r="F350" s="27">
        <v>721000</v>
      </c>
      <c r="G350" s="29"/>
      <c r="H350" s="27">
        <v>1273000</v>
      </c>
      <c r="I350" s="29"/>
    </row>
    <row r="351" spans="1:9">
      <c r="A351" s="50"/>
      <c r="B351" s="94" t="s">
        <v>394</v>
      </c>
      <c r="C351" s="50"/>
      <c r="D351" s="26">
        <v>2700</v>
      </c>
      <c r="E351" s="26">
        <v>100</v>
      </c>
      <c r="F351" s="27">
        <v>811000</v>
      </c>
      <c r="G351" s="29"/>
      <c r="H351" s="27">
        <v>1432000</v>
      </c>
      <c r="I351" s="29"/>
    </row>
    <row r="352" spans="1:9">
      <c r="A352" s="50"/>
      <c r="B352" s="94" t="s">
        <v>450</v>
      </c>
      <c r="C352" s="50"/>
      <c r="D352" s="50"/>
      <c r="E352" s="50"/>
      <c r="F352" s="42">
        <v>3200000</v>
      </c>
      <c r="G352" s="42">
        <v>3200000</v>
      </c>
      <c r="H352" s="42">
        <v>3200000</v>
      </c>
      <c r="I352" s="42">
        <v>3200000</v>
      </c>
    </row>
    <row r="353" spans="1:9">
      <c r="A353" s="50"/>
      <c r="B353" s="94" t="s">
        <v>451</v>
      </c>
      <c r="C353" s="50"/>
      <c r="D353" s="50"/>
      <c r="E353" s="50"/>
      <c r="F353" s="42">
        <v>4400000</v>
      </c>
      <c r="G353" s="42">
        <v>4400000</v>
      </c>
      <c r="H353" s="42">
        <v>4400000</v>
      </c>
      <c r="I353" s="42">
        <v>4400000</v>
      </c>
    </row>
    <row r="354" spans="1:9" ht="12.75">
      <c r="A354" s="50"/>
      <c r="B354" s="50"/>
      <c r="C354" s="50"/>
      <c r="D354" s="50"/>
      <c r="E354" s="50"/>
      <c r="F354" s="29"/>
      <c r="G354" s="29"/>
      <c r="H354" s="29"/>
      <c r="I354" s="29"/>
    </row>
    <row r="355" spans="1:9" ht="12.75">
      <c r="A355" s="50"/>
      <c r="B355" s="50"/>
      <c r="C355" s="50"/>
      <c r="D355" s="50"/>
      <c r="E355" s="50"/>
      <c r="F355" s="29"/>
      <c r="G355" s="29"/>
      <c r="H355" s="29"/>
      <c r="I355" s="29"/>
    </row>
    <row r="356" spans="1:9" ht="12.75">
      <c r="A356" s="8"/>
    </row>
    <row r="357" spans="1:9" ht="12.75">
      <c r="A357" s="8"/>
    </row>
    <row r="358" spans="1:9" ht="12.75">
      <c r="A358" s="8"/>
    </row>
    <row r="359" spans="1:9" ht="12.75">
      <c r="A359" s="8"/>
    </row>
    <row r="360" spans="1:9" ht="12.75">
      <c r="A360" s="8"/>
    </row>
    <row r="361" spans="1:9" ht="12.75">
      <c r="A361" s="8"/>
    </row>
    <row r="362" spans="1:9" ht="12.75">
      <c r="A362" s="8"/>
    </row>
    <row r="363" spans="1:9" ht="12.75">
      <c r="A363" s="8"/>
    </row>
    <row r="364" spans="1:9" ht="12.75">
      <c r="A364" s="8"/>
    </row>
    <row r="365" spans="1:9" ht="12.75">
      <c r="A365" s="8"/>
    </row>
    <row r="366" spans="1:9" ht="12.75">
      <c r="A366" s="8"/>
    </row>
    <row r="367" spans="1:9" ht="12.75">
      <c r="A367" s="8"/>
    </row>
    <row r="368" spans="1:9" ht="12.75">
      <c r="A368" s="8"/>
    </row>
    <row r="369" spans="1:1" ht="12.75">
      <c r="A369" s="8"/>
    </row>
    <row r="370" spans="1:1" ht="12.75">
      <c r="A370" s="8"/>
    </row>
    <row r="371" spans="1:1" ht="12.75">
      <c r="A371" s="8"/>
    </row>
    <row r="372" spans="1:1" ht="12.75">
      <c r="A372" s="8"/>
    </row>
    <row r="373" spans="1:1" ht="12.75">
      <c r="A373" s="8"/>
    </row>
    <row r="374" spans="1:1" ht="12.75">
      <c r="A374" s="8"/>
    </row>
    <row r="375" spans="1:1" ht="12.75">
      <c r="A375" s="8"/>
    </row>
    <row r="376" spans="1:1" ht="12.75">
      <c r="A376" s="8"/>
    </row>
    <row r="377" spans="1:1" ht="12.75">
      <c r="A377" s="8"/>
    </row>
    <row r="378" spans="1:1" ht="12.75">
      <c r="A378" s="8"/>
    </row>
    <row r="379" spans="1:1" ht="12.75">
      <c r="A379" s="8"/>
    </row>
    <row r="380" spans="1:1" ht="12.75">
      <c r="A380" s="8"/>
    </row>
    <row r="381" spans="1:1" ht="12.75">
      <c r="A381" s="8"/>
    </row>
    <row r="382" spans="1:1" ht="12.75">
      <c r="A382" s="8"/>
    </row>
    <row r="383" spans="1:1" ht="12.75">
      <c r="A383" s="8"/>
    </row>
    <row r="384" spans="1:1" ht="12.75">
      <c r="A384" s="8"/>
    </row>
    <row r="385" spans="1:1" ht="12.75">
      <c r="A385" s="8"/>
    </row>
    <row r="386" spans="1:1" ht="12.75">
      <c r="A386" s="8"/>
    </row>
    <row r="387" spans="1:1" ht="12.75">
      <c r="A387" s="8"/>
    </row>
    <row r="388" spans="1:1" ht="12.75">
      <c r="A388" s="8"/>
    </row>
    <row r="389" spans="1:1" ht="12.75">
      <c r="A389" s="8"/>
    </row>
    <row r="390" spans="1:1" ht="12.75">
      <c r="A390" s="8"/>
    </row>
    <row r="391" spans="1:1" ht="12.75">
      <c r="A391" s="8"/>
    </row>
    <row r="392" spans="1:1" ht="12.75">
      <c r="A392" s="8"/>
    </row>
    <row r="393" spans="1:1" ht="12.75">
      <c r="A393" s="8"/>
    </row>
    <row r="394" spans="1:1" ht="12.75">
      <c r="A394" s="8"/>
    </row>
    <row r="395" spans="1:1" ht="12.75">
      <c r="A395" s="8"/>
    </row>
    <row r="396" spans="1:1" ht="12.75">
      <c r="A396" s="8"/>
    </row>
    <row r="397" spans="1:1" ht="12.75">
      <c r="A397" s="8"/>
    </row>
    <row r="398" spans="1:1" ht="12.75">
      <c r="A398" s="8"/>
    </row>
    <row r="399" spans="1:1" ht="12.75">
      <c r="A399" s="8"/>
    </row>
    <row r="400" spans="1:1" ht="12.75">
      <c r="A400" s="8"/>
    </row>
    <row r="401" spans="1:1" ht="12.75">
      <c r="A401" s="8"/>
    </row>
    <row r="402" spans="1:1" ht="12.75">
      <c r="A402" s="8"/>
    </row>
    <row r="403" spans="1:1" ht="12.75">
      <c r="A403" s="8"/>
    </row>
    <row r="404" spans="1:1" ht="12.75">
      <c r="A404" s="8"/>
    </row>
    <row r="405" spans="1:1" ht="12.75">
      <c r="A405" s="8"/>
    </row>
    <row r="406" spans="1:1" ht="12.75">
      <c r="A406" s="8"/>
    </row>
    <row r="407" spans="1:1" ht="12.75">
      <c r="A407" s="8"/>
    </row>
    <row r="408" spans="1:1" ht="12.75">
      <c r="A408" s="8"/>
    </row>
    <row r="409" spans="1:1" ht="12.75">
      <c r="A409" s="8"/>
    </row>
    <row r="410" spans="1:1" ht="12.75">
      <c r="A410" s="8"/>
    </row>
    <row r="411" spans="1:1" ht="12.75">
      <c r="A411" s="8"/>
    </row>
    <row r="412" spans="1:1" ht="12.75">
      <c r="A412" s="8"/>
    </row>
    <row r="413" spans="1:1" ht="12.75">
      <c r="A413" s="8"/>
    </row>
    <row r="414" spans="1:1" ht="12.75">
      <c r="A414" s="8"/>
    </row>
    <row r="415" spans="1:1" ht="12.75">
      <c r="A415" s="8"/>
    </row>
    <row r="416" spans="1:1" ht="12.75">
      <c r="A416" s="8"/>
    </row>
    <row r="417" spans="1:1" ht="12.75">
      <c r="A417" s="8"/>
    </row>
    <row r="418" spans="1:1" ht="12.75">
      <c r="A418" s="8"/>
    </row>
    <row r="419" spans="1:1" ht="12.75">
      <c r="A419" s="8"/>
    </row>
    <row r="420" spans="1:1" ht="12.75">
      <c r="A420" s="8"/>
    </row>
    <row r="421" spans="1:1" ht="12.75">
      <c r="A421" s="8"/>
    </row>
    <row r="422" spans="1:1" ht="12.75">
      <c r="A422" s="8"/>
    </row>
    <row r="423" spans="1:1" ht="12.75">
      <c r="A423" s="8"/>
    </row>
    <row r="424" spans="1:1" ht="12.75">
      <c r="A424" s="8"/>
    </row>
    <row r="425" spans="1:1" ht="12.75">
      <c r="A425" s="8"/>
    </row>
    <row r="426" spans="1:1" ht="12.75">
      <c r="A426" s="8"/>
    </row>
    <row r="427" spans="1:1" ht="12.75">
      <c r="A427" s="8"/>
    </row>
    <row r="428" spans="1:1" ht="12.75">
      <c r="A428" s="8"/>
    </row>
    <row r="429" spans="1:1" ht="12.75">
      <c r="A429" s="8"/>
    </row>
    <row r="430" spans="1:1" ht="12.75">
      <c r="A430" s="8"/>
    </row>
    <row r="431" spans="1:1" ht="12.75">
      <c r="A431" s="8"/>
    </row>
    <row r="432" spans="1:1" ht="12.75">
      <c r="A432" s="8"/>
    </row>
    <row r="433" spans="1:1" ht="12.75">
      <c r="A433" s="8"/>
    </row>
    <row r="434" spans="1:1" ht="12.75">
      <c r="A434" s="8"/>
    </row>
    <row r="435" spans="1:1" ht="12.75">
      <c r="A435" s="8"/>
    </row>
    <row r="436" spans="1:1" ht="12.75">
      <c r="A436" s="8"/>
    </row>
    <row r="437" spans="1:1" ht="12.75">
      <c r="A437" s="8"/>
    </row>
    <row r="438" spans="1:1" ht="12.75">
      <c r="A438" s="8"/>
    </row>
    <row r="439" spans="1:1" ht="12.75">
      <c r="A439" s="8"/>
    </row>
    <row r="440" spans="1:1" ht="12.75">
      <c r="A440" s="8"/>
    </row>
    <row r="441" spans="1:1" ht="12.75">
      <c r="A441" s="8"/>
    </row>
    <row r="442" spans="1:1" ht="12.75">
      <c r="A442" s="8"/>
    </row>
    <row r="443" spans="1:1" ht="12.75">
      <c r="A443" s="8"/>
    </row>
    <row r="444" spans="1:1" ht="12.75">
      <c r="A444" s="8"/>
    </row>
    <row r="445" spans="1:1" ht="12.75">
      <c r="A445" s="8"/>
    </row>
    <row r="446" spans="1:1" ht="12.75">
      <c r="A446" s="8"/>
    </row>
    <row r="447" spans="1:1" ht="12.75">
      <c r="A447" s="8"/>
    </row>
    <row r="448" spans="1:1" ht="12.75">
      <c r="A448" s="8"/>
    </row>
    <row r="449" spans="1:1" ht="12.75">
      <c r="A449" s="8"/>
    </row>
    <row r="450" spans="1:1" ht="12.75">
      <c r="A450" s="8"/>
    </row>
    <row r="451" spans="1:1" ht="12.75">
      <c r="A451" s="8"/>
    </row>
    <row r="452" spans="1:1" ht="12.75">
      <c r="A452" s="8"/>
    </row>
    <row r="453" spans="1:1" ht="12.75">
      <c r="A453" s="8"/>
    </row>
    <row r="454" spans="1:1" ht="12.75">
      <c r="A454" s="8"/>
    </row>
    <row r="455" spans="1:1" ht="12.75">
      <c r="A455" s="8"/>
    </row>
    <row r="456" spans="1:1" ht="12.75">
      <c r="A456" s="8"/>
    </row>
    <row r="457" spans="1:1" ht="12.75">
      <c r="A457" s="8"/>
    </row>
    <row r="458" spans="1:1" ht="12.75">
      <c r="A458" s="8"/>
    </row>
    <row r="459" spans="1:1" ht="12.75">
      <c r="A459" s="8"/>
    </row>
    <row r="460" spans="1:1" ht="12.75">
      <c r="A460" s="8"/>
    </row>
    <row r="461" spans="1:1" ht="12.75">
      <c r="A461" s="8"/>
    </row>
    <row r="462" spans="1:1" ht="12.75">
      <c r="A462" s="8"/>
    </row>
    <row r="463" spans="1:1" ht="12.75">
      <c r="A463" s="8"/>
    </row>
    <row r="464" spans="1:1" ht="12.75">
      <c r="A464" s="8"/>
    </row>
    <row r="465" spans="1:1" ht="12.75">
      <c r="A465" s="8"/>
    </row>
    <row r="466" spans="1:1" ht="12.75">
      <c r="A466" s="8"/>
    </row>
    <row r="467" spans="1:1" ht="12.75">
      <c r="A467" s="8"/>
    </row>
    <row r="468" spans="1:1" ht="12.75">
      <c r="A468" s="8"/>
    </row>
    <row r="469" spans="1:1" ht="12.75">
      <c r="A469" s="8"/>
    </row>
    <row r="470" spans="1:1" ht="12.75">
      <c r="A470" s="8"/>
    </row>
    <row r="471" spans="1:1" ht="12.75">
      <c r="A471" s="8"/>
    </row>
    <row r="472" spans="1:1" ht="12.75">
      <c r="A472" s="8"/>
    </row>
    <row r="473" spans="1:1" ht="12.75">
      <c r="A473" s="8"/>
    </row>
    <row r="474" spans="1:1" ht="12.75">
      <c r="A474" s="8"/>
    </row>
    <row r="475" spans="1:1" ht="12.75">
      <c r="A475" s="8"/>
    </row>
    <row r="476" spans="1:1" ht="12.75">
      <c r="A476" s="8"/>
    </row>
    <row r="477" spans="1:1" ht="12.75">
      <c r="A477" s="8"/>
    </row>
    <row r="478" spans="1:1" ht="12.75">
      <c r="A478" s="8"/>
    </row>
    <row r="479" spans="1:1" ht="12.75">
      <c r="A479" s="8"/>
    </row>
    <row r="480" spans="1:1" ht="12.75">
      <c r="A480" s="8"/>
    </row>
    <row r="481" spans="1:1" ht="12.75">
      <c r="A481" s="8"/>
    </row>
    <row r="482" spans="1:1" ht="12.75">
      <c r="A482" s="8"/>
    </row>
    <row r="483" spans="1:1" ht="12.75">
      <c r="A483" s="8"/>
    </row>
    <row r="484" spans="1:1" ht="12.75">
      <c r="A484" s="8"/>
    </row>
    <row r="485" spans="1:1" ht="12.75">
      <c r="A485" s="8"/>
    </row>
    <row r="486" spans="1:1" ht="12.75">
      <c r="A486" s="8"/>
    </row>
    <row r="487" spans="1:1" ht="12.75">
      <c r="A487" s="8"/>
    </row>
    <row r="488" spans="1:1" ht="12.75">
      <c r="A488" s="8"/>
    </row>
    <row r="489" spans="1:1" ht="12.75">
      <c r="A489" s="8"/>
    </row>
    <row r="490" spans="1:1" ht="12.75">
      <c r="A490" s="8"/>
    </row>
    <row r="491" spans="1:1" ht="12.75">
      <c r="A491" s="8"/>
    </row>
    <row r="492" spans="1:1" ht="12.75">
      <c r="A492" s="8"/>
    </row>
    <row r="493" spans="1:1" ht="12.75">
      <c r="A493" s="8"/>
    </row>
    <row r="494" spans="1:1" ht="12.75">
      <c r="A494" s="8"/>
    </row>
    <row r="495" spans="1:1" ht="12.75">
      <c r="A495" s="8"/>
    </row>
    <row r="496" spans="1:1" ht="12.75">
      <c r="A496" s="8"/>
    </row>
    <row r="497" spans="1:1" ht="12.75">
      <c r="A497" s="8"/>
    </row>
    <row r="498" spans="1:1" ht="12.75">
      <c r="A498" s="8"/>
    </row>
    <row r="499" spans="1:1" ht="12.75">
      <c r="A499" s="8"/>
    </row>
    <row r="500" spans="1:1" ht="12.75">
      <c r="A500" s="8"/>
    </row>
    <row r="501" spans="1:1" ht="12.75">
      <c r="A501" s="8"/>
    </row>
    <row r="502" spans="1:1" ht="12.75">
      <c r="A502" s="8"/>
    </row>
    <row r="503" spans="1:1" ht="12.75">
      <c r="A503" s="8"/>
    </row>
    <row r="504" spans="1:1" ht="12.75">
      <c r="A504" s="8"/>
    </row>
    <row r="505" spans="1:1" ht="12.75">
      <c r="A505" s="8"/>
    </row>
    <row r="506" spans="1:1" ht="12.75">
      <c r="A506" s="8"/>
    </row>
    <row r="507" spans="1:1" ht="12.75">
      <c r="A507" s="8"/>
    </row>
    <row r="508" spans="1:1" ht="12.75">
      <c r="A508" s="8"/>
    </row>
    <row r="509" spans="1:1" ht="12.75">
      <c r="A509" s="8"/>
    </row>
    <row r="510" spans="1:1" ht="12.75">
      <c r="A510" s="8"/>
    </row>
    <row r="511" spans="1:1" ht="12.75">
      <c r="A511" s="8"/>
    </row>
    <row r="512" spans="1:1" ht="12.75">
      <c r="A512" s="8"/>
    </row>
    <row r="513" spans="1:1" ht="12.75">
      <c r="A513" s="8"/>
    </row>
    <row r="514" spans="1:1" ht="12.75">
      <c r="A514" s="8"/>
    </row>
    <row r="515" spans="1:1" ht="12.75">
      <c r="A515" s="8"/>
    </row>
    <row r="516" spans="1:1" ht="12.75">
      <c r="A516" s="8"/>
    </row>
    <row r="517" spans="1:1" ht="12.75">
      <c r="A517" s="8"/>
    </row>
    <row r="518" spans="1:1" ht="12.75">
      <c r="A518" s="8"/>
    </row>
    <row r="519" spans="1:1" ht="12.75">
      <c r="A519" s="8"/>
    </row>
    <row r="520" spans="1:1" ht="12.75">
      <c r="A520" s="8"/>
    </row>
    <row r="521" spans="1:1" ht="12.75">
      <c r="A521" s="8"/>
    </row>
    <row r="522" spans="1:1" ht="12.75">
      <c r="A522" s="8"/>
    </row>
    <row r="523" spans="1:1" ht="12.75">
      <c r="A523" s="8"/>
    </row>
    <row r="524" spans="1:1" ht="12.75">
      <c r="A524" s="8"/>
    </row>
    <row r="525" spans="1:1" ht="12.75">
      <c r="A525" s="8"/>
    </row>
    <row r="526" spans="1:1" ht="12.75">
      <c r="A526" s="8"/>
    </row>
    <row r="527" spans="1:1" ht="12.75">
      <c r="A527" s="8"/>
    </row>
    <row r="528" spans="1:1" ht="12.75">
      <c r="A528" s="8"/>
    </row>
    <row r="529" spans="1:1" ht="12.75">
      <c r="A529" s="8"/>
    </row>
    <row r="530" spans="1:1" ht="12.75">
      <c r="A530" s="8"/>
    </row>
    <row r="531" spans="1:1" ht="12.75">
      <c r="A531" s="8"/>
    </row>
    <row r="532" spans="1:1" ht="12.75">
      <c r="A532" s="8"/>
    </row>
    <row r="533" spans="1:1" ht="12.75">
      <c r="A533" s="8"/>
    </row>
    <row r="534" spans="1:1" ht="12.75">
      <c r="A534" s="8"/>
    </row>
    <row r="535" spans="1:1" ht="12.75">
      <c r="A535" s="8"/>
    </row>
    <row r="536" spans="1:1" ht="12.75">
      <c r="A536" s="8"/>
    </row>
    <row r="537" spans="1:1" ht="12.75">
      <c r="A537" s="8"/>
    </row>
    <row r="538" spans="1:1" ht="12.75">
      <c r="A538" s="8"/>
    </row>
    <row r="539" spans="1:1" ht="12.75">
      <c r="A539" s="8"/>
    </row>
    <row r="540" spans="1:1" ht="12.75">
      <c r="A540" s="8"/>
    </row>
    <row r="541" spans="1:1" ht="12.75">
      <c r="A541" s="8"/>
    </row>
    <row r="542" spans="1:1" ht="12.75">
      <c r="A542" s="8"/>
    </row>
    <row r="543" spans="1:1" ht="12.75">
      <c r="A543" s="8"/>
    </row>
    <row r="544" spans="1:1" ht="12.75">
      <c r="A544" s="8"/>
    </row>
    <row r="545" spans="1:1" ht="12.75">
      <c r="A545" s="8"/>
    </row>
    <row r="546" spans="1:1" ht="12.75">
      <c r="A546" s="8"/>
    </row>
    <row r="547" spans="1:1" ht="12.75">
      <c r="A547" s="8"/>
    </row>
    <row r="548" spans="1:1" ht="12.75">
      <c r="A548" s="8"/>
    </row>
    <row r="549" spans="1:1" ht="12.75">
      <c r="A549" s="8"/>
    </row>
    <row r="550" spans="1:1" ht="12.75">
      <c r="A550" s="8"/>
    </row>
    <row r="551" spans="1:1" ht="12.75">
      <c r="A551" s="8"/>
    </row>
    <row r="552" spans="1:1" ht="12.75">
      <c r="A552" s="8"/>
    </row>
    <row r="553" spans="1:1" ht="12.75">
      <c r="A553" s="8"/>
    </row>
    <row r="554" spans="1:1" ht="12.75">
      <c r="A554" s="8"/>
    </row>
    <row r="555" spans="1:1" ht="12.75">
      <c r="A555" s="8"/>
    </row>
    <row r="556" spans="1:1" ht="12.75">
      <c r="A556" s="8"/>
    </row>
    <row r="557" spans="1:1" ht="12.75">
      <c r="A557" s="8"/>
    </row>
    <row r="558" spans="1:1" ht="12.75">
      <c r="A558" s="8"/>
    </row>
    <row r="559" spans="1:1" ht="12.75">
      <c r="A559" s="8"/>
    </row>
    <row r="560" spans="1:1" ht="12.75">
      <c r="A560" s="8"/>
    </row>
    <row r="561" spans="1:1" ht="12.75">
      <c r="A561" s="8"/>
    </row>
    <row r="562" spans="1:1" ht="12.75">
      <c r="A562" s="8"/>
    </row>
    <row r="563" spans="1:1" ht="12.75">
      <c r="A563" s="8"/>
    </row>
    <row r="564" spans="1:1" ht="12.75">
      <c r="A564" s="8"/>
    </row>
    <row r="565" spans="1:1" ht="12.75">
      <c r="A565" s="8"/>
    </row>
    <row r="566" spans="1:1" ht="12.75">
      <c r="A566" s="8"/>
    </row>
    <row r="567" spans="1:1" ht="12.75">
      <c r="A567" s="8"/>
    </row>
    <row r="568" spans="1:1" ht="12.75">
      <c r="A568" s="8"/>
    </row>
    <row r="569" spans="1:1" ht="12.75">
      <c r="A569" s="8"/>
    </row>
    <row r="570" spans="1:1" ht="12.75">
      <c r="A570" s="8"/>
    </row>
    <row r="571" spans="1:1" ht="12.75">
      <c r="A571" s="8"/>
    </row>
    <row r="572" spans="1:1" ht="12.75">
      <c r="A572" s="8"/>
    </row>
    <row r="573" spans="1:1" ht="12.75">
      <c r="A573" s="8"/>
    </row>
    <row r="574" spans="1:1" ht="12.75">
      <c r="A574" s="8"/>
    </row>
    <row r="575" spans="1:1" ht="12.75">
      <c r="A575" s="8"/>
    </row>
    <row r="576" spans="1:1" ht="12.75">
      <c r="A576" s="8"/>
    </row>
    <row r="577" spans="1:1" ht="12.75">
      <c r="A577" s="8"/>
    </row>
    <row r="578" spans="1:1" ht="12.75">
      <c r="A578" s="8"/>
    </row>
    <row r="579" spans="1:1" ht="12.75">
      <c r="A579" s="8"/>
    </row>
    <row r="580" spans="1:1" ht="12.75">
      <c r="A580" s="8"/>
    </row>
    <row r="581" spans="1:1" ht="12.75">
      <c r="A581" s="8"/>
    </row>
    <row r="582" spans="1:1" ht="12.75">
      <c r="A582" s="8"/>
    </row>
    <row r="583" spans="1:1" ht="12.75">
      <c r="A583" s="8"/>
    </row>
    <row r="584" spans="1:1" ht="12.75">
      <c r="A584" s="8"/>
    </row>
    <row r="585" spans="1:1" ht="12.75">
      <c r="A585" s="8"/>
    </row>
    <row r="586" spans="1:1" ht="12.75">
      <c r="A586" s="8"/>
    </row>
    <row r="587" spans="1:1" ht="12.75">
      <c r="A587" s="8"/>
    </row>
    <row r="588" spans="1:1" ht="12.75">
      <c r="A588" s="8"/>
    </row>
    <row r="589" spans="1:1" ht="12.75">
      <c r="A589" s="8"/>
    </row>
    <row r="590" spans="1:1" ht="12.75">
      <c r="A590" s="8"/>
    </row>
    <row r="591" spans="1:1" ht="12.75">
      <c r="A591" s="8"/>
    </row>
    <row r="592" spans="1:1" ht="12.75">
      <c r="A592" s="8"/>
    </row>
    <row r="593" spans="1:1" ht="12.75">
      <c r="A593" s="8"/>
    </row>
    <row r="594" spans="1:1" ht="12.75">
      <c r="A594" s="8"/>
    </row>
    <row r="595" spans="1:1" ht="12.75">
      <c r="A595" s="8"/>
    </row>
    <row r="596" spans="1:1" ht="12.75">
      <c r="A596" s="8"/>
    </row>
    <row r="597" spans="1:1" ht="12.75">
      <c r="A597" s="8"/>
    </row>
    <row r="598" spans="1:1" ht="12.75">
      <c r="A598" s="8"/>
    </row>
    <row r="599" spans="1:1" ht="12.75">
      <c r="A599" s="8"/>
    </row>
    <row r="600" spans="1:1" ht="12.75">
      <c r="A600" s="8"/>
    </row>
    <row r="601" spans="1:1" ht="12.75">
      <c r="A601" s="8"/>
    </row>
    <row r="602" spans="1:1" ht="12.75">
      <c r="A602" s="8"/>
    </row>
    <row r="603" spans="1:1" ht="12.75">
      <c r="A603" s="8"/>
    </row>
    <row r="604" spans="1:1" ht="12.75">
      <c r="A604" s="8"/>
    </row>
    <row r="605" spans="1:1" ht="12.75">
      <c r="A605" s="8"/>
    </row>
    <row r="606" spans="1:1" ht="12.75">
      <c r="A606" s="8"/>
    </row>
    <row r="607" spans="1:1" ht="12.75">
      <c r="A607" s="8"/>
    </row>
    <row r="608" spans="1:1" ht="12.75">
      <c r="A608" s="8"/>
    </row>
    <row r="609" spans="1:1" ht="12.75">
      <c r="A609" s="8"/>
    </row>
    <row r="610" spans="1:1" ht="12.75">
      <c r="A610" s="8"/>
    </row>
    <row r="611" spans="1:1" ht="12.75">
      <c r="A611" s="8"/>
    </row>
    <row r="612" spans="1:1" ht="12.75">
      <c r="A612" s="8"/>
    </row>
    <row r="613" spans="1:1" ht="12.75">
      <c r="A613" s="8"/>
    </row>
    <row r="614" spans="1:1" ht="12.75">
      <c r="A614" s="8"/>
    </row>
    <row r="615" spans="1:1" ht="12.75">
      <c r="A615" s="8"/>
    </row>
    <row r="616" spans="1:1" ht="12.75">
      <c r="A616" s="8"/>
    </row>
    <row r="617" spans="1:1" ht="12.75">
      <c r="A617" s="8"/>
    </row>
    <row r="618" spans="1:1" ht="12.75">
      <c r="A618" s="8"/>
    </row>
    <row r="619" spans="1:1" ht="12.75">
      <c r="A619" s="8"/>
    </row>
    <row r="620" spans="1:1" ht="12.75">
      <c r="A620" s="8"/>
    </row>
    <row r="621" spans="1:1" ht="12.75">
      <c r="A621" s="8"/>
    </row>
    <row r="622" spans="1:1" ht="12.75">
      <c r="A622" s="8"/>
    </row>
    <row r="623" spans="1:1" ht="12.75">
      <c r="A623" s="8"/>
    </row>
    <row r="624" spans="1:1" ht="12.75">
      <c r="A624" s="8"/>
    </row>
    <row r="625" spans="1:1" ht="12.75">
      <c r="A625" s="8"/>
    </row>
    <row r="626" spans="1:1" ht="12.75">
      <c r="A626" s="8"/>
    </row>
    <row r="627" spans="1:1" ht="12.75">
      <c r="A627" s="8"/>
    </row>
    <row r="628" spans="1:1" ht="12.75">
      <c r="A628" s="8"/>
    </row>
    <row r="629" spans="1:1" ht="12.75">
      <c r="A629" s="8"/>
    </row>
    <row r="630" spans="1:1" ht="12.75">
      <c r="A630" s="8"/>
    </row>
    <row r="631" spans="1:1" ht="12.75">
      <c r="A631" s="8"/>
    </row>
    <row r="632" spans="1:1" ht="12.75">
      <c r="A632" s="8"/>
    </row>
    <row r="633" spans="1:1" ht="12.75">
      <c r="A633" s="8"/>
    </row>
    <row r="634" spans="1:1" ht="12.75">
      <c r="A634" s="8"/>
    </row>
    <row r="635" spans="1:1" ht="12.75">
      <c r="A635" s="8"/>
    </row>
    <row r="636" spans="1:1" ht="12.75">
      <c r="A636" s="8"/>
    </row>
    <row r="637" spans="1:1" ht="12.75">
      <c r="A637" s="8"/>
    </row>
    <row r="638" spans="1:1" ht="12.75">
      <c r="A638" s="8"/>
    </row>
    <row r="639" spans="1:1" ht="12.75">
      <c r="A639" s="8"/>
    </row>
    <row r="640" spans="1:1" ht="12.75">
      <c r="A640" s="8"/>
    </row>
    <row r="641" spans="1:1" ht="12.75">
      <c r="A641" s="8"/>
    </row>
    <row r="642" spans="1:1" ht="12.75">
      <c r="A642" s="8"/>
    </row>
    <row r="643" spans="1:1" ht="12.75">
      <c r="A643" s="8"/>
    </row>
    <row r="644" spans="1:1" ht="12.75">
      <c r="A644" s="8"/>
    </row>
    <row r="645" spans="1:1" ht="12.75">
      <c r="A645" s="8"/>
    </row>
    <row r="646" spans="1:1" ht="12.75">
      <c r="A646" s="8"/>
    </row>
    <row r="647" spans="1:1" ht="12.75">
      <c r="A647" s="8"/>
    </row>
    <row r="648" spans="1:1" ht="12.75">
      <c r="A648" s="8"/>
    </row>
    <row r="649" spans="1:1" ht="12.75">
      <c r="A649" s="8"/>
    </row>
    <row r="650" spans="1:1" ht="12.75">
      <c r="A650" s="8"/>
    </row>
    <row r="651" spans="1:1" ht="12.75">
      <c r="A651" s="8"/>
    </row>
    <row r="652" spans="1:1" ht="12.75">
      <c r="A652" s="8"/>
    </row>
    <row r="653" spans="1:1" ht="12.75">
      <c r="A653" s="8"/>
    </row>
    <row r="654" spans="1:1" ht="12.75">
      <c r="A654" s="8"/>
    </row>
    <row r="655" spans="1:1" ht="12.75">
      <c r="A655" s="8"/>
    </row>
    <row r="656" spans="1:1" ht="12.75">
      <c r="A656" s="8"/>
    </row>
    <row r="657" spans="1:1" ht="12.75">
      <c r="A657" s="8"/>
    </row>
    <row r="658" spans="1:1" ht="12.75">
      <c r="A658" s="8"/>
    </row>
    <row r="659" spans="1:1" ht="12.75">
      <c r="A659" s="8"/>
    </row>
    <row r="660" spans="1:1" ht="12.75">
      <c r="A660" s="8"/>
    </row>
    <row r="661" spans="1:1" ht="12.75">
      <c r="A661" s="8"/>
    </row>
    <row r="662" spans="1:1" ht="12.75">
      <c r="A662" s="8"/>
    </row>
    <row r="663" spans="1:1" ht="12.75">
      <c r="A663" s="8"/>
    </row>
    <row r="664" spans="1:1" ht="12.75">
      <c r="A664" s="8"/>
    </row>
    <row r="665" spans="1:1" ht="12.75">
      <c r="A665" s="8"/>
    </row>
    <row r="666" spans="1:1" ht="12.75">
      <c r="A666" s="8"/>
    </row>
    <row r="667" spans="1:1" ht="12.75">
      <c r="A667" s="8"/>
    </row>
    <row r="668" spans="1:1" ht="12.75">
      <c r="A668" s="8"/>
    </row>
    <row r="669" spans="1:1" ht="12.75">
      <c r="A669" s="8"/>
    </row>
    <row r="670" spans="1:1" ht="12.75">
      <c r="A670" s="8"/>
    </row>
    <row r="671" spans="1:1" ht="12.75">
      <c r="A671" s="8"/>
    </row>
    <row r="672" spans="1:1" ht="12.75">
      <c r="A672" s="8"/>
    </row>
    <row r="673" spans="1:1" ht="12.75">
      <c r="A673" s="8"/>
    </row>
    <row r="674" spans="1:1" ht="12.75">
      <c r="A674" s="8"/>
    </row>
    <row r="675" spans="1:1" ht="12.75">
      <c r="A675" s="8"/>
    </row>
    <row r="676" spans="1:1" ht="12.75">
      <c r="A676" s="8"/>
    </row>
    <row r="677" spans="1:1" ht="12.75">
      <c r="A677" s="8"/>
    </row>
    <row r="678" spans="1:1" ht="12.75">
      <c r="A678" s="8"/>
    </row>
    <row r="679" spans="1:1" ht="12.75">
      <c r="A679" s="8"/>
    </row>
    <row r="680" spans="1:1" ht="12.75">
      <c r="A680" s="8"/>
    </row>
    <row r="681" spans="1:1" ht="12.75">
      <c r="A681" s="8"/>
    </row>
    <row r="682" spans="1:1" ht="12.75">
      <c r="A682" s="8"/>
    </row>
    <row r="683" spans="1:1" ht="12.75">
      <c r="A683" s="8"/>
    </row>
    <row r="684" spans="1:1" ht="12.75">
      <c r="A684" s="8"/>
    </row>
    <row r="685" spans="1:1" ht="12.75">
      <c r="A685" s="8"/>
    </row>
    <row r="686" spans="1:1" ht="12.75">
      <c r="A686" s="8"/>
    </row>
    <row r="687" spans="1:1" ht="12.75">
      <c r="A687" s="8"/>
    </row>
    <row r="688" spans="1:1" ht="12.75">
      <c r="A688" s="8"/>
    </row>
    <row r="689" spans="1:1" ht="12.75">
      <c r="A689" s="8"/>
    </row>
    <row r="690" spans="1:1" ht="12.75">
      <c r="A690" s="8"/>
    </row>
    <row r="691" spans="1:1" ht="12.75">
      <c r="A691" s="8"/>
    </row>
    <row r="692" spans="1:1" ht="12.75">
      <c r="A692" s="8"/>
    </row>
    <row r="693" spans="1:1" ht="12.75">
      <c r="A693" s="8"/>
    </row>
    <row r="694" spans="1:1" ht="12.75">
      <c r="A694" s="8"/>
    </row>
    <row r="695" spans="1:1" ht="12.75">
      <c r="A695" s="8"/>
    </row>
    <row r="696" spans="1:1" ht="12.75">
      <c r="A696" s="8"/>
    </row>
    <row r="697" spans="1:1" ht="12.75">
      <c r="A697" s="8"/>
    </row>
    <row r="698" spans="1:1" ht="12.75">
      <c r="A698" s="8"/>
    </row>
    <row r="699" spans="1:1" ht="12.75">
      <c r="A699" s="8"/>
    </row>
    <row r="700" spans="1:1" ht="12.75">
      <c r="A700" s="8"/>
    </row>
    <row r="701" spans="1:1" ht="12.75">
      <c r="A701" s="8"/>
    </row>
    <row r="702" spans="1:1" ht="12.75">
      <c r="A702" s="8"/>
    </row>
    <row r="703" spans="1:1" ht="12.75">
      <c r="A703" s="8"/>
    </row>
    <row r="704" spans="1:1" ht="12.75">
      <c r="A704" s="8"/>
    </row>
    <row r="705" spans="1:1" ht="12.75">
      <c r="A705" s="8"/>
    </row>
    <row r="706" spans="1:1" ht="12.75">
      <c r="A706" s="8"/>
    </row>
    <row r="707" spans="1:1" ht="12.75">
      <c r="A707" s="8"/>
    </row>
    <row r="708" spans="1:1" ht="12.75">
      <c r="A708" s="8"/>
    </row>
    <row r="709" spans="1:1" ht="12.75">
      <c r="A709" s="8"/>
    </row>
    <row r="710" spans="1:1" ht="12.75">
      <c r="A710" s="8"/>
    </row>
    <row r="711" spans="1:1" ht="12.75">
      <c r="A711" s="8"/>
    </row>
    <row r="712" spans="1:1" ht="12.75">
      <c r="A712" s="8"/>
    </row>
    <row r="713" spans="1:1" ht="12.75">
      <c r="A713" s="8"/>
    </row>
    <row r="714" spans="1:1" ht="12.75">
      <c r="A714" s="8"/>
    </row>
    <row r="715" spans="1:1" ht="12.75">
      <c r="A715" s="8"/>
    </row>
    <row r="716" spans="1:1" ht="12.75">
      <c r="A716" s="8"/>
    </row>
    <row r="717" spans="1:1" ht="12.75">
      <c r="A717" s="8"/>
    </row>
    <row r="718" spans="1:1" ht="12.75">
      <c r="A718" s="8"/>
    </row>
    <row r="719" spans="1:1" ht="12.75">
      <c r="A719" s="8"/>
    </row>
    <row r="720" spans="1:1" ht="12.75">
      <c r="A720" s="8"/>
    </row>
    <row r="721" spans="1:1" ht="12.75">
      <c r="A721" s="8"/>
    </row>
    <row r="722" spans="1:1" ht="12.75">
      <c r="A722" s="8"/>
    </row>
    <row r="723" spans="1:1" ht="12.75">
      <c r="A723" s="8"/>
    </row>
    <row r="724" spans="1:1" ht="12.75">
      <c r="A724" s="8"/>
    </row>
    <row r="725" spans="1:1" ht="12.75">
      <c r="A725" s="8"/>
    </row>
    <row r="726" spans="1:1" ht="12.75">
      <c r="A726" s="8"/>
    </row>
    <row r="727" spans="1:1" ht="12.75">
      <c r="A727" s="8"/>
    </row>
    <row r="728" spans="1:1" ht="12.75">
      <c r="A728" s="8"/>
    </row>
    <row r="729" spans="1:1" ht="12.75">
      <c r="A729" s="8"/>
    </row>
    <row r="730" spans="1:1" ht="12.75">
      <c r="A730" s="8"/>
    </row>
    <row r="731" spans="1:1" ht="12.75">
      <c r="A731" s="8"/>
    </row>
    <row r="732" spans="1:1" ht="12.75">
      <c r="A732" s="8"/>
    </row>
    <row r="733" spans="1:1" ht="12.75">
      <c r="A733" s="8"/>
    </row>
    <row r="734" spans="1:1" ht="12.75">
      <c r="A734" s="8"/>
    </row>
    <row r="735" spans="1:1" ht="12.75">
      <c r="A735" s="8"/>
    </row>
    <row r="736" spans="1:1" ht="12.75">
      <c r="A736" s="8"/>
    </row>
    <row r="737" spans="1:1" ht="12.75">
      <c r="A737" s="8"/>
    </row>
    <row r="738" spans="1:1" ht="12.75">
      <c r="A738" s="8"/>
    </row>
    <row r="739" spans="1:1" ht="12.75">
      <c r="A739" s="8"/>
    </row>
    <row r="740" spans="1:1" ht="12.75">
      <c r="A740" s="8"/>
    </row>
    <row r="741" spans="1:1" ht="12.75">
      <c r="A741" s="8"/>
    </row>
    <row r="742" spans="1:1" ht="12.75">
      <c r="A742" s="8"/>
    </row>
    <row r="743" spans="1:1" ht="12.75">
      <c r="A743" s="8"/>
    </row>
    <row r="744" spans="1:1" ht="12.75">
      <c r="A744" s="8"/>
    </row>
    <row r="745" spans="1:1" ht="12.75">
      <c r="A745" s="8"/>
    </row>
    <row r="746" spans="1:1" ht="12.75">
      <c r="A746" s="8"/>
    </row>
    <row r="747" spans="1:1" ht="12.75">
      <c r="A747" s="8"/>
    </row>
    <row r="748" spans="1:1" ht="12.75">
      <c r="A748" s="8"/>
    </row>
    <row r="749" spans="1:1" ht="12.75">
      <c r="A749" s="8"/>
    </row>
    <row r="750" spans="1:1" ht="12.75">
      <c r="A750" s="8"/>
    </row>
    <row r="751" spans="1:1" ht="12.75">
      <c r="A751" s="8"/>
    </row>
    <row r="752" spans="1:1" ht="12.75">
      <c r="A752" s="8"/>
    </row>
    <row r="753" spans="1:1" ht="12.75">
      <c r="A753" s="8"/>
    </row>
    <row r="754" spans="1:1" ht="12.75">
      <c r="A754" s="8"/>
    </row>
    <row r="755" spans="1:1" ht="12.75">
      <c r="A755" s="8"/>
    </row>
    <row r="756" spans="1:1" ht="12.75">
      <c r="A756" s="8"/>
    </row>
    <row r="757" spans="1:1" ht="12.75">
      <c r="A757" s="8"/>
    </row>
    <row r="758" spans="1:1" ht="12.75">
      <c r="A758" s="8"/>
    </row>
    <row r="759" spans="1:1" ht="12.75">
      <c r="A759" s="8"/>
    </row>
    <row r="760" spans="1:1" ht="12.75">
      <c r="A760" s="8"/>
    </row>
    <row r="761" spans="1:1" ht="12.75">
      <c r="A761" s="8"/>
    </row>
    <row r="762" spans="1:1" ht="12.75">
      <c r="A762" s="8"/>
    </row>
    <row r="763" spans="1:1" ht="12.75">
      <c r="A763" s="8"/>
    </row>
    <row r="764" spans="1:1" ht="12.75">
      <c r="A764" s="8"/>
    </row>
    <row r="765" spans="1:1" ht="12.75">
      <c r="A765" s="8"/>
    </row>
    <row r="766" spans="1:1" ht="12.75">
      <c r="A766" s="8"/>
    </row>
    <row r="767" spans="1:1" ht="12.75">
      <c r="A767" s="8"/>
    </row>
    <row r="768" spans="1:1" ht="12.75">
      <c r="A768" s="8"/>
    </row>
    <row r="769" spans="1:1" ht="12.75">
      <c r="A769" s="8"/>
    </row>
    <row r="770" spans="1:1" ht="12.75">
      <c r="A770" s="8"/>
    </row>
    <row r="771" spans="1:1" ht="12.75">
      <c r="A771" s="8"/>
    </row>
    <row r="772" spans="1:1" ht="12.75">
      <c r="A772" s="8"/>
    </row>
    <row r="773" spans="1:1" ht="12.75">
      <c r="A773" s="8"/>
    </row>
    <row r="774" spans="1:1" ht="12.75">
      <c r="A774" s="8"/>
    </row>
    <row r="775" spans="1:1" ht="12.75">
      <c r="A775" s="8"/>
    </row>
    <row r="776" spans="1:1" ht="12.75">
      <c r="A776" s="8"/>
    </row>
    <row r="777" spans="1:1" ht="12.75">
      <c r="A777" s="8"/>
    </row>
    <row r="778" spans="1:1" ht="12.75">
      <c r="A778" s="8"/>
    </row>
    <row r="779" spans="1:1" ht="12.75">
      <c r="A779" s="8"/>
    </row>
    <row r="780" spans="1:1" ht="12.75">
      <c r="A780" s="8"/>
    </row>
    <row r="781" spans="1:1" ht="12.75">
      <c r="A781" s="8"/>
    </row>
    <row r="782" spans="1:1" ht="12.75">
      <c r="A782" s="8"/>
    </row>
    <row r="783" spans="1:1" ht="12.75">
      <c r="A783" s="8"/>
    </row>
    <row r="784" spans="1:1" ht="12.75">
      <c r="A784" s="8"/>
    </row>
    <row r="785" spans="1:1" ht="12.75">
      <c r="A785" s="8"/>
    </row>
    <row r="786" spans="1:1" ht="12.75">
      <c r="A786" s="8"/>
    </row>
    <row r="787" spans="1:1" ht="12.75">
      <c r="A787" s="8"/>
    </row>
    <row r="788" spans="1:1" ht="12.75">
      <c r="A788" s="8"/>
    </row>
    <row r="789" spans="1:1" ht="12.75">
      <c r="A789" s="8"/>
    </row>
    <row r="790" spans="1:1" ht="12.75">
      <c r="A790" s="8"/>
    </row>
    <row r="791" spans="1:1" ht="12.75">
      <c r="A791" s="8"/>
    </row>
    <row r="792" spans="1:1" ht="12.75">
      <c r="A792" s="8"/>
    </row>
    <row r="793" spans="1:1" ht="12.75">
      <c r="A793" s="8"/>
    </row>
    <row r="794" spans="1:1" ht="12.75">
      <c r="A794" s="8"/>
    </row>
    <row r="795" spans="1:1" ht="12.75">
      <c r="A795" s="8"/>
    </row>
    <row r="796" spans="1:1" ht="12.75">
      <c r="A796" s="8"/>
    </row>
    <row r="797" spans="1:1" ht="12.75">
      <c r="A797" s="8"/>
    </row>
    <row r="798" spans="1:1" ht="12.75">
      <c r="A798" s="8"/>
    </row>
    <row r="799" spans="1:1" ht="12.75">
      <c r="A799" s="8"/>
    </row>
    <row r="800" spans="1:1" ht="12.75">
      <c r="A800" s="8"/>
    </row>
    <row r="801" spans="1:1" ht="12.75">
      <c r="A801" s="8"/>
    </row>
    <row r="802" spans="1:1" ht="12.75">
      <c r="A802" s="8"/>
    </row>
    <row r="803" spans="1:1" ht="12.75">
      <c r="A803" s="8"/>
    </row>
    <row r="804" spans="1:1" ht="12.75">
      <c r="A804" s="8"/>
    </row>
    <row r="805" spans="1:1" ht="12.75">
      <c r="A805" s="8"/>
    </row>
    <row r="806" spans="1:1" ht="12.75">
      <c r="A806" s="8"/>
    </row>
    <row r="807" spans="1:1" ht="12.75">
      <c r="A807" s="8"/>
    </row>
    <row r="808" spans="1:1" ht="12.75">
      <c r="A808" s="8"/>
    </row>
    <row r="809" spans="1:1" ht="12.75">
      <c r="A809" s="8"/>
    </row>
    <row r="810" spans="1:1" ht="12.75">
      <c r="A810" s="8"/>
    </row>
    <row r="811" spans="1:1" ht="12.75">
      <c r="A811" s="8"/>
    </row>
    <row r="812" spans="1:1" ht="12.75">
      <c r="A812" s="8"/>
    </row>
    <row r="813" spans="1:1" ht="12.75">
      <c r="A813" s="8"/>
    </row>
    <row r="814" spans="1:1" ht="12.75">
      <c r="A814" s="8"/>
    </row>
    <row r="815" spans="1:1" ht="12.75">
      <c r="A815" s="8"/>
    </row>
    <row r="816" spans="1:1" ht="12.75">
      <c r="A816" s="8"/>
    </row>
    <row r="817" spans="1:1" ht="12.75">
      <c r="A817" s="8"/>
    </row>
    <row r="818" spans="1:1" ht="12.75">
      <c r="A818" s="8"/>
    </row>
    <row r="819" spans="1:1" ht="12.75">
      <c r="A819" s="8"/>
    </row>
    <row r="820" spans="1:1" ht="12.75">
      <c r="A820" s="8"/>
    </row>
    <row r="821" spans="1:1" ht="12.75">
      <c r="A821" s="8"/>
    </row>
    <row r="822" spans="1:1" ht="12.75">
      <c r="A822" s="8"/>
    </row>
    <row r="823" spans="1:1" ht="12.75">
      <c r="A823" s="8"/>
    </row>
    <row r="824" spans="1:1" ht="12.75">
      <c r="A824" s="8"/>
    </row>
    <row r="825" spans="1:1" ht="12.75">
      <c r="A825" s="8"/>
    </row>
    <row r="826" spans="1:1" ht="12.75">
      <c r="A826" s="8"/>
    </row>
    <row r="827" spans="1:1" ht="12.75">
      <c r="A827" s="8"/>
    </row>
    <row r="828" spans="1:1" ht="12.75">
      <c r="A828" s="8"/>
    </row>
    <row r="829" spans="1:1" ht="12.75">
      <c r="A829" s="8"/>
    </row>
    <row r="830" spans="1:1" ht="12.75">
      <c r="A830" s="8"/>
    </row>
    <row r="831" spans="1:1" ht="12.75">
      <c r="A831" s="8"/>
    </row>
    <row r="832" spans="1:1" ht="12.75">
      <c r="A832" s="8"/>
    </row>
    <row r="833" spans="1:1" ht="12.75">
      <c r="A833" s="8"/>
    </row>
    <row r="834" spans="1:1" ht="12.75">
      <c r="A834" s="8"/>
    </row>
    <row r="835" spans="1:1" ht="12.75">
      <c r="A835" s="8"/>
    </row>
    <row r="836" spans="1:1" ht="12.75">
      <c r="A836" s="8"/>
    </row>
    <row r="837" spans="1:1" ht="12.75">
      <c r="A837" s="8"/>
    </row>
    <row r="838" spans="1:1" ht="12.75">
      <c r="A838" s="8"/>
    </row>
    <row r="839" spans="1:1" ht="12.75">
      <c r="A839" s="8"/>
    </row>
    <row r="840" spans="1:1" ht="12.75">
      <c r="A840" s="8"/>
    </row>
    <row r="841" spans="1:1" ht="12.75">
      <c r="A841" s="8"/>
    </row>
    <row r="842" spans="1:1" ht="12.75">
      <c r="A842" s="8"/>
    </row>
    <row r="843" spans="1:1" ht="12.75">
      <c r="A843" s="8"/>
    </row>
    <row r="844" spans="1:1" ht="12.75">
      <c r="A844" s="8"/>
    </row>
    <row r="845" spans="1:1" ht="12.75">
      <c r="A845" s="8"/>
    </row>
    <row r="846" spans="1:1" ht="12.75">
      <c r="A846" s="8"/>
    </row>
    <row r="847" spans="1:1" ht="12.75">
      <c r="A847" s="8"/>
    </row>
    <row r="848" spans="1:1" ht="12.75">
      <c r="A848" s="8"/>
    </row>
    <row r="849" spans="1:1" ht="12.75">
      <c r="A849" s="8"/>
    </row>
    <row r="850" spans="1:1" ht="12.75">
      <c r="A850" s="8"/>
    </row>
    <row r="851" spans="1:1" ht="12.75">
      <c r="A851" s="8"/>
    </row>
    <row r="852" spans="1:1" ht="12.75">
      <c r="A852" s="8"/>
    </row>
    <row r="853" spans="1:1" ht="12.75">
      <c r="A853" s="8"/>
    </row>
    <row r="854" spans="1:1" ht="12.75">
      <c r="A854" s="8"/>
    </row>
    <row r="855" spans="1:1" ht="12.75">
      <c r="A855" s="8"/>
    </row>
    <row r="856" spans="1:1" ht="12.75">
      <c r="A856" s="8"/>
    </row>
    <row r="857" spans="1:1" ht="12.75">
      <c r="A857" s="8"/>
    </row>
    <row r="858" spans="1:1" ht="12.75">
      <c r="A858" s="8"/>
    </row>
    <row r="859" spans="1:1" ht="12.75">
      <c r="A859" s="8"/>
    </row>
    <row r="860" spans="1:1" ht="12.75">
      <c r="A860" s="8"/>
    </row>
    <row r="861" spans="1:1" ht="12.75">
      <c r="A861" s="8"/>
    </row>
    <row r="862" spans="1:1" ht="12.75">
      <c r="A862" s="8"/>
    </row>
    <row r="863" spans="1:1" ht="12.75">
      <c r="A863" s="8"/>
    </row>
    <row r="864" spans="1:1" ht="12.75">
      <c r="A864" s="8"/>
    </row>
    <row r="865" spans="1:1" ht="12.75">
      <c r="A865" s="8"/>
    </row>
    <row r="866" spans="1:1" ht="12.75">
      <c r="A866" s="8"/>
    </row>
    <row r="867" spans="1:1" ht="12.75">
      <c r="A867" s="8"/>
    </row>
    <row r="868" spans="1:1" ht="12.75">
      <c r="A868" s="8"/>
    </row>
    <row r="869" spans="1:1" ht="12.75">
      <c r="A869" s="8"/>
    </row>
    <row r="870" spans="1:1" ht="12.75">
      <c r="A870" s="8"/>
    </row>
    <row r="871" spans="1:1" ht="12.75">
      <c r="A871" s="8"/>
    </row>
    <row r="872" spans="1:1" ht="12.75">
      <c r="A872" s="8"/>
    </row>
    <row r="873" spans="1:1" ht="12.75">
      <c r="A873" s="8"/>
    </row>
    <row r="874" spans="1:1" ht="12.75">
      <c r="A874" s="8"/>
    </row>
    <row r="875" spans="1:1" ht="12.75">
      <c r="A875" s="8"/>
    </row>
    <row r="876" spans="1:1" ht="12.75">
      <c r="A876" s="8"/>
    </row>
    <row r="877" spans="1:1" ht="12.75">
      <c r="A877" s="8"/>
    </row>
    <row r="878" spans="1:1" ht="12.75">
      <c r="A878" s="8"/>
    </row>
    <row r="879" spans="1:1" ht="12.75">
      <c r="A879" s="8"/>
    </row>
    <row r="880" spans="1:1" ht="12.75">
      <c r="A880" s="8"/>
    </row>
    <row r="881" spans="1:1" ht="12.75">
      <c r="A881" s="8"/>
    </row>
    <row r="882" spans="1:1" ht="12.75">
      <c r="A882" s="8"/>
    </row>
    <row r="883" spans="1:1" ht="12.75">
      <c r="A883" s="8"/>
    </row>
    <row r="884" spans="1:1" ht="12.75">
      <c r="A884" s="8"/>
    </row>
    <row r="885" spans="1:1" ht="12.75">
      <c r="A885" s="8"/>
    </row>
    <row r="886" spans="1:1" ht="12.75">
      <c r="A886" s="8"/>
    </row>
    <row r="887" spans="1:1" ht="12.75">
      <c r="A887" s="8"/>
    </row>
    <row r="888" spans="1:1" ht="12.75">
      <c r="A888" s="8"/>
    </row>
    <row r="889" spans="1:1" ht="12.75">
      <c r="A889" s="8"/>
    </row>
    <row r="890" spans="1:1" ht="12.75">
      <c r="A890" s="8"/>
    </row>
    <row r="891" spans="1:1" ht="12.75">
      <c r="A891" s="8"/>
    </row>
    <row r="892" spans="1:1" ht="12.75">
      <c r="A892" s="8"/>
    </row>
    <row r="893" spans="1:1" ht="12.75">
      <c r="A893" s="8"/>
    </row>
    <row r="894" spans="1:1" ht="12.75">
      <c r="A894" s="8"/>
    </row>
    <row r="895" spans="1:1" ht="12.75">
      <c r="A895" s="8"/>
    </row>
    <row r="896" spans="1:1" ht="12.75">
      <c r="A896" s="8"/>
    </row>
    <row r="897" spans="1:1" ht="12.75">
      <c r="A897" s="8"/>
    </row>
    <row r="898" spans="1:1" ht="12.75">
      <c r="A898" s="8"/>
    </row>
    <row r="899" spans="1:1" ht="12.75">
      <c r="A899" s="8"/>
    </row>
    <row r="900" spans="1:1" ht="12.75">
      <c r="A900" s="8"/>
    </row>
    <row r="901" spans="1:1" ht="12.75">
      <c r="A901" s="8"/>
    </row>
    <row r="902" spans="1:1" ht="12.75">
      <c r="A902" s="8"/>
    </row>
    <row r="903" spans="1:1" ht="12.75">
      <c r="A903" s="8"/>
    </row>
    <row r="904" spans="1:1" ht="12.75">
      <c r="A904" s="8"/>
    </row>
    <row r="905" spans="1:1" ht="12.75">
      <c r="A905" s="8"/>
    </row>
    <row r="906" spans="1:1" ht="12.75">
      <c r="A906" s="8"/>
    </row>
    <row r="907" spans="1:1" ht="12.75">
      <c r="A907" s="8"/>
    </row>
    <row r="908" spans="1:1" ht="12.75">
      <c r="A908" s="8"/>
    </row>
    <row r="909" spans="1:1" ht="12.75">
      <c r="A909" s="8"/>
    </row>
    <row r="910" spans="1:1" ht="12.75">
      <c r="A910" s="8"/>
    </row>
    <row r="911" spans="1:1" ht="12.75">
      <c r="A911" s="8"/>
    </row>
    <row r="912" spans="1:1" ht="12.75">
      <c r="A912" s="8"/>
    </row>
    <row r="913" spans="1:1" ht="12.75">
      <c r="A913" s="8"/>
    </row>
    <row r="914" spans="1:1" ht="12.75">
      <c r="A914" s="8"/>
    </row>
    <row r="915" spans="1:1" ht="12.75">
      <c r="A915" s="8"/>
    </row>
    <row r="916" spans="1:1" ht="12.75">
      <c r="A916" s="8"/>
    </row>
    <row r="917" spans="1:1" ht="12.75">
      <c r="A917" s="8"/>
    </row>
    <row r="918" spans="1:1" ht="12.75">
      <c r="A918" s="8"/>
    </row>
    <row r="919" spans="1:1" ht="12.75">
      <c r="A919" s="8"/>
    </row>
    <row r="920" spans="1:1" ht="12.75">
      <c r="A920" s="8"/>
    </row>
    <row r="921" spans="1:1" ht="12.75">
      <c r="A921" s="8"/>
    </row>
    <row r="922" spans="1:1" ht="12.75">
      <c r="A922" s="8"/>
    </row>
    <row r="923" spans="1:1" ht="12.75">
      <c r="A923" s="8"/>
    </row>
    <row r="924" spans="1:1" ht="12.75">
      <c r="A924" s="8"/>
    </row>
    <row r="925" spans="1:1" ht="12.75">
      <c r="A925" s="8"/>
    </row>
    <row r="926" spans="1:1" ht="12.75">
      <c r="A926" s="8"/>
    </row>
    <row r="927" spans="1:1" ht="12.75">
      <c r="A927" s="8"/>
    </row>
    <row r="928" spans="1:1" ht="12.75">
      <c r="A928" s="8"/>
    </row>
    <row r="929" spans="1:1" ht="12.75">
      <c r="A929" s="8"/>
    </row>
    <row r="930" spans="1:1" ht="12.75">
      <c r="A930" s="8"/>
    </row>
    <row r="931" spans="1:1" ht="12.75">
      <c r="A931" s="8"/>
    </row>
    <row r="932" spans="1:1" ht="12.75">
      <c r="A932" s="8"/>
    </row>
    <row r="933" spans="1:1" ht="12.75">
      <c r="A933" s="8"/>
    </row>
    <row r="934" spans="1:1" ht="12.75">
      <c r="A934" s="8"/>
    </row>
    <row r="935" spans="1:1" ht="12.75">
      <c r="A935" s="8"/>
    </row>
    <row r="936" spans="1:1" ht="12.75">
      <c r="A936" s="8"/>
    </row>
    <row r="937" spans="1:1" ht="12.75">
      <c r="A937" s="8"/>
    </row>
    <row r="938" spans="1:1" ht="12.75">
      <c r="A938" s="8"/>
    </row>
    <row r="939" spans="1:1" ht="12.75">
      <c r="A939" s="8"/>
    </row>
    <row r="940" spans="1:1" ht="12.75">
      <c r="A940" s="8"/>
    </row>
    <row r="941" spans="1:1" ht="12.75">
      <c r="A941" s="8"/>
    </row>
    <row r="942" spans="1:1" ht="12.75">
      <c r="A942" s="8"/>
    </row>
    <row r="943" spans="1:1" ht="12.75">
      <c r="A943" s="8"/>
    </row>
    <row r="944" spans="1:1" ht="12.75">
      <c r="A944" s="8"/>
    </row>
    <row r="945" spans="1:1" ht="12.75">
      <c r="A945" s="8"/>
    </row>
    <row r="946" spans="1:1" ht="12.75">
      <c r="A946" s="8"/>
    </row>
    <row r="947" spans="1:1" ht="12.75">
      <c r="A947" s="8"/>
    </row>
    <row r="948" spans="1:1" ht="12.75">
      <c r="A948" s="8"/>
    </row>
    <row r="949" spans="1:1" ht="12.75">
      <c r="A949" s="8"/>
    </row>
    <row r="950" spans="1:1" ht="12.75">
      <c r="A950" s="8"/>
    </row>
    <row r="951" spans="1:1" ht="12.75">
      <c r="A951" s="8"/>
    </row>
    <row r="952" spans="1:1" ht="12.75">
      <c r="A952" s="8"/>
    </row>
    <row r="953" spans="1:1" ht="12.75">
      <c r="A953" s="8"/>
    </row>
    <row r="954" spans="1:1" ht="12.75">
      <c r="A954" s="8"/>
    </row>
    <row r="955" spans="1:1" ht="12.75">
      <c r="A955" s="8"/>
    </row>
    <row r="956" spans="1:1" ht="12.75">
      <c r="A956" s="8"/>
    </row>
    <row r="957" spans="1:1" ht="12.75">
      <c r="A957" s="8"/>
    </row>
    <row r="958" spans="1:1" ht="12.75">
      <c r="A958" s="8"/>
    </row>
    <row r="959" spans="1:1" ht="12.75">
      <c r="A959" s="8"/>
    </row>
    <row r="960" spans="1:1" ht="12.75">
      <c r="A960" s="8"/>
    </row>
    <row r="961" spans="1:1" ht="12.75">
      <c r="A961" s="8"/>
    </row>
    <row r="962" spans="1:1" ht="12.75">
      <c r="A962" s="8"/>
    </row>
    <row r="963" spans="1:1" ht="12.75">
      <c r="A963" s="8"/>
    </row>
    <row r="964" spans="1:1" ht="12.75">
      <c r="A964" s="8"/>
    </row>
    <row r="965" spans="1:1" ht="12.75">
      <c r="A965" s="8"/>
    </row>
    <row r="966" spans="1:1" ht="12.75">
      <c r="A966" s="8"/>
    </row>
    <row r="967" spans="1:1" ht="12.75">
      <c r="A967" s="8"/>
    </row>
    <row r="968" spans="1:1" ht="12.75">
      <c r="A968" s="8"/>
    </row>
    <row r="969" spans="1:1" ht="12.75">
      <c r="A969" s="8"/>
    </row>
    <row r="970" spans="1:1" ht="12.75">
      <c r="A970" s="8"/>
    </row>
    <row r="971" spans="1:1" ht="12.75">
      <c r="A971" s="8"/>
    </row>
    <row r="972" spans="1:1" ht="12.75">
      <c r="A972" s="8"/>
    </row>
  </sheetData>
  <mergeCells count="62">
    <mergeCell ref="C347:E347"/>
    <mergeCell ref="C287:E287"/>
    <mergeCell ref="C291:E291"/>
    <mergeCell ref="C295:E295"/>
    <mergeCell ref="C299:E299"/>
    <mergeCell ref="C307:E307"/>
    <mergeCell ref="C315:E315"/>
    <mergeCell ref="C319:E319"/>
    <mergeCell ref="C323:E323"/>
    <mergeCell ref="C327:E327"/>
    <mergeCell ref="C331:E331"/>
    <mergeCell ref="C337:E337"/>
    <mergeCell ref="C341:E341"/>
    <mergeCell ref="F4:I4"/>
    <mergeCell ref="C5:E5"/>
    <mergeCell ref="C7:E7"/>
    <mergeCell ref="B8:E8"/>
    <mergeCell ref="C31:E31"/>
    <mergeCell ref="B32:E32"/>
    <mergeCell ref="B38:E38"/>
    <mergeCell ref="C37:E37"/>
    <mergeCell ref="C43:E43"/>
    <mergeCell ref="B44:E44"/>
    <mergeCell ref="C50:E50"/>
    <mergeCell ref="B51:E51"/>
    <mergeCell ref="C57:E57"/>
    <mergeCell ref="B58:E58"/>
    <mergeCell ref="C63:E63"/>
    <mergeCell ref="B64:E64"/>
    <mergeCell ref="C71:E71"/>
    <mergeCell ref="B72:E72"/>
    <mergeCell ref="C78:E78"/>
    <mergeCell ref="B79:E79"/>
    <mergeCell ref="C84:E84"/>
    <mergeCell ref="B85:E85"/>
    <mergeCell ref="C88:E88"/>
    <mergeCell ref="B89:E89"/>
    <mergeCell ref="C98:E98"/>
    <mergeCell ref="B99:E99"/>
    <mergeCell ref="C109:E109"/>
    <mergeCell ref="F121:I121"/>
    <mergeCell ref="C122:E122"/>
    <mergeCell ref="C124:E124"/>
    <mergeCell ref="B125:E125"/>
    <mergeCell ref="C138:E138"/>
    <mergeCell ref="B139:E139"/>
    <mergeCell ref="C152:E152"/>
    <mergeCell ref="B153:E153"/>
    <mergeCell ref="C166:E166"/>
    <mergeCell ref="B167:E167"/>
    <mergeCell ref="C180:E180"/>
    <mergeCell ref="C186:E186"/>
    <mergeCell ref="C198:E198"/>
    <mergeCell ref="C250:E250"/>
    <mergeCell ref="C268:E268"/>
    <mergeCell ref="F284:I284"/>
    <mergeCell ref="C285:E285"/>
    <mergeCell ref="C210:E210"/>
    <mergeCell ref="C222:E222"/>
    <mergeCell ref="C234:E234"/>
    <mergeCell ref="C242:E242"/>
    <mergeCell ref="C246:E24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I7"/>
  <sheetViews>
    <sheetView tabSelected="1" workbookViewId="0">
      <selection activeCell="G13" sqref="G13"/>
    </sheetView>
  </sheetViews>
  <sheetFormatPr defaultColWidth="12.5703125" defaultRowHeight="15.75" customHeight="1"/>
  <cols>
    <col min="1" max="1" width="4.42578125" customWidth="1"/>
    <col min="2" max="2" width="38.5703125" customWidth="1"/>
    <col min="5" max="7" width="5.140625" customWidth="1"/>
  </cols>
  <sheetData>
    <row r="1" spans="1:9" ht="33.75">
      <c r="A1" s="165" t="s">
        <v>452</v>
      </c>
      <c r="B1" s="128"/>
      <c r="C1" s="128"/>
      <c r="D1" s="128"/>
      <c r="E1" s="128"/>
      <c r="F1" s="128"/>
      <c r="G1" s="128"/>
      <c r="H1" s="128"/>
      <c r="I1" s="117">
        <v>46175</v>
      </c>
    </row>
    <row r="2" spans="1:9">
      <c r="A2" s="166" t="s">
        <v>453</v>
      </c>
      <c r="B2" s="168" t="s">
        <v>49</v>
      </c>
      <c r="C2" s="170" t="s">
        <v>325</v>
      </c>
      <c r="D2" s="125"/>
      <c r="E2" s="173" t="s">
        <v>454</v>
      </c>
      <c r="F2" s="136"/>
      <c r="G2" s="137"/>
      <c r="H2" s="173" t="s">
        <v>455</v>
      </c>
      <c r="I2" s="137"/>
    </row>
    <row r="3" spans="1:9">
      <c r="A3" s="167"/>
      <c r="B3" s="169"/>
      <c r="C3" s="171"/>
      <c r="D3" s="172"/>
      <c r="E3" s="118" t="s">
        <v>52</v>
      </c>
      <c r="F3" s="118" t="s">
        <v>51</v>
      </c>
      <c r="G3" s="118" t="s">
        <v>50</v>
      </c>
      <c r="H3" s="118" t="s">
        <v>456</v>
      </c>
      <c r="I3" s="118" t="s">
        <v>457</v>
      </c>
    </row>
    <row r="4" spans="1:9" ht="37.5" customHeight="1">
      <c r="A4" s="119">
        <v>1</v>
      </c>
      <c r="B4" s="120" t="s">
        <v>458</v>
      </c>
      <c r="C4" s="43" t="e">
        <f ca="1">_xludf.image("https://lh3.google.com/u/0/d/1P9FZ_IRfqDpCQzbKn7-9dC_v9cVa7hwx",1)</f>
        <v>#NAME?</v>
      </c>
      <c r="D4" s="43"/>
      <c r="E4" s="121">
        <v>90</v>
      </c>
      <c r="F4" s="121">
        <v>855</v>
      </c>
      <c r="G4" s="121">
        <v>90</v>
      </c>
      <c r="H4" s="122">
        <v>1529000</v>
      </c>
      <c r="I4" s="122">
        <v>2965000</v>
      </c>
    </row>
    <row r="5" spans="1:9" ht="37.5" customHeight="1">
      <c r="A5" s="119">
        <v>2</v>
      </c>
      <c r="B5" s="120" t="s">
        <v>459</v>
      </c>
      <c r="C5" s="43" t="e">
        <f ca="1">_xludf.image("https://lh3.google.com/u/0/d/13VrDfvmK3CkUkEixvQTJUDMiGv04kVe8",1)</f>
        <v>#NAME?</v>
      </c>
      <c r="D5" s="43" t="e">
        <f ca="1">_xludf.image("https://lh3.google.com/u/0/d/1byfJgE4aDzzruNSbQRbiKzpJCgjZnC7N",1)</f>
        <v>#NAME?</v>
      </c>
      <c r="E5" s="121">
        <v>150</v>
      </c>
      <c r="F5" s="121">
        <v>100</v>
      </c>
      <c r="G5" s="121">
        <v>150</v>
      </c>
      <c r="H5" s="122">
        <v>486000</v>
      </c>
      <c r="I5" s="122">
        <v>772000</v>
      </c>
    </row>
    <row r="6" spans="1:9" ht="37.5" customHeight="1">
      <c r="A6" s="119">
        <v>3</v>
      </c>
      <c r="B6" s="120" t="s">
        <v>460</v>
      </c>
      <c r="C6" s="43" t="e">
        <f ca="1">_xludf.image("https://lh3.google.com/u/0/d/1Scypu2ITJ1Cjq4qsyluAR7eaWYEqYLx1",1)</f>
        <v>#NAME?</v>
      </c>
      <c r="D6" s="43" t="e">
        <f ca="1">_xludf.image("https://lh3.google.com/u/0/d/1VAhoPk3RKQYLBqnAzfr_akO8pUWt3jZm",1)</f>
        <v>#NAME?</v>
      </c>
      <c r="E6" s="121">
        <v>140</v>
      </c>
      <c r="F6" s="121">
        <v>760</v>
      </c>
      <c r="G6" s="121">
        <v>175</v>
      </c>
      <c r="H6" s="122">
        <v>1029000</v>
      </c>
      <c r="I6" s="122">
        <v>2164000</v>
      </c>
    </row>
    <row r="7" spans="1:9" ht="37.5" customHeight="1">
      <c r="A7" s="119">
        <v>4</v>
      </c>
      <c r="B7" s="123" t="s">
        <v>461</v>
      </c>
      <c r="C7" s="43" t="e">
        <f ca="1">_xludf.image("https://lh3.google.com/u/0/d/1WPvGDEtk_oePqqnRgErc0Yk3DgvEPh-2",1)</f>
        <v>#NAME?</v>
      </c>
      <c r="D7" s="43" t="e">
        <f ca="1">_xludf.image("https://lh3.google.com/u/0/d/1HCtLZcr0jj0VktMA-MucBgtSUgM3Vjza",1)</f>
        <v>#NAME?</v>
      </c>
      <c r="E7" s="121">
        <v>140</v>
      </c>
      <c r="F7" s="121">
        <v>325</v>
      </c>
      <c r="G7" s="121">
        <v>250</v>
      </c>
      <c r="H7" s="122">
        <v>686000</v>
      </c>
      <c r="I7" s="122">
        <v>972000</v>
      </c>
    </row>
  </sheetData>
  <mergeCells count="6">
    <mergeCell ref="A1:H1"/>
    <mergeCell ref="A2:A3"/>
    <mergeCell ref="B2:B3"/>
    <mergeCell ref="C2:D3"/>
    <mergeCell ref="E2:G2"/>
    <mergeCell ref="H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BASE UNIT</vt:lpstr>
      <vt:lpstr>WALL UNIT</vt:lpstr>
      <vt:lpstr>TALL UNIT</vt:lpstr>
      <vt:lpstr>WU TU Glass Doors</vt:lpstr>
      <vt:lpstr>ARTDECO</vt:lpstr>
      <vt:lpstr>Ornament Artdeco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Untario</dc:creator>
  <cp:lastModifiedBy>Gerald Untario</cp:lastModifiedBy>
  <dcterms:created xsi:type="dcterms:W3CDTF">2026-06-10T06:26:42Z</dcterms:created>
  <dcterms:modified xsi:type="dcterms:W3CDTF">2026-06-10T06:26:58Z</dcterms:modified>
</cp:coreProperties>
</file>